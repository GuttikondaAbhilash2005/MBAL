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0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1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bhil\OneDrive - Indian Institute of Technology Indian School of Mines Dhanbad\Desktop\PETROLEUM\ONGC Training\IRS ONGC\"/>
    </mc:Choice>
  </mc:AlternateContent>
  <xr:revisionPtr revIDLastSave="0" documentId="13_ncr:1_{975084F1-6913-4C66-8130-3F54EEFA3E6E}" xr6:coauthVersionLast="47" xr6:coauthVersionMax="47" xr10:uidLastSave="{00000000-0000-0000-0000-000000000000}"/>
  <bookViews>
    <workbookView xWindow="-108" yWindow="-108" windowWidth="23256" windowHeight="12456" tabRatio="765" firstSheet="2" activeTab="10" xr2:uid="{00000000-000D-0000-FFFF-FFFF00000000}"/>
  </bookViews>
  <sheets>
    <sheet name="Structure-A_Prod_Data" sheetId="8" r:id="rId1"/>
    <sheet name="PVT_Press" sheetId="9" r:id="rId2"/>
    <sheet name="Well_A-1" sheetId="1" r:id="rId3"/>
    <sheet name="Well_A-2" sheetId="2" r:id="rId4"/>
    <sheet name="Well_A-3" sheetId="3" r:id="rId5"/>
    <sheet name="Well_A-5" sheetId="4" r:id="rId6"/>
    <sheet name="Well_A-7" sheetId="5" r:id="rId7"/>
    <sheet name="Well_A-8" sheetId="6" r:id="rId8"/>
    <sheet name="Well_A-9" sheetId="7" r:id="rId9"/>
    <sheet name="Sheet1" sheetId="10" r:id="rId10"/>
    <sheet name="Sheet2" sheetId="11" r:id="rId11"/>
  </sheets>
  <definedNames>
    <definedName name="_xlnm.Print_Area" localSheetId="9">Sheet1!$A$1:$EY$85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7" l="1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2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 s="1"/>
  <c r="AD21" i="7" s="1"/>
  <c r="AD22" i="7" s="1"/>
  <c r="AD23" i="7" s="1"/>
  <c r="AD24" i="7" s="1"/>
  <c r="AD25" i="7" s="1"/>
  <c r="AD26" i="7" s="1"/>
  <c r="AD27" i="7" s="1"/>
  <c r="AD28" i="7" s="1"/>
  <c r="AD29" i="7" s="1"/>
  <c r="AD30" i="7" s="1"/>
  <c r="AD31" i="7" s="1"/>
  <c r="AD32" i="7" s="1"/>
  <c r="AD33" i="7" s="1"/>
  <c r="AD34" i="7" s="1"/>
  <c r="AD35" i="7" s="1"/>
  <c r="AD36" i="7" s="1"/>
  <c r="AD37" i="7" s="1"/>
  <c r="AD38" i="7" s="1"/>
  <c r="AD39" i="7" s="1"/>
  <c r="AD40" i="7" s="1"/>
  <c r="AD41" i="7" s="1"/>
  <c r="AD42" i="7" s="1"/>
  <c r="AD3" i="7"/>
  <c r="AD2" i="7"/>
  <c r="AA2" i="7"/>
  <c r="AB2" i="7" s="1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 s="1"/>
  <c r="W113" i="7" s="1"/>
  <c r="W114" i="7" s="1"/>
  <c r="W115" i="7" s="1"/>
  <c r="W116" i="7" s="1"/>
  <c r="W117" i="7" s="1"/>
  <c r="W118" i="7" s="1"/>
  <c r="W119" i="7" s="1"/>
  <c r="W120" i="7" s="1"/>
  <c r="W121" i="7" s="1"/>
  <c r="W122" i="7" s="1"/>
  <c r="W123" i="7" s="1"/>
  <c r="W124" i="7" s="1"/>
  <c r="W125" i="7" s="1"/>
  <c r="W126" i="7" s="1"/>
  <c r="W127" i="7" s="1"/>
  <c r="W128" i="7" s="1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AK4" i="6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2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 s="1"/>
  <c r="AF21" i="6" s="1"/>
  <c r="AF22" i="6" s="1"/>
  <c r="AF23" i="6" s="1"/>
  <c r="AF24" i="6" s="1"/>
  <c r="AF25" i="6" s="1"/>
  <c r="AF26" i="6" s="1"/>
  <c r="AF27" i="6" s="1"/>
  <c r="AF28" i="6" s="1"/>
  <c r="AF29" i="6" s="1"/>
  <c r="AF30" i="6" s="1"/>
  <c r="AF31" i="6" s="1"/>
  <c r="AF32" i="6" s="1"/>
  <c r="AF33" i="6" s="1"/>
  <c r="AF34" i="6" s="1"/>
  <c r="AF35" i="6" s="1"/>
  <c r="AF36" i="6" s="1"/>
  <c r="AF37" i="6" s="1"/>
  <c r="AF38" i="6" s="1"/>
  <c r="AF39" i="6" s="1"/>
  <c r="AF40" i="6" s="1"/>
  <c r="AF41" i="6" s="1"/>
  <c r="AF42" i="6" s="1"/>
  <c r="AF43" i="6" s="1"/>
  <c r="AF3" i="6"/>
  <c r="AF2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2" i="6"/>
  <c r="AA18" i="6"/>
  <c r="AA19" i="6"/>
  <c r="AA44" i="6"/>
  <c r="AB44" i="6" s="1"/>
  <c r="AA45" i="6"/>
  <c r="AA46" i="6"/>
  <c r="AA47" i="6"/>
  <c r="AA48" i="6"/>
  <c r="AA49" i="6"/>
  <c r="AA2" i="6"/>
  <c r="AK2" i="5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2" i="5"/>
  <c r="AE69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E37" i="5" s="1"/>
  <c r="AE38" i="5" s="1"/>
  <c r="AE39" i="5" s="1"/>
  <c r="AE40" i="5" s="1"/>
  <c r="AE41" i="5" s="1"/>
  <c r="AE42" i="5" s="1"/>
  <c r="AE43" i="5" s="1"/>
  <c r="AE44" i="5" s="1"/>
  <c r="AE45" i="5" s="1"/>
  <c r="AE46" i="5" s="1"/>
  <c r="AE47" i="5" s="1"/>
  <c r="AE48" i="5" s="1"/>
  <c r="AE49" i="5" s="1"/>
  <c r="AE50" i="5" s="1"/>
  <c r="AE51" i="5" s="1"/>
  <c r="AE52" i="5" s="1"/>
  <c r="AE53" i="5" s="1"/>
  <c r="AE54" i="5" s="1"/>
  <c r="AE55" i="5" s="1"/>
  <c r="AE56" i="5" s="1"/>
  <c r="AE57" i="5" s="1"/>
  <c r="AE58" i="5" s="1"/>
  <c r="AE59" i="5" s="1"/>
  <c r="AE60" i="5" s="1"/>
  <c r="AE61" i="5" s="1"/>
  <c r="AE62" i="5" s="1"/>
  <c r="AE63" i="5" s="1"/>
  <c r="AE64" i="5" s="1"/>
  <c r="AE65" i="5" s="1"/>
  <c r="AE66" i="5" s="1"/>
  <c r="AE67" i="5" s="1"/>
  <c r="AE68" i="5" s="1"/>
  <c r="AE3" i="5"/>
  <c r="AE2" i="5"/>
  <c r="AC2" i="5"/>
  <c r="AC3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2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 s="1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2" i="2"/>
  <c r="AH4" i="2"/>
  <c r="AH5" i="2" s="1"/>
  <c r="AH6" i="2" s="1"/>
  <c r="AH7" i="2" s="1"/>
  <c r="AH8" i="2" s="1"/>
  <c r="AH9" i="2" s="1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52" i="2" s="1"/>
  <c r="AH53" i="2" s="1"/>
  <c r="AH54" i="2" s="1"/>
  <c r="AH55" i="2" s="1"/>
  <c r="AH56" i="2" s="1"/>
  <c r="AH57" i="2" s="1"/>
  <c r="AH58" i="2" s="1"/>
  <c r="AH59" i="2" s="1"/>
  <c r="AH60" i="2" s="1"/>
  <c r="AH61" i="2" s="1"/>
  <c r="AH62" i="2" s="1"/>
  <c r="AH63" i="2" s="1"/>
  <c r="AH64" i="2" s="1"/>
  <c r="AH65" i="2" s="1"/>
  <c r="AH66" i="2" s="1"/>
  <c r="AH67" i="2" s="1"/>
  <c r="AH3" i="2"/>
  <c r="AH2" i="2"/>
  <c r="AE2" i="2"/>
  <c r="AE3" i="2" s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2" i="1"/>
  <c r="AG4" i="1"/>
  <c r="AG5" i="1" s="1"/>
  <c r="AG6" i="1" s="1"/>
  <c r="AG7" i="1" s="1"/>
  <c r="AG8" i="1" s="1"/>
  <c r="AG9" i="1" s="1"/>
  <c r="AG10" i="1" s="1"/>
  <c r="AG11" i="1" s="1"/>
  <c r="AG12" i="1" s="1"/>
  <c r="AG13" i="1"/>
  <c r="AG14" i="1"/>
  <c r="AG15" i="1"/>
  <c r="AG16" i="1"/>
  <c r="AG17" i="1"/>
  <c r="AG18" i="1"/>
  <c r="AG19" i="1"/>
  <c r="AG20" i="1" s="1"/>
  <c r="AG21" i="1" s="1"/>
  <c r="AG22" i="1" s="1"/>
  <c r="AG23" i="1" s="1"/>
  <c r="AG24" i="1" s="1"/>
  <c r="AG25" i="1" s="1"/>
  <c r="AG26" i="1" s="1"/>
  <c r="AG27" i="1" s="1"/>
  <c r="AG28" i="1"/>
  <c r="AG29" i="1"/>
  <c r="AG30" i="1"/>
  <c r="AG31" i="1"/>
  <c r="AG32" i="1"/>
  <c r="AG33" i="1"/>
  <c r="AG34" i="1"/>
  <c r="AG35" i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3" i="1"/>
  <c r="AG2" i="1"/>
  <c r="AD2" i="1"/>
  <c r="AE2" i="1" s="1"/>
  <c r="AF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2" i="3"/>
  <c r="AB55" i="3"/>
  <c r="AB56" i="3" s="1"/>
  <c r="AB57" i="3" s="1"/>
  <c r="AB58" i="3" s="1"/>
  <c r="AB59" i="3" s="1"/>
  <c r="AB60" i="3" s="1"/>
  <c r="AB61" i="3" s="1"/>
  <c r="AB62" i="3" s="1"/>
  <c r="AB63" i="3" s="1"/>
  <c r="AB64" i="3" s="1"/>
  <c r="AB65" i="3" s="1"/>
  <c r="AB66" i="3" s="1"/>
  <c r="AB67" i="3" s="1"/>
  <c r="AB68" i="3" s="1"/>
  <c r="AB69" i="3" s="1"/>
  <c r="AB70" i="3" s="1"/>
  <c r="AB71" i="3" s="1"/>
  <c r="AB72" i="3" s="1"/>
  <c r="AB73" i="3" s="1"/>
  <c r="AB74" i="3" s="1"/>
  <c r="AB75" i="3" s="1"/>
  <c r="AB76" i="3" s="1"/>
  <c r="AB77" i="3" s="1"/>
  <c r="AB78" i="3" s="1"/>
  <c r="AB79" i="3" s="1"/>
  <c r="AB80" i="3" s="1"/>
  <c r="AB81" i="3" s="1"/>
  <c r="AB82" i="3" s="1"/>
  <c r="AB83" i="3" s="1"/>
  <c r="AB84" i="3" s="1"/>
  <c r="AB85" i="3" s="1"/>
  <c r="AB86" i="3" s="1"/>
  <c r="AB87" i="3" s="1"/>
  <c r="AB88" i="3" s="1"/>
  <c r="AB89" i="3" s="1"/>
  <c r="AB90" i="3" s="1"/>
  <c r="AB91" i="3" s="1"/>
  <c r="AB92" i="3" s="1"/>
  <c r="AB93" i="3" s="1"/>
  <c r="AB94" i="3" s="1"/>
  <c r="AB95" i="3" s="1"/>
  <c r="AB96" i="3" s="1"/>
  <c r="AB97" i="3" s="1"/>
  <c r="AB98" i="3" s="1"/>
  <c r="AB99" i="3" s="1"/>
  <c r="AB100" i="3" s="1"/>
  <c r="AB101" i="3" s="1"/>
  <c r="AB102" i="3" s="1"/>
  <c r="AB103" i="3" s="1"/>
  <c r="AB104" i="3" s="1"/>
  <c r="AB105" i="3" s="1"/>
  <c r="AB106" i="3" s="1"/>
  <c r="AB107" i="3" s="1"/>
  <c r="AB108" i="3" s="1"/>
  <c r="AB109" i="3" s="1"/>
  <c r="AB110" i="3" s="1"/>
  <c r="AB111" i="3" s="1"/>
  <c r="AB112" i="3" s="1"/>
  <c r="AB113" i="3" s="1"/>
  <c r="AB114" i="3" s="1"/>
  <c r="AB115" i="3" s="1"/>
  <c r="AB116" i="3" s="1"/>
  <c r="AB117" i="3" s="1"/>
  <c r="AB118" i="3" s="1"/>
  <c r="AB119" i="3" s="1"/>
  <c r="AB120" i="3" s="1"/>
  <c r="AB121" i="3" s="1"/>
  <c r="AB122" i="3" s="1"/>
  <c r="AB123" i="3" s="1"/>
  <c r="AB124" i="3" s="1"/>
  <c r="AB125" i="3" s="1"/>
  <c r="AB126" i="3" s="1"/>
  <c r="AB127" i="3" s="1"/>
  <c r="AB128" i="3" s="1"/>
  <c r="AB129" i="3" s="1"/>
  <c r="AB130" i="3" s="1"/>
  <c r="AB131" i="3" s="1"/>
  <c r="AB132" i="3" s="1"/>
  <c r="AB133" i="3" s="1"/>
  <c r="AB134" i="3" s="1"/>
  <c r="AB135" i="3" s="1"/>
  <c r="AB136" i="3" s="1"/>
  <c r="AB137" i="3" s="1"/>
  <c r="AB138" i="3" s="1"/>
  <c r="AB139" i="3" s="1"/>
  <c r="AB140" i="3" s="1"/>
  <c r="AB141" i="3" s="1"/>
  <c r="AB142" i="3" s="1"/>
  <c r="AB143" i="3" s="1"/>
  <c r="AB144" i="3" s="1"/>
  <c r="AB145" i="3" s="1"/>
  <c r="AB146" i="3" s="1"/>
  <c r="AB147" i="3" s="1"/>
  <c r="AB148" i="3" s="1"/>
  <c r="AB149" i="3" s="1"/>
  <c r="AB150" i="3" s="1"/>
  <c r="AB151" i="3" s="1"/>
  <c r="AB152" i="3" s="1"/>
  <c r="AB153" i="3" s="1"/>
  <c r="AB154" i="3" s="1"/>
  <c r="AB155" i="3" s="1"/>
  <c r="AB156" i="3" s="1"/>
  <c r="AB157" i="3" s="1"/>
  <c r="AB158" i="3" s="1"/>
  <c r="AB159" i="3" s="1"/>
  <c r="AB160" i="3" s="1"/>
  <c r="AB161" i="3" s="1"/>
  <c r="AB162" i="3" s="1"/>
  <c r="AB163" i="3" s="1"/>
  <c r="AB164" i="3" s="1"/>
  <c r="AB165" i="3" s="1"/>
  <c r="AB166" i="3" s="1"/>
  <c r="AB167" i="3" s="1"/>
  <c r="AB168" i="3" s="1"/>
  <c r="AB169" i="3" s="1"/>
  <c r="AB170" i="3" s="1"/>
  <c r="AB171" i="3" s="1"/>
  <c r="AB172" i="3" s="1"/>
  <c r="AB173" i="3" s="1"/>
  <c r="AB174" i="3" s="1"/>
  <c r="AB175" i="3" s="1"/>
  <c r="AB176" i="3" s="1"/>
  <c r="AB177" i="3" s="1"/>
  <c r="AB178" i="3" s="1"/>
  <c r="AB179" i="3" s="1"/>
  <c r="AB180" i="3" s="1"/>
  <c r="AB181" i="3" s="1"/>
  <c r="AB182" i="3" s="1"/>
  <c r="AB183" i="3" s="1"/>
  <c r="AB184" i="3" s="1"/>
  <c r="AB185" i="3" s="1"/>
  <c r="AB186" i="3" s="1"/>
  <c r="AB187" i="3" s="1"/>
  <c r="AB188" i="3" s="1"/>
  <c r="AB189" i="3" s="1"/>
  <c r="AB190" i="3" s="1"/>
  <c r="AB191" i="3" s="1"/>
  <c r="AB192" i="3" s="1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E2" i="3"/>
  <c r="AE3" i="3" s="1"/>
  <c r="AE4" i="3" s="1"/>
  <c r="AE5" i="3" s="1"/>
  <c r="AE6" i="3" s="1"/>
  <c r="AE7" i="3" s="1"/>
  <c r="AE8" i="3" s="1"/>
  <c r="AE9" i="3" s="1"/>
  <c r="AE10" i="3" s="1"/>
  <c r="AE11" i="3" s="1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AE38" i="3" s="1"/>
  <c r="AE39" i="3" s="1"/>
  <c r="AE40" i="3" s="1"/>
  <c r="AE41" i="3" s="1"/>
  <c r="AE42" i="3" s="1"/>
  <c r="AE43" i="3" s="1"/>
  <c r="AE44" i="3" s="1"/>
  <c r="AE45" i="3" s="1"/>
  <c r="AE46" i="3" s="1"/>
  <c r="AE47" i="3" s="1"/>
  <c r="AE48" i="3" s="1"/>
  <c r="AE49" i="3" s="1"/>
  <c r="AE50" i="3" s="1"/>
  <c r="AE51" i="3" s="1"/>
  <c r="AE52" i="3" s="1"/>
  <c r="AE53" i="3" s="1"/>
  <c r="AE54" i="3" s="1"/>
  <c r="AF54" i="3" s="1"/>
  <c r="AM30" i="1"/>
  <c r="AM32" i="2"/>
  <c r="AK31" i="3"/>
  <c r="AA55" i="3"/>
  <c r="AA2" i="3"/>
  <c r="AC71" i="1"/>
  <c r="Y72" i="1"/>
  <c r="AC72" i="1" s="1"/>
  <c r="V2" i="1"/>
  <c r="U4" i="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05" i="11"/>
  <c r="AA106" i="11"/>
  <c r="AA107" i="11"/>
  <c r="AA108" i="11"/>
  <c r="AA109" i="11"/>
  <c r="AA110" i="11"/>
  <c r="AA111" i="11"/>
  <c r="AA112" i="11"/>
  <c r="AA113" i="11"/>
  <c r="AA114" i="11"/>
  <c r="AA115" i="11"/>
  <c r="AA116" i="11"/>
  <c r="AA117" i="11"/>
  <c r="AA118" i="11"/>
  <c r="AA119" i="11"/>
  <c r="AA120" i="11"/>
  <c r="AA121" i="11"/>
  <c r="AA122" i="11"/>
  <c r="AA123" i="11"/>
  <c r="AA124" i="11"/>
  <c r="AA125" i="11"/>
  <c r="AA126" i="11"/>
  <c r="AA127" i="11"/>
  <c r="AA128" i="11"/>
  <c r="AA129" i="11"/>
  <c r="AA130" i="11"/>
  <c r="AA131" i="11"/>
  <c r="AA132" i="11"/>
  <c r="AA133" i="11"/>
  <c r="AA134" i="11"/>
  <c r="AA135" i="11"/>
  <c r="AA136" i="11"/>
  <c r="AA137" i="11"/>
  <c r="AA138" i="11"/>
  <c r="AA139" i="11"/>
  <c r="AA140" i="11"/>
  <c r="AA141" i="11"/>
  <c r="AA142" i="11"/>
  <c r="AA143" i="11"/>
  <c r="AA144" i="11"/>
  <c r="AA145" i="11"/>
  <c r="AA146" i="11"/>
  <c r="AA147" i="11"/>
  <c r="AA148" i="11"/>
  <c r="AA149" i="11"/>
  <c r="AA150" i="11"/>
  <c r="AA151" i="11"/>
  <c r="AA152" i="11"/>
  <c r="AA153" i="11"/>
  <c r="AA154" i="11"/>
  <c r="AA155" i="11"/>
  <c r="AA156" i="11"/>
  <c r="AA157" i="11"/>
  <c r="AA158" i="11"/>
  <c r="AA159" i="11"/>
  <c r="AA160" i="11"/>
  <c r="AA161" i="11"/>
  <c r="AA162" i="11"/>
  <c r="AA163" i="11"/>
  <c r="AA164" i="11"/>
  <c r="AA165" i="11"/>
  <c r="AA166" i="11"/>
  <c r="AA167" i="11"/>
  <c r="AA168" i="11"/>
  <c r="AA169" i="11"/>
  <c r="AA170" i="11"/>
  <c r="AA171" i="11"/>
  <c r="AA172" i="11"/>
  <c r="AA173" i="11"/>
  <c r="AA174" i="11"/>
  <c r="AA175" i="11"/>
  <c r="AA176" i="11"/>
  <c r="AA177" i="11"/>
  <c r="AA178" i="11"/>
  <c r="T4" i="8"/>
  <c r="T5" i="8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3" i="8"/>
  <c r="T2" i="8"/>
  <c r="U2" i="8"/>
  <c r="V2" i="8" s="1"/>
  <c r="U3" i="8"/>
  <c r="V3" i="8" s="1"/>
  <c r="W6" i="11"/>
  <c r="AB3" i="11"/>
  <c r="AB4" i="11" s="1"/>
  <c r="W45" i="7"/>
  <c r="W46" i="7"/>
  <c r="W47" i="7"/>
  <c r="W48" i="7"/>
  <c r="W44" i="7"/>
  <c r="W11" i="7"/>
  <c r="W12" i="7"/>
  <c r="W13" i="7"/>
  <c r="W14" i="7"/>
  <c r="W15" i="7"/>
  <c r="W16" i="7"/>
  <c r="W17" i="7"/>
  <c r="W18" i="7"/>
  <c r="W19" i="7"/>
  <c r="W27" i="7"/>
  <c r="W28" i="7"/>
  <c r="W29" i="7"/>
  <c r="W30" i="7"/>
  <c r="W31" i="7"/>
  <c r="W32" i="7"/>
  <c r="W33" i="7"/>
  <c r="V3" i="7"/>
  <c r="X3" i="7" s="1"/>
  <c r="V4" i="7"/>
  <c r="X4" i="7" s="1"/>
  <c r="V5" i="7"/>
  <c r="X5" i="7" s="1"/>
  <c r="V6" i="7"/>
  <c r="V7" i="7"/>
  <c r="V8" i="7"/>
  <c r="V9" i="7"/>
  <c r="V10" i="7"/>
  <c r="V11" i="7"/>
  <c r="V12" i="7"/>
  <c r="X12" i="7" s="1"/>
  <c r="V13" i="7"/>
  <c r="V14" i="7"/>
  <c r="X14" i="7" s="1"/>
  <c r="V15" i="7"/>
  <c r="X15" i="7" s="1"/>
  <c r="V16" i="7"/>
  <c r="X16" i="7" s="1"/>
  <c r="V17" i="7"/>
  <c r="V18" i="7"/>
  <c r="X18" i="7" s="1"/>
  <c r="V19" i="7"/>
  <c r="V20" i="7"/>
  <c r="X20" i="7" s="1"/>
  <c r="V21" i="7"/>
  <c r="X21" i="7" s="1"/>
  <c r="V22" i="7"/>
  <c r="V23" i="7"/>
  <c r="V24" i="7"/>
  <c r="V25" i="7"/>
  <c r="W25" i="7" s="1"/>
  <c r="V26" i="7"/>
  <c r="V27" i="7"/>
  <c r="V28" i="7"/>
  <c r="X28" i="7" s="1"/>
  <c r="V29" i="7"/>
  <c r="V30" i="7"/>
  <c r="X30" i="7" s="1"/>
  <c r="V31" i="7"/>
  <c r="V32" i="7"/>
  <c r="X32" i="7" s="1"/>
  <c r="V33" i="7"/>
  <c r="X33" i="7" s="1"/>
  <c r="V34" i="7"/>
  <c r="X34" i="7" s="1"/>
  <c r="V35" i="7"/>
  <c r="X35" i="7" s="1"/>
  <c r="V36" i="7"/>
  <c r="X36" i="7" s="1"/>
  <c r="V37" i="7"/>
  <c r="V38" i="7"/>
  <c r="V39" i="7"/>
  <c r="W39" i="7" s="1"/>
  <c r="V40" i="7"/>
  <c r="V41" i="7"/>
  <c r="W41" i="7" s="1"/>
  <c r="V42" i="7"/>
  <c r="V2" i="7"/>
  <c r="W4" i="7" s="1"/>
  <c r="W46" i="6"/>
  <c r="W47" i="6"/>
  <c r="W48" i="6"/>
  <c r="W49" i="6"/>
  <c r="W50" i="6"/>
  <c r="AA50" i="6" s="1"/>
  <c r="W51" i="6"/>
  <c r="W45" i="6"/>
  <c r="W4" i="6"/>
  <c r="AA4" i="6" s="1"/>
  <c r="W10" i="6"/>
  <c r="AA10" i="6" s="1"/>
  <c r="W14" i="6"/>
  <c r="AA14" i="6" s="1"/>
  <c r="W18" i="6"/>
  <c r="W19" i="6"/>
  <c r="W23" i="6"/>
  <c r="AA23" i="6" s="1"/>
  <c r="W24" i="6"/>
  <c r="AA24" i="6" s="1"/>
  <c r="W25" i="6"/>
  <c r="AA25" i="6" s="1"/>
  <c r="W26" i="6"/>
  <c r="AA26" i="6" s="1"/>
  <c r="W30" i="6"/>
  <c r="AA30" i="6" s="1"/>
  <c r="W31" i="6"/>
  <c r="AA31" i="6" s="1"/>
  <c r="W32" i="6"/>
  <c r="AA32" i="6" s="1"/>
  <c r="W33" i="6"/>
  <c r="AA33" i="6" s="1"/>
  <c r="W42" i="6"/>
  <c r="AA42" i="6" s="1"/>
  <c r="V3" i="6"/>
  <c r="V4" i="6"/>
  <c r="X4" i="6" s="1"/>
  <c r="V5" i="6"/>
  <c r="X5" i="6" s="1"/>
  <c r="V6" i="6"/>
  <c r="X6" i="6" s="1"/>
  <c r="V7" i="6"/>
  <c r="W7" i="6" s="1"/>
  <c r="AA7" i="6" s="1"/>
  <c r="V8" i="6"/>
  <c r="X8" i="6" s="1"/>
  <c r="V9" i="6"/>
  <c r="W9" i="6" s="1"/>
  <c r="AA9" i="6" s="1"/>
  <c r="V10" i="6"/>
  <c r="V11" i="6"/>
  <c r="X11" i="6" s="1"/>
  <c r="V12" i="6"/>
  <c r="V13" i="6"/>
  <c r="V14" i="6"/>
  <c r="V15" i="6"/>
  <c r="X15" i="6" s="1"/>
  <c r="V16" i="6"/>
  <c r="X16" i="6" s="1"/>
  <c r="V17" i="6"/>
  <c r="X17" i="6" s="1"/>
  <c r="V18" i="6"/>
  <c r="X18" i="6" s="1"/>
  <c r="V19" i="6"/>
  <c r="X19" i="6" s="1"/>
  <c r="V20" i="6"/>
  <c r="V21" i="6"/>
  <c r="V22" i="6"/>
  <c r="W22" i="6" s="1"/>
  <c r="AA22" i="6" s="1"/>
  <c r="V23" i="6"/>
  <c r="V24" i="6"/>
  <c r="X24" i="6" s="1"/>
  <c r="V25" i="6"/>
  <c r="X25" i="6" s="1"/>
  <c r="V26" i="6"/>
  <c r="X26" i="6" s="1"/>
  <c r="V27" i="6"/>
  <c r="X27" i="6" s="1"/>
  <c r="V28" i="6"/>
  <c r="X28" i="6" s="1"/>
  <c r="V29" i="6"/>
  <c r="X29" i="6" s="1"/>
  <c r="V30" i="6"/>
  <c r="X30" i="6" s="1"/>
  <c r="V31" i="6"/>
  <c r="X31" i="6" s="1"/>
  <c r="V32" i="6"/>
  <c r="X32" i="6" s="1"/>
  <c r="V33" i="6"/>
  <c r="X33" i="6" s="1"/>
  <c r="V34" i="6"/>
  <c r="X34" i="6" s="1"/>
  <c r="V35" i="6"/>
  <c r="V36" i="6"/>
  <c r="V37" i="6"/>
  <c r="W37" i="6" s="1"/>
  <c r="AA37" i="6" s="1"/>
  <c r="V38" i="6"/>
  <c r="V39" i="6"/>
  <c r="V40" i="6"/>
  <c r="V41" i="6"/>
  <c r="V42" i="6"/>
  <c r="V43" i="6"/>
  <c r="V2" i="6"/>
  <c r="X12" i="6"/>
  <c r="X13" i="6"/>
  <c r="X14" i="6"/>
  <c r="X43" i="6"/>
  <c r="X44" i="6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 s="1"/>
  <c r="Z91" i="11" s="1"/>
  <c r="Z92" i="11" s="1"/>
  <c r="Z93" i="11" s="1"/>
  <c r="Z94" i="11" s="1"/>
  <c r="Z95" i="11" s="1"/>
  <c r="Z96" i="11" s="1"/>
  <c r="Z97" i="11" s="1"/>
  <c r="Z98" i="11" s="1"/>
  <c r="Z99" i="11" s="1"/>
  <c r="Z100" i="11" s="1"/>
  <c r="Z101" i="11" s="1"/>
  <c r="Z102" i="11" s="1"/>
  <c r="Z103" i="11" s="1"/>
  <c r="Z104" i="11" s="1"/>
  <c r="Z105" i="11" s="1"/>
  <c r="Z106" i="11" s="1"/>
  <c r="Z107" i="11" s="1"/>
  <c r="Z108" i="11" s="1"/>
  <c r="Z109" i="11" s="1"/>
  <c r="Z110" i="11" s="1"/>
  <c r="Z111" i="11" s="1"/>
  <c r="Z112" i="11" s="1"/>
  <c r="Z113" i="11" s="1"/>
  <c r="Z114" i="11" s="1"/>
  <c r="Z115" i="11" s="1"/>
  <c r="Z116" i="11" s="1"/>
  <c r="Z117" i="11" s="1"/>
  <c r="Z118" i="11" s="1"/>
  <c r="Z119" i="11" s="1"/>
  <c r="Z120" i="11" s="1"/>
  <c r="Z121" i="11" s="1"/>
  <c r="Z122" i="11" s="1"/>
  <c r="Z123" i="11" s="1"/>
  <c r="Z124" i="11" s="1"/>
  <c r="Z125" i="11" s="1"/>
  <c r="Z126" i="11" s="1"/>
  <c r="Z127" i="11" s="1"/>
  <c r="Z128" i="11" s="1"/>
  <c r="Z129" i="11" s="1"/>
  <c r="Z130" i="11" s="1"/>
  <c r="Z131" i="11" s="1"/>
  <c r="Z132" i="11" s="1"/>
  <c r="Z133" i="11" s="1"/>
  <c r="Z134" i="11" s="1"/>
  <c r="Z135" i="11" s="1"/>
  <c r="Z136" i="11" s="1"/>
  <c r="Z137" i="11" s="1"/>
  <c r="Z138" i="11" s="1"/>
  <c r="Z139" i="11" s="1"/>
  <c r="Z140" i="11" s="1"/>
  <c r="Z141" i="11" s="1"/>
  <c r="Z142" i="11" s="1"/>
  <c r="Z143" i="11" s="1"/>
  <c r="Z144" i="11" s="1"/>
  <c r="Z145" i="11" s="1"/>
  <c r="Z146" i="11" s="1"/>
  <c r="Z147" i="11" s="1"/>
  <c r="Z148" i="11" s="1"/>
  <c r="Z149" i="11" s="1"/>
  <c r="Z150" i="11" s="1"/>
  <c r="Z151" i="11" s="1"/>
  <c r="Z152" i="11" s="1"/>
  <c r="Z153" i="11" s="1"/>
  <c r="Z154" i="11" s="1"/>
  <c r="Z155" i="11" s="1"/>
  <c r="Z156" i="11" s="1"/>
  <c r="Z157" i="11" s="1"/>
  <c r="Z158" i="11" s="1"/>
  <c r="Z159" i="11" s="1"/>
  <c r="Z160" i="11" s="1"/>
  <c r="Z161" i="11" s="1"/>
  <c r="Z162" i="11" s="1"/>
  <c r="Z163" i="11" s="1"/>
  <c r="Z164" i="11" s="1"/>
  <c r="Z165" i="11" s="1"/>
  <c r="Z166" i="11" s="1"/>
  <c r="Z167" i="11" s="1"/>
  <c r="Z168" i="11" s="1"/>
  <c r="Z169" i="11" s="1"/>
  <c r="Z170" i="11" s="1"/>
  <c r="Z171" i="11" s="1"/>
  <c r="Z172" i="11" s="1"/>
  <c r="Z173" i="11" s="1"/>
  <c r="Z174" i="11" s="1"/>
  <c r="Z175" i="11" s="1"/>
  <c r="Z176" i="11" s="1"/>
  <c r="Z177" i="11" s="1"/>
  <c r="Z178" i="11" s="1"/>
  <c r="Z73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4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3" i="11"/>
  <c r="W4" i="11"/>
  <c r="W8" i="5"/>
  <c r="W9" i="5"/>
  <c r="W10" i="5"/>
  <c r="W11" i="5"/>
  <c r="W12" i="5"/>
  <c r="W24" i="5"/>
  <c r="W25" i="5"/>
  <c r="W26" i="5"/>
  <c r="W27" i="5"/>
  <c r="W28" i="5"/>
  <c r="W40" i="5"/>
  <c r="W41" i="5"/>
  <c r="W42" i="5"/>
  <c r="W43" i="5"/>
  <c r="W44" i="5"/>
  <c r="W56" i="5"/>
  <c r="W57" i="5"/>
  <c r="W58" i="5"/>
  <c r="W59" i="5"/>
  <c r="W60" i="5"/>
  <c r="V3" i="5"/>
  <c r="Y3" i="5" s="1"/>
  <c r="V4" i="5"/>
  <c r="V5" i="5"/>
  <c r="V6" i="5"/>
  <c r="W6" i="5" s="1"/>
  <c r="V7" i="5"/>
  <c r="X7" i="5" s="1"/>
  <c r="V8" i="5"/>
  <c r="V9" i="5"/>
  <c r="V10" i="5"/>
  <c r="Y10" i="5" s="1"/>
  <c r="V11" i="5"/>
  <c r="Y11" i="5" s="1"/>
  <c r="V12" i="5"/>
  <c r="X12" i="5" s="1"/>
  <c r="V13" i="5"/>
  <c r="V14" i="5"/>
  <c r="Y14" i="5" s="1"/>
  <c r="V15" i="5"/>
  <c r="Y15" i="5" s="1"/>
  <c r="V16" i="5"/>
  <c r="Y16" i="5" s="1"/>
  <c r="V17" i="5"/>
  <c r="Y17" i="5" s="1"/>
  <c r="V18" i="5"/>
  <c r="Y18" i="5" s="1"/>
  <c r="V19" i="5"/>
  <c r="W19" i="5" s="1"/>
  <c r="V20" i="5"/>
  <c r="V21" i="5"/>
  <c r="V22" i="5"/>
  <c r="W22" i="5" s="1"/>
  <c r="V23" i="5"/>
  <c r="W23" i="5" s="1"/>
  <c r="V24" i="5"/>
  <c r="V25" i="5"/>
  <c r="V26" i="5"/>
  <c r="V27" i="5"/>
  <c r="V28" i="5"/>
  <c r="X28" i="5" s="1"/>
  <c r="V29" i="5"/>
  <c r="V30" i="5"/>
  <c r="Y30" i="5" s="1"/>
  <c r="V31" i="5"/>
  <c r="Y31" i="5" s="1"/>
  <c r="V32" i="5"/>
  <c r="X32" i="5" s="1"/>
  <c r="V33" i="5"/>
  <c r="Y33" i="5" s="1"/>
  <c r="V34" i="5"/>
  <c r="X34" i="5" s="1"/>
  <c r="V35" i="5"/>
  <c r="V36" i="5"/>
  <c r="V37" i="5"/>
  <c r="W37" i="5" s="1"/>
  <c r="V38" i="5"/>
  <c r="W38" i="5" s="1"/>
  <c r="V39" i="5"/>
  <c r="Y39" i="5" s="1"/>
  <c r="V40" i="5"/>
  <c r="Y40" i="5" s="1"/>
  <c r="V41" i="5"/>
  <c r="X41" i="5" s="1"/>
  <c r="V42" i="5"/>
  <c r="V43" i="5"/>
  <c r="V44" i="5"/>
  <c r="V45" i="5"/>
  <c r="Y45" i="5" s="1"/>
  <c r="V46" i="5"/>
  <c r="Y46" i="5" s="1"/>
  <c r="V47" i="5"/>
  <c r="Y47" i="5" s="1"/>
  <c r="V48" i="5"/>
  <c r="Y48" i="5" s="1"/>
  <c r="V49" i="5"/>
  <c r="Y49" i="5" s="1"/>
  <c r="V50" i="5"/>
  <c r="X50" i="5" s="1"/>
  <c r="V51" i="5"/>
  <c r="V52" i="5"/>
  <c r="V53" i="5"/>
  <c r="V54" i="5"/>
  <c r="W54" i="5" s="1"/>
  <c r="V55" i="5"/>
  <c r="Y55" i="5" s="1"/>
  <c r="V56" i="5"/>
  <c r="V57" i="5"/>
  <c r="Y57" i="5" s="1"/>
  <c r="V58" i="5"/>
  <c r="V59" i="5"/>
  <c r="V60" i="5"/>
  <c r="V61" i="5"/>
  <c r="X61" i="5" s="1"/>
  <c r="V62" i="5"/>
  <c r="X62" i="5" s="1"/>
  <c r="V63" i="5"/>
  <c r="Y63" i="5" s="1"/>
  <c r="V64" i="5"/>
  <c r="Y64" i="5" s="1"/>
  <c r="V65" i="5"/>
  <c r="Y65" i="5" s="1"/>
  <c r="V66" i="5"/>
  <c r="X66" i="5" s="1"/>
  <c r="V67" i="5"/>
  <c r="W67" i="5" s="1"/>
  <c r="V68" i="5"/>
  <c r="V69" i="5"/>
  <c r="W69" i="5" s="1"/>
  <c r="V70" i="5"/>
  <c r="Y70" i="5" s="1"/>
  <c r="V71" i="5"/>
  <c r="Y71" i="5" s="1"/>
  <c r="V2" i="5"/>
  <c r="W13" i="5" s="1"/>
  <c r="Y8" i="5"/>
  <c r="Y26" i="5"/>
  <c r="Y27" i="5"/>
  <c r="X29" i="5"/>
  <c r="X42" i="5"/>
  <c r="X56" i="5"/>
  <c r="Y59" i="5"/>
  <c r="Y60" i="5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3" i="4"/>
  <c r="V3" i="4"/>
  <c r="V4" i="4"/>
  <c r="V5" i="4"/>
  <c r="V6" i="4"/>
  <c r="V7" i="4"/>
  <c r="Y7" i="4" s="1"/>
  <c r="V8" i="4"/>
  <c r="V9" i="4"/>
  <c r="X9" i="4" s="1"/>
  <c r="V10" i="4"/>
  <c r="Y10" i="4" s="1"/>
  <c r="V11" i="4"/>
  <c r="Y11" i="4" s="1"/>
  <c r="V12" i="4"/>
  <c r="Y12" i="4" s="1"/>
  <c r="V13" i="4"/>
  <c r="Y13" i="4" s="1"/>
  <c r="V14" i="4"/>
  <c r="V15" i="4"/>
  <c r="V16" i="4"/>
  <c r="V17" i="4"/>
  <c r="Y17" i="4" s="1"/>
  <c r="V18" i="4"/>
  <c r="V19" i="4"/>
  <c r="V20" i="4"/>
  <c r="V21" i="4"/>
  <c r="V22" i="4"/>
  <c r="V23" i="4"/>
  <c r="Y23" i="4" s="1"/>
  <c r="V24" i="4"/>
  <c r="V25" i="4"/>
  <c r="V26" i="4"/>
  <c r="V27" i="4"/>
  <c r="Y27" i="4" s="1"/>
  <c r="V28" i="4"/>
  <c r="Y28" i="4" s="1"/>
  <c r="V29" i="4"/>
  <c r="Y29" i="4" s="1"/>
  <c r="V30" i="4"/>
  <c r="V31" i="4"/>
  <c r="V32" i="4"/>
  <c r="V33" i="4"/>
  <c r="X33" i="4" s="1"/>
  <c r="V34" i="4"/>
  <c r="Y34" i="4" s="1"/>
  <c r="V35" i="4"/>
  <c r="V36" i="4"/>
  <c r="V37" i="4"/>
  <c r="V38" i="4"/>
  <c r="V39" i="4"/>
  <c r="Y39" i="4" s="1"/>
  <c r="V40" i="4"/>
  <c r="V41" i="4"/>
  <c r="Y41" i="4" s="1"/>
  <c r="V42" i="4"/>
  <c r="V43" i="4"/>
  <c r="Y43" i="4" s="1"/>
  <c r="V44" i="4"/>
  <c r="Y44" i="4" s="1"/>
  <c r="V45" i="4"/>
  <c r="Y45" i="4" s="1"/>
  <c r="V46" i="4"/>
  <c r="V47" i="4"/>
  <c r="V48" i="4"/>
  <c r="X48" i="4" s="1"/>
  <c r="V49" i="4"/>
  <c r="V50" i="4"/>
  <c r="Y50" i="4" s="1"/>
  <c r="V51" i="4"/>
  <c r="V52" i="4"/>
  <c r="V53" i="4"/>
  <c r="V54" i="4"/>
  <c r="V55" i="4"/>
  <c r="V56" i="4"/>
  <c r="V57" i="4"/>
  <c r="Y57" i="4" s="1"/>
  <c r="V58" i="4"/>
  <c r="V59" i="4"/>
  <c r="Y59" i="4" s="1"/>
  <c r="V60" i="4"/>
  <c r="Y60" i="4" s="1"/>
  <c r="V61" i="4"/>
  <c r="Y61" i="4" s="1"/>
  <c r="V62" i="4"/>
  <c r="V63" i="4"/>
  <c r="V64" i="4"/>
  <c r="X64" i="4" s="1"/>
  <c r="V65" i="4"/>
  <c r="V66" i="4"/>
  <c r="Y66" i="4" s="1"/>
  <c r="V67" i="4"/>
  <c r="V2" i="4"/>
  <c r="X16" i="4"/>
  <c r="Y18" i="4"/>
  <c r="Y26" i="4"/>
  <c r="Y40" i="4"/>
  <c r="Y56" i="4"/>
  <c r="Y58" i="4"/>
  <c r="Y65" i="4"/>
  <c r="X71" i="11"/>
  <c r="W71" i="11"/>
  <c r="X70" i="11"/>
  <c r="W70" i="11"/>
  <c r="X69" i="11"/>
  <c r="W69" i="11"/>
  <c r="X68" i="11"/>
  <c r="W68" i="11"/>
  <c r="X67" i="11"/>
  <c r="W67" i="11"/>
  <c r="X66" i="11"/>
  <c r="W66" i="11"/>
  <c r="X65" i="11"/>
  <c r="W65" i="11"/>
  <c r="X64" i="11"/>
  <c r="W64" i="11"/>
  <c r="X63" i="11"/>
  <c r="W63" i="11"/>
  <c r="X62" i="11"/>
  <c r="W62" i="11"/>
  <c r="X61" i="11"/>
  <c r="W61" i="11"/>
  <c r="X60" i="11"/>
  <c r="W60" i="11"/>
  <c r="X59" i="11"/>
  <c r="W59" i="11"/>
  <c r="X58" i="11"/>
  <c r="W58" i="11"/>
  <c r="X57" i="11"/>
  <c r="W57" i="11"/>
  <c r="X56" i="11"/>
  <c r="W56" i="11"/>
  <c r="X55" i="11"/>
  <c r="W55" i="11"/>
  <c r="X54" i="11"/>
  <c r="W54" i="11"/>
  <c r="X53" i="11"/>
  <c r="W53" i="11"/>
  <c r="X52" i="11"/>
  <c r="W52" i="11"/>
  <c r="X51" i="11"/>
  <c r="W51" i="11"/>
  <c r="X50" i="11"/>
  <c r="W50" i="11"/>
  <c r="X49" i="11"/>
  <c r="W49" i="11"/>
  <c r="X48" i="11"/>
  <c r="W48" i="11"/>
  <c r="X47" i="11"/>
  <c r="W47" i="11"/>
  <c r="X46" i="11"/>
  <c r="W46" i="11"/>
  <c r="X45" i="11"/>
  <c r="W45" i="11"/>
  <c r="X44" i="11"/>
  <c r="W44" i="11"/>
  <c r="X43" i="11"/>
  <c r="W43" i="11"/>
  <c r="X42" i="11"/>
  <c r="W42" i="11"/>
  <c r="X41" i="11"/>
  <c r="W41" i="11"/>
  <c r="X40" i="11"/>
  <c r="W40" i="11"/>
  <c r="X39" i="11"/>
  <c r="W39" i="11"/>
  <c r="X38" i="11"/>
  <c r="W38" i="11"/>
  <c r="X37" i="11"/>
  <c r="W37" i="11"/>
  <c r="X36" i="11"/>
  <c r="W36" i="11"/>
  <c r="X35" i="11"/>
  <c r="W35" i="11"/>
  <c r="X34" i="11"/>
  <c r="W34" i="11"/>
  <c r="X33" i="11"/>
  <c r="W33" i="11"/>
  <c r="X32" i="11"/>
  <c r="W32" i="11"/>
  <c r="X31" i="11"/>
  <c r="W31" i="11"/>
  <c r="X30" i="11"/>
  <c r="W30" i="11"/>
  <c r="X29" i="11"/>
  <c r="W29" i="11"/>
  <c r="X28" i="11"/>
  <c r="W28" i="11"/>
  <c r="X27" i="11"/>
  <c r="W27" i="11"/>
  <c r="X26" i="11"/>
  <c r="W26" i="11"/>
  <c r="X25" i="11"/>
  <c r="W25" i="11"/>
  <c r="X24" i="11"/>
  <c r="W24" i="11"/>
  <c r="X23" i="11"/>
  <c r="W23" i="11"/>
  <c r="X22" i="11"/>
  <c r="W22" i="11"/>
  <c r="X21" i="11"/>
  <c r="W21" i="11"/>
  <c r="X20" i="11"/>
  <c r="W20" i="11"/>
  <c r="X19" i="11"/>
  <c r="W19" i="11"/>
  <c r="X18" i="11"/>
  <c r="W18" i="11"/>
  <c r="X17" i="11"/>
  <c r="W17" i="11"/>
  <c r="X16" i="11"/>
  <c r="W16" i="11"/>
  <c r="X15" i="11"/>
  <c r="W15" i="11"/>
  <c r="X14" i="11"/>
  <c r="W14" i="11"/>
  <c r="X13" i="11"/>
  <c r="W13" i="11"/>
  <c r="X12" i="11"/>
  <c r="W12" i="11"/>
  <c r="X11" i="11"/>
  <c r="W11" i="11"/>
  <c r="X10" i="11"/>
  <c r="W10" i="11"/>
  <c r="X9" i="11"/>
  <c r="W9" i="11"/>
  <c r="X8" i="11"/>
  <c r="W8" i="11"/>
  <c r="X7" i="11"/>
  <c r="W7" i="11"/>
  <c r="X6" i="11"/>
  <c r="X5" i="11"/>
  <c r="W5" i="11"/>
  <c r="X4" i="11"/>
  <c r="X3" i="11"/>
  <c r="W3" i="11"/>
  <c r="AF3" i="11" s="1"/>
  <c r="AG3" i="11" s="1"/>
  <c r="AH3" i="11" s="1"/>
  <c r="AO71" i="10"/>
  <c r="AI71" i="10"/>
  <c r="AH71" i="10"/>
  <c r="X71" i="10"/>
  <c r="W71" i="10"/>
  <c r="M71" i="10"/>
  <c r="L71" i="10"/>
  <c r="AO70" i="10"/>
  <c r="AI70" i="10"/>
  <c r="AH70" i="10"/>
  <c r="X70" i="10"/>
  <c r="W70" i="10"/>
  <c r="M70" i="10"/>
  <c r="L70" i="10"/>
  <c r="AO69" i="10"/>
  <c r="AI69" i="10"/>
  <c r="AH69" i="10"/>
  <c r="X69" i="10"/>
  <c r="W69" i="10"/>
  <c r="M69" i="10"/>
  <c r="L69" i="10"/>
  <c r="AO68" i="10"/>
  <c r="AI68" i="10"/>
  <c r="AH68" i="10"/>
  <c r="X68" i="10"/>
  <c r="W68" i="10"/>
  <c r="M68" i="10"/>
  <c r="L68" i="10"/>
  <c r="AO67" i="10"/>
  <c r="AI67" i="10"/>
  <c r="AH67" i="10"/>
  <c r="X67" i="10"/>
  <c r="W67" i="10"/>
  <c r="M67" i="10"/>
  <c r="L67" i="10"/>
  <c r="AO66" i="10"/>
  <c r="AI66" i="10"/>
  <c r="AH66" i="10"/>
  <c r="X66" i="10"/>
  <c r="W66" i="10"/>
  <c r="M66" i="10"/>
  <c r="L66" i="10"/>
  <c r="AO65" i="10"/>
  <c r="AI65" i="10"/>
  <c r="AH65" i="10"/>
  <c r="X65" i="10"/>
  <c r="W65" i="10"/>
  <c r="M65" i="10"/>
  <c r="L65" i="10"/>
  <c r="AO64" i="10"/>
  <c r="AI64" i="10"/>
  <c r="AH64" i="10"/>
  <c r="X64" i="10"/>
  <c r="W64" i="10"/>
  <c r="M64" i="10"/>
  <c r="L64" i="10"/>
  <c r="AO63" i="10"/>
  <c r="AI63" i="10"/>
  <c r="AH63" i="10"/>
  <c r="X63" i="10"/>
  <c r="W63" i="10"/>
  <c r="M63" i="10"/>
  <c r="L63" i="10"/>
  <c r="AO62" i="10"/>
  <c r="AI62" i="10"/>
  <c r="AH62" i="10"/>
  <c r="X62" i="10"/>
  <c r="W62" i="10"/>
  <c r="M62" i="10"/>
  <c r="L62" i="10"/>
  <c r="AO61" i="10"/>
  <c r="AI61" i="10"/>
  <c r="AH61" i="10"/>
  <c r="X61" i="10"/>
  <c r="W61" i="10"/>
  <c r="M61" i="10"/>
  <c r="L61" i="10"/>
  <c r="AO60" i="10"/>
  <c r="AI60" i="10"/>
  <c r="AH60" i="10"/>
  <c r="X60" i="10"/>
  <c r="W60" i="10"/>
  <c r="M60" i="10"/>
  <c r="L60" i="10"/>
  <c r="AO59" i="10"/>
  <c r="AI59" i="10"/>
  <c r="AH59" i="10"/>
  <c r="X59" i="10"/>
  <c r="W59" i="10"/>
  <c r="M59" i="10"/>
  <c r="L59" i="10"/>
  <c r="AO58" i="10"/>
  <c r="AI58" i="10"/>
  <c r="AH58" i="10"/>
  <c r="X58" i="10"/>
  <c r="W58" i="10"/>
  <c r="M58" i="10"/>
  <c r="L58" i="10"/>
  <c r="AO57" i="10"/>
  <c r="AI57" i="10"/>
  <c r="AH57" i="10"/>
  <c r="X57" i="10"/>
  <c r="W57" i="10"/>
  <c r="M57" i="10"/>
  <c r="L57" i="10"/>
  <c r="AO56" i="10"/>
  <c r="AI56" i="10"/>
  <c r="AH56" i="10"/>
  <c r="X56" i="10"/>
  <c r="W56" i="10"/>
  <c r="M56" i="10"/>
  <c r="L56" i="10"/>
  <c r="AO55" i="10"/>
  <c r="AI55" i="10"/>
  <c r="AH55" i="10"/>
  <c r="X55" i="10"/>
  <c r="W55" i="10"/>
  <c r="M55" i="10"/>
  <c r="L55" i="10"/>
  <c r="AO54" i="10"/>
  <c r="AI54" i="10"/>
  <c r="AH54" i="10"/>
  <c r="X54" i="10"/>
  <c r="W54" i="10"/>
  <c r="M54" i="10"/>
  <c r="L54" i="10"/>
  <c r="AO53" i="10"/>
  <c r="AI53" i="10"/>
  <c r="AH53" i="10"/>
  <c r="X53" i="10"/>
  <c r="W53" i="10"/>
  <c r="M53" i="10"/>
  <c r="L53" i="10"/>
  <c r="AO52" i="10"/>
  <c r="AI52" i="10"/>
  <c r="AH52" i="10"/>
  <c r="X52" i="10"/>
  <c r="W52" i="10"/>
  <c r="M52" i="10"/>
  <c r="L52" i="10"/>
  <c r="AO51" i="10"/>
  <c r="AI51" i="10"/>
  <c r="AH51" i="10"/>
  <c r="X51" i="10"/>
  <c r="W51" i="10"/>
  <c r="M51" i="10"/>
  <c r="L51" i="10"/>
  <c r="AO50" i="10"/>
  <c r="AI50" i="10"/>
  <c r="AH50" i="10"/>
  <c r="X50" i="10"/>
  <c r="W50" i="10"/>
  <c r="M50" i="10"/>
  <c r="L50" i="10"/>
  <c r="AO49" i="10"/>
  <c r="AI49" i="10"/>
  <c r="AH49" i="10"/>
  <c r="X49" i="10"/>
  <c r="W49" i="10"/>
  <c r="M49" i="10"/>
  <c r="L49" i="10"/>
  <c r="AO48" i="10"/>
  <c r="AI48" i="10"/>
  <c r="AH48" i="10"/>
  <c r="X48" i="10"/>
  <c r="W48" i="10"/>
  <c r="M48" i="10"/>
  <c r="L48" i="10"/>
  <c r="AO47" i="10"/>
  <c r="AI47" i="10"/>
  <c r="AH47" i="10"/>
  <c r="X47" i="10"/>
  <c r="W47" i="10"/>
  <c r="M47" i="10"/>
  <c r="L47" i="10"/>
  <c r="AO46" i="10"/>
  <c r="AI46" i="10"/>
  <c r="AH46" i="10"/>
  <c r="X46" i="10"/>
  <c r="W46" i="10"/>
  <c r="M46" i="10"/>
  <c r="L46" i="10"/>
  <c r="AO45" i="10"/>
  <c r="AI45" i="10"/>
  <c r="AH45" i="10"/>
  <c r="X45" i="10"/>
  <c r="W45" i="10"/>
  <c r="M45" i="10"/>
  <c r="L45" i="10"/>
  <c r="AO44" i="10"/>
  <c r="AI44" i="10"/>
  <c r="AH44" i="10"/>
  <c r="X44" i="10"/>
  <c r="W44" i="10"/>
  <c r="M44" i="10"/>
  <c r="L44" i="10"/>
  <c r="AO43" i="10"/>
  <c r="AI43" i="10"/>
  <c r="AH43" i="10"/>
  <c r="X43" i="10"/>
  <c r="W43" i="10"/>
  <c r="M43" i="10"/>
  <c r="L43" i="10"/>
  <c r="AO42" i="10"/>
  <c r="AI42" i="10"/>
  <c r="AH42" i="10"/>
  <c r="X42" i="10"/>
  <c r="W42" i="10"/>
  <c r="M42" i="10"/>
  <c r="L42" i="10"/>
  <c r="AO41" i="10"/>
  <c r="AI41" i="10"/>
  <c r="AH41" i="10"/>
  <c r="X41" i="10"/>
  <c r="W41" i="10"/>
  <c r="M41" i="10"/>
  <c r="L41" i="10"/>
  <c r="AO40" i="10"/>
  <c r="AI40" i="10"/>
  <c r="AH40" i="10"/>
  <c r="X40" i="10"/>
  <c r="W40" i="10"/>
  <c r="M40" i="10"/>
  <c r="L40" i="10"/>
  <c r="AO39" i="10"/>
  <c r="AI39" i="10"/>
  <c r="AH39" i="10"/>
  <c r="X39" i="10"/>
  <c r="W39" i="10"/>
  <c r="M39" i="10"/>
  <c r="L39" i="10"/>
  <c r="AO38" i="10"/>
  <c r="AI38" i="10"/>
  <c r="AH38" i="10"/>
  <c r="X38" i="10"/>
  <c r="W38" i="10"/>
  <c r="M38" i="10"/>
  <c r="L38" i="10"/>
  <c r="AO37" i="10"/>
  <c r="AI37" i="10"/>
  <c r="AH37" i="10"/>
  <c r="X37" i="10"/>
  <c r="W37" i="10"/>
  <c r="M37" i="10"/>
  <c r="L37" i="10"/>
  <c r="AO36" i="10"/>
  <c r="AI36" i="10"/>
  <c r="AH36" i="10"/>
  <c r="X36" i="10"/>
  <c r="W36" i="10"/>
  <c r="M36" i="10"/>
  <c r="L36" i="10"/>
  <c r="AO35" i="10"/>
  <c r="AI35" i="10"/>
  <c r="AH35" i="10"/>
  <c r="X35" i="10"/>
  <c r="W35" i="10"/>
  <c r="M35" i="10"/>
  <c r="L35" i="10"/>
  <c r="AO34" i="10"/>
  <c r="AI34" i="10"/>
  <c r="AH34" i="10"/>
  <c r="X34" i="10"/>
  <c r="W34" i="10"/>
  <c r="M34" i="10"/>
  <c r="L34" i="10"/>
  <c r="AO33" i="10"/>
  <c r="AI33" i="10"/>
  <c r="AH33" i="10"/>
  <c r="X33" i="10"/>
  <c r="W33" i="10"/>
  <c r="M33" i="10"/>
  <c r="L33" i="10"/>
  <c r="AO32" i="10"/>
  <c r="AI32" i="10"/>
  <c r="AH32" i="10"/>
  <c r="X32" i="10"/>
  <c r="W32" i="10"/>
  <c r="M32" i="10"/>
  <c r="L32" i="10"/>
  <c r="AO31" i="10"/>
  <c r="AI31" i="10"/>
  <c r="AH31" i="10"/>
  <c r="X31" i="10"/>
  <c r="W31" i="10"/>
  <c r="M31" i="10"/>
  <c r="L31" i="10"/>
  <c r="BO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R30" i="10"/>
  <c r="AP30" i="10"/>
  <c r="AO30" i="10"/>
  <c r="AI30" i="10"/>
  <c r="AH30" i="10"/>
  <c r="X30" i="10"/>
  <c r="W30" i="10"/>
  <c r="M30" i="10"/>
  <c r="L30" i="10"/>
  <c r="BO29" i="10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R29" i="10"/>
  <c r="AP29" i="10"/>
  <c r="AO29" i="10"/>
  <c r="AI29" i="10"/>
  <c r="AH29" i="10"/>
  <c r="X29" i="10"/>
  <c r="W29" i="10"/>
  <c r="M29" i="10"/>
  <c r="L29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R28" i="10"/>
  <c r="AP28" i="10"/>
  <c r="AO28" i="10"/>
  <c r="AI28" i="10"/>
  <c r="AH28" i="10"/>
  <c r="X28" i="10"/>
  <c r="W28" i="10"/>
  <c r="M28" i="10"/>
  <c r="L28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R27" i="10"/>
  <c r="AP27" i="10"/>
  <c r="AO27" i="10"/>
  <c r="AL27" i="10"/>
  <c r="AI27" i="10"/>
  <c r="AH27" i="10"/>
  <c r="X27" i="10"/>
  <c r="W27" i="10"/>
  <c r="M27" i="10"/>
  <c r="L27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R26" i="10"/>
  <c r="AP26" i="10"/>
  <c r="AO26" i="10"/>
  <c r="AI26" i="10"/>
  <c r="AH26" i="10"/>
  <c r="X26" i="10"/>
  <c r="W26" i="10"/>
  <c r="M26" i="10"/>
  <c r="L26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R25" i="10"/>
  <c r="AP25" i="10"/>
  <c r="AO25" i="10"/>
  <c r="AI25" i="10"/>
  <c r="AH25" i="10"/>
  <c r="X25" i="10"/>
  <c r="W25" i="10"/>
  <c r="M25" i="10"/>
  <c r="L25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R24" i="10"/>
  <c r="AP24" i="10"/>
  <c r="AO24" i="10"/>
  <c r="AI24" i="10"/>
  <c r="AH24" i="10"/>
  <c r="X24" i="10"/>
  <c r="W24" i="10"/>
  <c r="M24" i="10"/>
  <c r="L24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R23" i="10"/>
  <c r="AP23" i="10"/>
  <c r="AO23" i="10"/>
  <c r="AI23" i="10"/>
  <c r="AH23" i="10"/>
  <c r="X23" i="10"/>
  <c r="W23" i="10"/>
  <c r="M23" i="10"/>
  <c r="L23" i="10"/>
  <c r="BO22" i="10"/>
  <c r="BN22" i="10"/>
  <c r="BM22" i="10"/>
  <c r="BL22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R22" i="10"/>
  <c r="AP22" i="10"/>
  <c r="AO22" i="10"/>
  <c r="AI22" i="10"/>
  <c r="AH22" i="10"/>
  <c r="X22" i="10"/>
  <c r="W22" i="10"/>
  <c r="M22" i="10"/>
  <c r="L22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R21" i="10"/>
  <c r="AP21" i="10"/>
  <c r="AO21" i="10"/>
  <c r="AI21" i="10"/>
  <c r="AH21" i="10"/>
  <c r="X21" i="10"/>
  <c r="W21" i="10"/>
  <c r="M21" i="10"/>
  <c r="L21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R20" i="10"/>
  <c r="AP20" i="10"/>
  <c r="AO20" i="10"/>
  <c r="AI20" i="10"/>
  <c r="AH20" i="10"/>
  <c r="X20" i="10"/>
  <c r="W20" i="10"/>
  <c r="M20" i="10"/>
  <c r="L20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R19" i="10"/>
  <c r="AP19" i="10"/>
  <c r="AO19" i="10"/>
  <c r="AI19" i="10"/>
  <c r="AH19" i="10"/>
  <c r="X19" i="10"/>
  <c r="W19" i="10"/>
  <c r="M19" i="10"/>
  <c r="L19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R18" i="10"/>
  <c r="AP18" i="10"/>
  <c r="AO18" i="10"/>
  <c r="AI18" i="10"/>
  <c r="AH18" i="10"/>
  <c r="X18" i="10"/>
  <c r="W18" i="10"/>
  <c r="M18" i="10"/>
  <c r="L18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R17" i="10"/>
  <c r="AP17" i="10"/>
  <c r="AO17" i="10"/>
  <c r="AM17" i="10"/>
  <c r="AI17" i="10"/>
  <c r="AH17" i="10"/>
  <c r="X17" i="10"/>
  <c r="W17" i="10"/>
  <c r="M17" i="10"/>
  <c r="L17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R16" i="10"/>
  <c r="AP16" i="10"/>
  <c r="AO16" i="10"/>
  <c r="AI16" i="10"/>
  <c r="AH16" i="10"/>
  <c r="X16" i="10"/>
  <c r="W16" i="10"/>
  <c r="M16" i="10"/>
  <c r="L16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R15" i="10"/>
  <c r="AP15" i="10"/>
  <c r="AO15" i="10"/>
  <c r="AI15" i="10"/>
  <c r="AH15" i="10"/>
  <c r="X15" i="10"/>
  <c r="W15" i="10"/>
  <c r="M15" i="10"/>
  <c r="L15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R14" i="10"/>
  <c r="AP14" i="10"/>
  <c r="AO14" i="10"/>
  <c r="AI14" i="10"/>
  <c r="AH14" i="10"/>
  <c r="X14" i="10"/>
  <c r="W14" i="10"/>
  <c r="M14" i="10"/>
  <c r="L14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R13" i="10"/>
  <c r="AP13" i="10"/>
  <c r="AO13" i="10"/>
  <c r="AI13" i="10"/>
  <c r="AH13" i="10"/>
  <c r="X13" i="10"/>
  <c r="W13" i="10"/>
  <c r="M13" i="10"/>
  <c r="L13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R12" i="10"/>
  <c r="AP12" i="10"/>
  <c r="AO12" i="10"/>
  <c r="AI12" i="10"/>
  <c r="AH12" i="10"/>
  <c r="X12" i="10"/>
  <c r="W12" i="10"/>
  <c r="M12" i="10"/>
  <c r="L12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R11" i="10"/>
  <c r="AP11" i="10"/>
  <c r="AO11" i="10"/>
  <c r="AI11" i="10"/>
  <c r="AH11" i="10"/>
  <c r="X11" i="10"/>
  <c r="W11" i="10"/>
  <c r="M11" i="10"/>
  <c r="L11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R10" i="10"/>
  <c r="AP10" i="10"/>
  <c r="AO10" i="10"/>
  <c r="AI10" i="10"/>
  <c r="AH10" i="10"/>
  <c r="X10" i="10"/>
  <c r="W10" i="10"/>
  <c r="M10" i="10"/>
  <c r="L10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R9" i="10"/>
  <c r="AP9" i="10"/>
  <c r="AO9" i="10"/>
  <c r="AI9" i="10"/>
  <c r="AH9" i="10"/>
  <c r="X9" i="10"/>
  <c r="W9" i="10"/>
  <c r="M9" i="10"/>
  <c r="L9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R8" i="10"/>
  <c r="AP8" i="10"/>
  <c r="AO8" i="10"/>
  <c r="AN8" i="10"/>
  <c r="AI8" i="10"/>
  <c r="AH8" i="10"/>
  <c r="X8" i="10"/>
  <c r="W8" i="10"/>
  <c r="M8" i="10"/>
  <c r="L8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R7" i="10"/>
  <c r="AP7" i="10"/>
  <c r="AO7" i="10"/>
  <c r="AI7" i="10"/>
  <c r="AH7" i="10"/>
  <c r="X7" i="10"/>
  <c r="W7" i="10"/>
  <c r="M7" i="10"/>
  <c r="L7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R6" i="10"/>
  <c r="AP6" i="10"/>
  <c r="AO6" i="10"/>
  <c r="AL6" i="10"/>
  <c r="AI6" i="10"/>
  <c r="AH6" i="10"/>
  <c r="X6" i="10"/>
  <c r="W6" i="10"/>
  <c r="M6" i="10"/>
  <c r="L6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R5" i="10"/>
  <c r="AP5" i="10"/>
  <c r="AO5" i="10"/>
  <c r="AI5" i="10"/>
  <c r="AH5" i="10"/>
  <c r="X5" i="10"/>
  <c r="W5" i="10"/>
  <c r="M5" i="10"/>
  <c r="L5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R4" i="10"/>
  <c r="AP4" i="10"/>
  <c r="AO4" i="10"/>
  <c r="AI4" i="10"/>
  <c r="AH4" i="10"/>
  <c r="X4" i="10"/>
  <c r="W4" i="10"/>
  <c r="M4" i="10"/>
  <c r="L4" i="10"/>
  <c r="BO3" i="10"/>
  <c r="BN3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R3" i="10"/>
  <c r="AP3" i="10"/>
  <c r="AI3" i="10"/>
  <c r="AH3" i="10"/>
  <c r="X3" i="10"/>
  <c r="W3" i="10"/>
  <c r="M3" i="10"/>
  <c r="L3" i="10"/>
  <c r="O42" i="7"/>
  <c r="R42" i="7" s="1"/>
  <c r="N42" i="7"/>
  <c r="P42" i="7" s="1"/>
  <c r="O41" i="7"/>
  <c r="N41" i="7"/>
  <c r="O40" i="7"/>
  <c r="N40" i="7"/>
  <c r="O39" i="7"/>
  <c r="N39" i="7"/>
  <c r="O38" i="7"/>
  <c r="N38" i="7"/>
  <c r="P36" i="7" s="1"/>
  <c r="X37" i="7"/>
  <c r="O37" i="7"/>
  <c r="N37" i="7"/>
  <c r="O36" i="7"/>
  <c r="N36" i="7"/>
  <c r="O35" i="7"/>
  <c r="N35" i="7"/>
  <c r="O34" i="7"/>
  <c r="R33" i="7" s="1"/>
  <c r="N34" i="7"/>
  <c r="O33" i="7"/>
  <c r="N33" i="7"/>
  <c r="O32" i="7"/>
  <c r="N32" i="7"/>
  <c r="O31" i="7"/>
  <c r="N31" i="7"/>
  <c r="P29" i="7" s="1"/>
  <c r="O30" i="7"/>
  <c r="R29" i="7" s="1"/>
  <c r="N30" i="7"/>
  <c r="O29" i="7"/>
  <c r="N29" i="7"/>
  <c r="O28" i="7"/>
  <c r="N28" i="7"/>
  <c r="X27" i="7"/>
  <c r="O27" i="7"/>
  <c r="N27" i="7"/>
  <c r="P25" i="7" s="1"/>
  <c r="O26" i="7"/>
  <c r="N26" i="7"/>
  <c r="O25" i="7"/>
  <c r="N25" i="7"/>
  <c r="O24" i="7"/>
  <c r="N24" i="7"/>
  <c r="P22" i="7" s="1"/>
  <c r="O23" i="7"/>
  <c r="N23" i="7"/>
  <c r="O22" i="7"/>
  <c r="N22" i="7"/>
  <c r="O21" i="7"/>
  <c r="N21" i="7"/>
  <c r="O20" i="7"/>
  <c r="N20" i="7"/>
  <c r="P18" i="7" s="1"/>
  <c r="X19" i="7"/>
  <c r="O19" i="7"/>
  <c r="N19" i="7"/>
  <c r="O18" i="7"/>
  <c r="R18" i="7" s="1"/>
  <c r="N18" i="7"/>
  <c r="O17" i="7"/>
  <c r="N17" i="7"/>
  <c r="O16" i="7"/>
  <c r="N16" i="7"/>
  <c r="O15" i="7"/>
  <c r="N15" i="7"/>
  <c r="P15" i="7" s="1"/>
  <c r="O14" i="7"/>
  <c r="N14" i="7"/>
  <c r="P14" i="7" s="1"/>
  <c r="O13" i="7"/>
  <c r="R13" i="7" s="1"/>
  <c r="N13" i="7"/>
  <c r="O12" i="7"/>
  <c r="N12" i="7"/>
  <c r="X11" i="7"/>
  <c r="R11" i="7"/>
  <c r="O11" i="7"/>
  <c r="N11" i="7"/>
  <c r="O10" i="7"/>
  <c r="N10" i="7"/>
  <c r="R10" i="7" s="1"/>
  <c r="O9" i="7"/>
  <c r="N9" i="7"/>
  <c r="O8" i="7"/>
  <c r="N8" i="7"/>
  <c r="O7" i="7"/>
  <c r="N7" i="7"/>
  <c r="P5" i="7" s="1"/>
  <c r="O6" i="7"/>
  <c r="R6" i="7" s="1"/>
  <c r="N6" i="7"/>
  <c r="O5" i="7"/>
  <c r="N5" i="7"/>
  <c r="O4" i="7"/>
  <c r="N4" i="7"/>
  <c r="O3" i="7"/>
  <c r="N3" i="7"/>
  <c r="P3" i="7" s="1"/>
  <c r="O2" i="7"/>
  <c r="N2" i="7"/>
  <c r="O43" i="6"/>
  <c r="N43" i="6"/>
  <c r="X42" i="6"/>
  <c r="O42" i="6"/>
  <c r="N42" i="6"/>
  <c r="P42" i="6" s="1"/>
  <c r="O41" i="6"/>
  <c r="N41" i="6"/>
  <c r="P39" i="6" s="1"/>
  <c r="O40" i="6"/>
  <c r="N40" i="6"/>
  <c r="O39" i="6"/>
  <c r="N39" i="6"/>
  <c r="O38" i="6"/>
  <c r="N38" i="6"/>
  <c r="O37" i="6"/>
  <c r="N37" i="6"/>
  <c r="X36" i="6"/>
  <c r="O36" i="6"/>
  <c r="N36" i="6"/>
  <c r="X35" i="6"/>
  <c r="O35" i="6"/>
  <c r="N35" i="6"/>
  <c r="P33" i="6" s="1"/>
  <c r="O34" i="6"/>
  <c r="N34" i="6"/>
  <c r="O33" i="6"/>
  <c r="N33" i="6"/>
  <c r="O32" i="6"/>
  <c r="N32" i="6"/>
  <c r="O31" i="6"/>
  <c r="N31" i="6"/>
  <c r="O30" i="6"/>
  <c r="N30" i="6"/>
  <c r="O29" i="6"/>
  <c r="N29" i="6"/>
  <c r="O28" i="6"/>
  <c r="P26" i="6" s="1"/>
  <c r="N28" i="6"/>
  <c r="O27" i="6"/>
  <c r="N27" i="6"/>
  <c r="O26" i="6"/>
  <c r="N26" i="6"/>
  <c r="O25" i="6"/>
  <c r="N25" i="6"/>
  <c r="O24" i="6"/>
  <c r="N24" i="6"/>
  <c r="X23" i="6"/>
  <c r="O23" i="6"/>
  <c r="N23" i="6"/>
  <c r="O22" i="6"/>
  <c r="N22" i="6"/>
  <c r="O21" i="6"/>
  <c r="R20" i="6" s="1"/>
  <c r="N21" i="6"/>
  <c r="O20" i="6"/>
  <c r="N20" i="6"/>
  <c r="O19" i="6"/>
  <c r="N19" i="6"/>
  <c r="O18" i="6"/>
  <c r="N18" i="6"/>
  <c r="O17" i="6"/>
  <c r="N17" i="6"/>
  <c r="P15" i="6" s="1"/>
  <c r="O16" i="6"/>
  <c r="R15" i="6" s="1"/>
  <c r="N16" i="6"/>
  <c r="O15" i="6"/>
  <c r="N15" i="6"/>
  <c r="O14" i="6"/>
  <c r="N14" i="6"/>
  <c r="O13" i="6"/>
  <c r="N13" i="6"/>
  <c r="O12" i="6"/>
  <c r="N12" i="6"/>
  <c r="O11" i="6"/>
  <c r="N11" i="6"/>
  <c r="X10" i="6"/>
  <c r="O10" i="6"/>
  <c r="N10" i="6"/>
  <c r="X9" i="6"/>
  <c r="O9" i="6"/>
  <c r="N9" i="6"/>
  <c r="O8" i="6"/>
  <c r="N8" i="6"/>
  <c r="O7" i="6"/>
  <c r="N7" i="6"/>
  <c r="O6" i="6"/>
  <c r="N6" i="6"/>
  <c r="O5" i="6"/>
  <c r="N5" i="6"/>
  <c r="O4" i="6"/>
  <c r="N4" i="6"/>
  <c r="P2" i="6" s="1"/>
  <c r="X3" i="6"/>
  <c r="O3" i="6"/>
  <c r="N3" i="6"/>
  <c r="P3" i="6" s="1"/>
  <c r="X2" i="6"/>
  <c r="O2" i="6"/>
  <c r="N2" i="6"/>
  <c r="O69" i="5"/>
  <c r="N69" i="5"/>
  <c r="P69" i="5" s="1"/>
  <c r="O68" i="5"/>
  <c r="N68" i="5"/>
  <c r="P68" i="5" s="1"/>
  <c r="Y67" i="5"/>
  <c r="O67" i="5"/>
  <c r="N67" i="5"/>
  <c r="P65" i="5" s="1"/>
  <c r="O66" i="5"/>
  <c r="N66" i="5"/>
  <c r="O65" i="5"/>
  <c r="N65" i="5"/>
  <c r="O64" i="5"/>
  <c r="N64" i="5"/>
  <c r="O63" i="5"/>
  <c r="N63" i="5"/>
  <c r="O62" i="5"/>
  <c r="N62" i="5"/>
  <c r="P60" i="5" s="1"/>
  <c r="O61" i="5"/>
  <c r="R61" i="5" s="1"/>
  <c r="N61" i="5"/>
  <c r="P61" i="5" s="1"/>
  <c r="O60" i="5"/>
  <c r="N60" i="5"/>
  <c r="O59" i="5"/>
  <c r="N59" i="5"/>
  <c r="Y58" i="5"/>
  <c r="X58" i="5"/>
  <c r="O58" i="5"/>
  <c r="N58" i="5"/>
  <c r="O57" i="5"/>
  <c r="N57" i="5"/>
  <c r="Y56" i="5"/>
  <c r="O56" i="5"/>
  <c r="N56" i="5"/>
  <c r="P54" i="5" s="1"/>
  <c r="O55" i="5"/>
  <c r="N55" i="5"/>
  <c r="P53" i="5" s="1"/>
  <c r="O54" i="5"/>
  <c r="N54" i="5"/>
  <c r="O53" i="5"/>
  <c r="N53" i="5"/>
  <c r="O52" i="5"/>
  <c r="N52" i="5"/>
  <c r="O51" i="5"/>
  <c r="N51" i="5"/>
  <c r="O50" i="5"/>
  <c r="N50" i="5"/>
  <c r="O49" i="5"/>
  <c r="N49" i="5"/>
  <c r="P47" i="5" s="1"/>
  <c r="O48" i="5"/>
  <c r="N48" i="5"/>
  <c r="P46" i="5" s="1"/>
  <c r="O47" i="5"/>
  <c r="N47" i="5"/>
  <c r="P45" i="5" s="1"/>
  <c r="O46" i="5"/>
  <c r="N46" i="5"/>
  <c r="O45" i="5"/>
  <c r="R45" i="5" s="1"/>
  <c r="N45" i="5"/>
  <c r="Y44" i="5"/>
  <c r="O44" i="5"/>
  <c r="N44" i="5"/>
  <c r="Y43" i="5"/>
  <c r="O43" i="5"/>
  <c r="N43" i="5"/>
  <c r="Y42" i="5"/>
  <c r="O42" i="5"/>
  <c r="N42" i="5"/>
  <c r="O41" i="5"/>
  <c r="R40" i="5" s="1"/>
  <c r="N41" i="5"/>
  <c r="X40" i="5"/>
  <c r="O40" i="5"/>
  <c r="N40" i="5"/>
  <c r="O39" i="5"/>
  <c r="N39" i="5"/>
  <c r="R38" i="5"/>
  <c r="O38" i="5"/>
  <c r="N38" i="5"/>
  <c r="O37" i="5"/>
  <c r="N37" i="5"/>
  <c r="P35" i="5" s="1"/>
  <c r="O36" i="5"/>
  <c r="N36" i="5"/>
  <c r="O35" i="5"/>
  <c r="N35" i="5"/>
  <c r="O34" i="5"/>
  <c r="N34" i="5"/>
  <c r="O33" i="5"/>
  <c r="N33" i="5"/>
  <c r="O32" i="5"/>
  <c r="N32" i="5"/>
  <c r="O31" i="5"/>
  <c r="N31" i="5"/>
  <c r="O30" i="5"/>
  <c r="N30" i="5"/>
  <c r="P28" i="5" s="1"/>
  <c r="O29" i="5"/>
  <c r="P29" i="5" s="1"/>
  <c r="N29" i="5"/>
  <c r="O28" i="5"/>
  <c r="N28" i="5"/>
  <c r="O27" i="5"/>
  <c r="N27" i="5"/>
  <c r="O26" i="5"/>
  <c r="N26" i="5"/>
  <c r="X25" i="5"/>
  <c r="O25" i="5"/>
  <c r="N25" i="5"/>
  <c r="Y24" i="5"/>
  <c r="X24" i="5"/>
  <c r="O24" i="5"/>
  <c r="N24" i="5"/>
  <c r="P22" i="5" s="1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P15" i="5" s="1"/>
  <c r="O16" i="5"/>
  <c r="N16" i="5"/>
  <c r="P14" i="5" s="1"/>
  <c r="O15" i="5"/>
  <c r="N15" i="5"/>
  <c r="O14" i="5"/>
  <c r="R14" i="5" s="1"/>
  <c r="N14" i="5"/>
  <c r="X13" i="5"/>
  <c r="O13" i="5"/>
  <c r="N13" i="5"/>
  <c r="P13" i="5" s="1"/>
  <c r="O12" i="5"/>
  <c r="N12" i="5"/>
  <c r="O11" i="5"/>
  <c r="N11" i="5"/>
  <c r="O10" i="5"/>
  <c r="N10" i="5"/>
  <c r="X9" i="5"/>
  <c r="O9" i="5"/>
  <c r="N9" i="5"/>
  <c r="X8" i="5"/>
  <c r="O8" i="5"/>
  <c r="N8" i="5"/>
  <c r="O7" i="5"/>
  <c r="N7" i="5"/>
  <c r="P5" i="5" s="1"/>
  <c r="Y6" i="5"/>
  <c r="R6" i="5"/>
  <c r="O6" i="5"/>
  <c r="N6" i="5"/>
  <c r="O5" i="5"/>
  <c r="R5" i="5" s="1"/>
  <c r="N5" i="5"/>
  <c r="O4" i="5"/>
  <c r="R3" i="5" s="1"/>
  <c r="N4" i="5"/>
  <c r="O3" i="5"/>
  <c r="N3" i="5"/>
  <c r="Y2" i="5"/>
  <c r="O2" i="5"/>
  <c r="N2" i="5"/>
  <c r="P2" i="5" s="1"/>
  <c r="Y68" i="4"/>
  <c r="Y67" i="4"/>
  <c r="X67" i="4"/>
  <c r="O67" i="4"/>
  <c r="N67" i="4"/>
  <c r="O66" i="4"/>
  <c r="N66" i="4"/>
  <c r="O65" i="4"/>
  <c r="N65" i="4"/>
  <c r="O64" i="4"/>
  <c r="N64" i="4"/>
  <c r="Y63" i="4"/>
  <c r="O63" i="4"/>
  <c r="N63" i="4"/>
  <c r="O62" i="4"/>
  <c r="N62" i="4"/>
  <c r="O61" i="4"/>
  <c r="N61" i="4"/>
  <c r="O60" i="4"/>
  <c r="N60" i="4"/>
  <c r="O59" i="4"/>
  <c r="N59" i="4"/>
  <c r="O58" i="4"/>
  <c r="N58" i="4"/>
  <c r="O57" i="4"/>
  <c r="N57" i="4"/>
  <c r="O56" i="4"/>
  <c r="N56" i="4"/>
  <c r="Y55" i="4"/>
  <c r="O55" i="4"/>
  <c r="N55" i="4"/>
  <c r="Y54" i="4"/>
  <c r="X54" i="4"/>
  <c r="O54" i="4"/>
  <c r="N54" i="4"/>
  <c r="Y53" i="4"/>
  <c r="O53" i="4"/>
  <c r="N53" i="4"/>
  <c r="X52" i="4"/>
  <c r="O52" i="4"/>
  <c r="N52" i="4"/>
  <c r="Y51" i="4"/>
  <c r="X51" i="4"/>
  <c r="O51" i="4"/>
  <c r="N51" i="4"/>
  <c r="O50" i="4"/>
  <c r="N50" i="4"/>
  <c r="Y49" i="4"/>
  <c r="O49" i="4"/>
  <c r="N49" i="4"/>
  <c r="O48" i="4"/>
  <c r="N48" i="4"/>
  <c r="Y47" i="4"/>
  <c r="O47" i="4"/>
  <c r="N47" i="4"/>
  <c r="O46" i="4"/>
  <c r="N46" i="4"/>
  <c r="O45" i="4"/>
  <c r="N45" i="4"/>
  <c r="O44" i="4"/>
  <c r="N44" i="4"/>
  <c r="O43" i="4"/>
  <c r="N43" i="4"/>
  <c r="Y42" i="4"/>
  <c r="O42" i="4"/>
  <c r="N42" i="4"/>
  <c r="O41" i="4"/>
  <c r="N41" i="4"/>
  <c r="O40" i="4"/>
  <c r="N40" i="4"/>
  <c r="O39" i="4"/>
  <c r="N39" i="4"/>
  <c r="Y38" i="4"/>
  <c r="X38" i="4"/>
  <c r="O38" i="4"/>
  <c r="N38" i="4"/>
  <c r="Y37" i="4"/>
  <c r="O37" i="4"/>
  <c r="N37" i="4"/>
  <c r="Y36" i="4"/>
  <c r="O36" i="4"/>
  <c r="N36" i="4"/>
  <c r="Y35" i="4"/>
  <c r="X35" i="4"/>
  <c r="O35" i="4"/>
  <c r="N35" i="4"/>
  <c r="O34" i="4"/>
  <c r="N34" i="4"/>
  <c r="O33" i="4"/>
  <c r="N33" i="4"/>
  <c r="X32" i="4"/>
  <c r="O32" i="4"/>
  <c r="N32" i="4"/>
  <c r="Y31" i="4"/>
  <c r="O31" i="4"/>
  <c r="N31" i="4"/>
  <c r="O30" i="4"/>
  <c r="N30" i="4"/>
  <c r="O29" i="4"/>
  <c r="N29" i="4"/>
  <c r="O28" i="4"/>
  <c r="N28" i="4"/>
  <c r="O27" i="4"/>
  <c r="N27" i="4"/>
  <c r="O26" i="4"/>
  <c r="N26" i="4"/>
  <c r="Y25" i="4"/>
  <c r="O25" i="4"/>
  <c r="N25" i="4"/>
  <c r="Y24" i="4"/>
  <c r="O24" i="4"/>
  <c r="N24" i="4"/>
  <c r="O23" i="4"/>
  <c r="N23" i="4"/>
  <c r="Y22" i="4"/>
  <c r="X22" i="4"/>
  <c r="O22" i="4"/>
  <c r="N22" i="4"/>
  <c r="Y21" i="4"/>
  <c r="O21" i="4"/>
  <c r="N21" i="4"/>
  <c r="Y20" i="4"/>
  <c r="X20" i="4"/>
  <c r="O20" i="4"/>
  <c r="N20" i="4"/>
  <c r="Y19" i="4"/>
  <c r="X19" i="4"/>
  <c r="O19" i="4"/>
  <c r="N19" i="4"/>
  <c r="O18" i="4"/>
  <c r="N18" i="4"/>
  <c r="O17" i="4"/>
  <c r="N17" i="4"/>
  <c r="O16" i="4"/>
  <c r="N16" i="4"/>
  <c r="Y15" i="4"/>
  <c r="O15" i="4"/>
  <c r="N15" i="4"/>
  <c r="P13" i="4" s="1"/>
  <c r="Y14" i="4"/>
  <c r="O14" i="4"/>
  <c r="N14" i="4"/>
  <c r="R14" i="4" s="1"/>
  <c r="O13" i="4"/>
  <c r="N13" i="4"/>
  <c r="P11" i="4" s="1"/>
  <c r="O12" i="4"/>
  <c r="N12" i="4"/>
  <c r="O11" i="4"/>
  <c r="N11" i="4"/>
  <c r="P9" i="4" s="1"/>
  <c r="R10" i="4"/>
  <c r="P10" i="4"/>
  <c r="O10" i="4"/>
  <c r="N10" i="4"/>
  <c r="Y9" i="4"/>
  <c r="R9" i="4"/>
  <c r="O9" i="4"/>
  <c r="N9" i="4"/>
  <c r="X8" i="4"/>
  <c r="O8" i="4"/>
  <c r="N8" i="4"/>
  <c r="P6" i="4" s="1"/>
  <c r="O7" i="4"/>
  <c r="R7" i="4" s="1"/>
  <c r="N7" i="4"/>
  <c r="Y6" i="4"/>
  <c r="O6" i="4"/>
  <c r="N6" i="4"/>
  <c r="P4" i="4" s="1"/>
  <c r="Y5" i="4"/>
  <c r="O5" i="4"/>
  <c r="R4" i="4" s="1"/>
  <c r="N5" i="4"/>
  <c r="Y4" i="4"/>
  <c r="X4" i="4"/>
  <c r="O4" i="4"/>
  <c r="N4" i="4"/>
  <c r="P2" i="4" s="1"/>
  <c r="O3" i="4"/>
  <c r="N3" i="4"/>
  <c r="R3" i="4" s="1"/>
  <c r="X2" i="4"/>
  <c r="O2" i="4"/>
  <c r="N2" i="4"/>
  <c r="W56" i="3"/>
  <c r="W57" i="3" s="1"/>
  <c r="W58" i="3" s="1"/>
  <c r="W59" i="3" s="1"/>
  <c r="V54" i="3"/>
  <c r="O54" i="3"/>
  <c r="N54" i="3"/>
  <c r="V53" i="3"/>
  <c r="O53" i="3"/>
  <c r="N53" i="3"/>
  <c r="P54" i="3" s="1"/>
  <c r="V52" i="3"/>
  <c r="O52" i="3"/>
  <c r="N52" i="3"/>
  <c r="V51" i="3"/>
  <c r="O51" i="3"/>
  <c r="N51" i="3"/>
  <c r="V50" i="3"/>
  <c r="O50" i="3"/>
  <c r="N50" i="3"/>
  <c r="V49" i="3"/>
  <c r="O49" i="3"/>
  <c r="N49" i="3"/>
  <c r="V48" i="3"/>
  <c r="O48" i="3"/>
  <c r="N48" i="3"/>
  <c r="V47" i="3"/>
  <c r="O47" i="3"/>
  <c r="N47" i="3"/>
  <c r="V46" i="3"/>
  <c r="O46" i="3"/>
  <c r="N46" i="3"/>
  <c r="V45" i="3"/>
  <c r="O45" i="3"/>
  <c r="N45" i="3"/>
  <c r="V44" i="3"/>
  <c r="O44" i="3"/>
  <c r="N44" i="3"/>
  <c r="V43" i="3"/>
  <c r="O43" i="3"/>
  <c r="N43" i="3"/>
  <c r="V42" i="3"/>
  <c r="O42" i="3"/>
  <c r="N42" i="3"/>
  <c r="V41" i="3"/>
  <c r="O41" i="3"/>
  <c r="N41" i="3"/>
  <c r="V40" i="3"/>
  <c r="O40" i="3"/>
  <c r="N40" i="3"/>
  <c r="V39" i="3"/>
  <c r="O39" i="3"/>
  <c r="N39" i="3"/>
  <c r="V38" i="3"/>
  <c r="O38" i="3"/>
  <c r="N38" i="3"/>
  <c r="V37" i="3"/>
  <c r="O37" i="3"/>
  <c r="N37" i="3"/>
  <c r="V36" i="3"/>
  <c r="O36" i="3"/>
  <c r="N36" i="3"/>
  <c r="V35" i="3"/>
  <c r="O35" i="3"/>
  <c r="N35" i="3"/>
  <c r="V34" i="3"/>
  <c r="O34" i="3"/>
  <c r="N34" i="3"/>
  <c r="V33" i="3"/>
  <c r="O33" i="3"/>
  <c r="N33" i="3"/>
  <c r="V32" i="3"/>
  <c r="O32" i="3"/>
  <c r="N32" i="3"/>
  <c r="V31" i="3"/>
  <c r="O31" i="3"/>
  <c r="N31" i="3"/>
  <c r="V30" i="3"/>
  <c r="O30" i="3"/>
  <c r="N30" i="3"/>
  <c r="V29" i="3"/>
  <c r="O29" i="3"/>
  <c r="N29" i="3"/>
  <c r="V28" i="3"/>
  <c r="O28" i="3"/>
  <c r="N28" i="3"/>
  <c r="V27" i="3"/>
  <c r="O27" i="3"/>
  <c r="N27" i="3"/>
  <c r="V26" i="3"/>
  <c r="O26" i="3"/>
  <c r="N26" i="3"/>
  <c r="V25" i="3"/>
  <c r="O25" i="3"/>
  <c r="N25" i="3"/>
  <c r="V24" i="3"/>
  <c r="O24" i="3"/>
  <c r="N24" i="3"/>
  <c r="V23" i="3"/>
  <c r="O23" i="3"/>
  <c r="N23" i="3"/>
  <c r="V22" i="3"/>
  <c r="O22" i="3"/>
  <c r="N22" i="3"/>
  <c r="V21" i="3"/>
  <c r="O21" i="3"/>
  <c r="N21" i="3"/>
  <c r="V20" i="3"/>
  <c r="O20" i="3"/>
  <c r="N20" i="3"/>
  <c r="V19" i="3"/>
  <c r="O19" i="3"/>
  <c r="N19" i="3"/>
  <c r="V18" i="3"/>
  <c r="O18" i="3"/>
  <c r="N18" i="3"/>
  <c r="V17" i="3"/>
  <c r="O17" i="3"/>
  <c r="N17" i="3"/>
  <c r="V16" i="3"/>
  <c r="O16" i="3"/>
  <c r="N16" i="3"/>
  <c r="V15" i="3"/>
  <c r="O15" i="3"/>
  <c r="N15" i="3"/>
  <c r="V14" i="3"/>
  <c r="O14" i="3"/>
  <c r="N14" i="3"/>
  <c r="V13" i="3"/>
  <c r="O13" i="3"/>
  <c r="N13" i="3"/>
  <c r="V12" i="3"/>
  <c r="O12" i="3"/>
  <c r="N12" i="3"/>
  <c r="V11" i="3"/>
  <c r="O11" i="3"/>
  <c r="N11" i="3"/>
  <c r="V10" i="3"/>
  <c r="U10" i="3"/>
  <c r="O10" i="3"/>
  <c r="N10" i="3"/>
  <c r="V9" i="3"/>
  <c r="O9" i="3"/>
  <c r="N9" i="3"/>
  <c r="V8" i="3"/>
  <c r="O8" i="3"/>
  <c r="N8" i="3"/>
  <c r="V7" i="3"/>
  <c r="O7" i="3"/>
  <c r="N7" i="3"/>
  <c r="V6" i="3"/>
  <c r="O6" i="3"/>
  <c r="N6" i="3"/>
  <c r="V5" i="3"/>
  <c r="O5" i="3"/>
  <c r="N5" i="3"/>
  <c r="V4" i="3"/>
  <c r="O4" i="3"/>
  <c r="N4" i="3"/>
  <c r="V3" i="3"/>
  <c r="O3" i="3"/>
  <c r="N3" i="3"/>
  <c r="X2" i="3"/>
  <c r="V2" i="3"/>
  <c r="O2" i="3"/>
  <c r="N2" i="3"/>
  <c r="W67" i="2"/>
  <c r="Z67" i="2" s="1"/>
  <c r="P67" i="2"/>
  <c r="O67" i="2"/>
  <c r="W66" i="2"/>
  <c r="Z66" i="2" s="1"/>
  <c r="P66" i="2"/>
  <c r="O66" i="2"/>
  <c r="W65" i="2"/>
  <c r="Z65" i="2" s="1"/>
  <c r="P65" i="2"/>
  <c r="O65" i="2"/>
  <c r="W64" i="2"/>
  <c r="Z64" i="2" s="1"/>
  <c r="P64" i="2"/>
  <c r="O64" i="2"/>
  <c r="W63" i="2"/>
  <c r="Z63" i="2" s="1"/>
  <c r="P63" i="2"/>
  <c r="O63" i="2"/>
  <c r="W62" i="2"/>
  <c r="Z62" i="2" s="1"/>
  <c r="P62" i="2"/>
  <c r="O62" i="2"/>
  <c r="W61" i="2"/>
  <c r="Z61" i="2" s="1"/>
  <c r="P61" i="2"/>
  <c r="O61" i="2"/>
  <c r="W60" i="2"/>
  <c r="Z60" i="2" s="1"/>
  <c r="P60" i="2"/>
  <c r="O60" i="2"/>
  <c r="W59" i="2"/>
  <c r="Z59" i="2" s="1"/>
  <c r="P59" i="2"/>
  <c r="O59" i="2"/>
  <c r="W58" i="2"/>
  <c r="Z58" i="2" s="1"/>
  <c r="P58" i="2"/>
  <c r="O58" i="2"/>
  <c r="W57" i="2"/>
  <c r="P57" i="2"/>
  <c r="O57" i="2"/>
  <c r="W56" i="2"/>
  <c r="Z56" i="2" s="1"/>
  <c r="P56" i="2"/>
  <c r="O56" i="2"/>
  <c r="W55" i="2"/>
  <c r="Z55" i="2" s="1"/>
  <c r="P55" i="2"/>
  <c r="O55" i="2"/>
  <c r="W54" i="2"/>
  <c r="Z54" i="2" s="1"/>
  <c r="P54" i="2"/>
  <c r="O54" i="2"/>
  <c r="Q52" i="2" s="1"/>
  <c r="W53" i="2"/>
  <c r="Z53" i="2" s="1"/>
  <c r="P53" i="2"/>
  <c r="O53" i="2"/>
  <c r="W52" i="2"/>
  <c r="Z52" i="2" s="1"/>
  <c r="P52" i="2"/>
  <c r="O52" i="2"/>
  <c r="W51" i="2"/>
  <c r="Z51" i="2" s="1"/>
  <c r="P51" i="2"/>
  <c r="O51" i="2"/>
  <c r="W50" i="2"/>
  <c r="Z50" i="2" s="1"/>
  <c r="P50" i="2"/>
  <c r="O50" i="2"/>
  <c r="W49" i="2"/>
  <c r="Z49" i="2" s="1"/>
  <c r="P49" i="2"/>
  <c r="O49" i="2"/>
  <c r="W48" i="2"/>
  <c r="Z48" i="2" s="1"/>
  <c r="P48" i="2"/>
  <c r="O48" i="2"/>
  <c r="W47" i="2"/>
  <c r="Z47" i="2" s="1"/>
  <c r="P47" i="2"/>
  <c r="O47" i="2"/>
  <c r="W46" i="2"/>
  <c r="Z46" i="2" s="1"/>
  <c r="P46" i="2"/>
  <c r="O46" i="2"/>
  <c r="W45" i="2"/>
  <c r="Z45" i="2" s="1"/>
  <c r="P45" i="2"/>
  <c r="O45" i="2"/>
  <c r="W44" i="2"/>
  <c r="Z44" i="2" s="1"/>
  <c r="P44" i="2"/>
  <c r="O44" i="2"/>
  <c r="W43" i="2"/>
  <c r="Z43" i="2" s="1"/>
  <c r="P43" i="2"/>
  <c r="O43" i="2"/>
  <c r="W42" i="2"/>
  <c r="Z42" i="2" s="1"/>
  <c r="P42" i="2"/>
  <c r="O42" i="2"/>
  <c r="W41" i="2"/>
  <c r="Z41" i="2" s="1"/>
  <c r="P41" i="2"/>
  <c r="O41" i="2"/>
  <c r="W40" i="2"/>
  <c r="Z40" i="2" s="1"/>
  <c r="P40" i="2"/>
  <c r="O40" i="2"/>
  <c r="W39" i="2"/>
  <c r="Z39" i="2" s="1"/>
  <c r="P39" i="2"/>
  <c r="O39" i="2"/>
  <c r="W38" i="2"/>
  <c r="Z38" i="2" s="1"/>
  <c r="P38" i="2"/>
  <c r="O38" i="2"/>
  <c r="W37" i="2"/>
  <c r="Z37" i="2" s="1"/>
  <c r="P37" i="2"/>
  <c r="O37" i="2"/>
  <c r="W36" i="2"/>
  <c r="Z36" i="2" s="1"/>
  <c r="P36" i="2"/>
  <c r="O36" i="2"/>
  <c r="W35" i="2"/>
  <c r="Z35" i="2" s="1"/>
  <c r="P35" i="2"/>
  <c r="O35" i="2"/>
  <c r="W34" i="2"/>
  <c r="Z34" i="2" s="1"/>
  <c r="P34" i="2"/>
  <c r="O34" i="2"/>
  <c r="W33" i="2"/>
  <c r="Z33" i="2" s="1"/>
  <c r="P33" i="2"/>
  <c r="O33" i="2"/>
  <c r="W32" i="2"/>
  <c r="Z32" i="2" s="1"/>
  <c r="P32" i="2"/>
  <c r="O32" i="2"/>
  <c r="W31" i="2"/>
  <c r="Z31" i="2" s="1"/>
  <c r="P31" i="2"/>
  <c r="O31" i="2"/>
  <c r="W30" i="2"/>
  <c r="Z30" i="2" s="1"/>
  <c r="P30" i="2"/>
  <c r="O30" i="2"/>
  <c r="W29" i="2"/>
  <c r="Z29" i="2" s="1"/>
  <c r="P29" i="2"/>
  <c r="O29" i="2"/>
  <c r="W28" i="2"/>
  <c r="Z28" i="2" s="1"/>
  <c r="P28" i="2"/>
  <c r="O28" i="2"/>
  <c r="W27" i="2"/>
  <c r="Z27" i="2" s="1"/>
  <c r="P27" i="2"/>
  <c r="O27" i="2"/>
  <c r="W26" i="2"/>
  <c r="Z26" i="2" s="1"/>
  <c r="P26" i="2"/>
  <c r="O26" i="2"/>
  <c r="W25" i="2"/>
  <c r="Z25" i="2" s="1"/>
  <c r="P25" i="2"/>
  <c r="O25" i="2"/>
  <c r="W24" i="2"/>
  <c r="Z24" i="2" s="1"/>
  <c r="P24" i="2"/>
  <c r="O24" i="2"/>
  <c r="W23" i="2"/>
  <c r="Z23" i="2" s="1"/>
  <c r="P23" i="2"/>
  <c r="O23" i="2"/>
  <c r="W22" i="2"/>
  <c r="Z22" i="2" s="1"/>
  <c r="P22" i="2"/>
  <c r="O22" i="2"/>
  <c r="W21" i="2"/>
  <c r="Z21" i="2" s="1"/>
  <c r="P21" i="2"/>
  <c r="O21" i="2"/>
  <c r="W20" i="2"/>
  <c r="P20" i="2"/>
  <c r="O20" i="2"/>
  <c r="W19" i="2"/>
  <c r="Z19" i="2" s="1"/>
  <c r="P19" i="2"/>
  <c r="O19" i="2"/>
  <c r="W18" i="2"/>
  <c r="Z18" i="2" s="1"/>
  <c r="P18" i="2"/>
  <c r="O18" i="2"/>
  <c r="W17" i="2"/>
  <c r="Z17" i="2" s="1"/>
  <c r="P17" i="2"/>
  <c r="O17" i="2"/>
  <c r="W16" i="2"/>
  <c r="Z16" i="2" s="1"/>
  <c r="P16" i="2"/>
  <c r="O16" i="2"/>
  <c r="W15" i="2"/>
  <c r="Z15" i="2" s="1"/>
  <c r="P15" i="2"/>
  <c r="O15" i="2"/>
  <c r="W14" i="2"/>
  <c r="Z14" i="2" s="1"/>
  <c r="P14" i="2"/>
  <c r="O14" i="2"/>
  <c r="W13" i="2"/>
  <c r="Z13" i="2" s="1"/>
  <c r="P13" i="2"/>
  <c r="O13" i="2"/>
  <c r="W12" i="2"/>
  <c r="Z12" i="2" s="1"/>
  <c r="V12" i="2"/>
  <c r="P12" i="2"/>
  <c r="O12" i="2"/>
  <c r="W11" i="2"/>
  <c r="P11" i="2"/>
  <c r="O11" i="2"/>
  <c r="W10" i="2"/>
  <c r="Z10" i="2" s="1"/>
  <c r="P10" i="2"/>
  <c r="O10" i="2"/>
  <c r="W9" i="2"/>
  <c r="P9" i="2"/>
  <c r="O9" i="2"/>
  <c r="W8" i="2"/>
  <c r="Z8" i="2" s="1"/>
  <c r="P8" i="2"/>
  <c r="O8" i="2"/>
  <c r="W7" i="2"/>
  <c r="Z7" i="2" s="1"/>
  <c r="P7" i="2"/>
  <c r="O7" i="2"/>
  <c r="Q7" i="2" s="1"/>
  <c r="W6" i="2"/>
  <c r="AA6" i="2" s="1"/>
  <c r="P6" i="2"/>
  <c r="O6" i="2"/>
  <c r="W5" i="2"/>
  <c r="Z5" i="2" s="1"/>
  <c r="P5" i="2"/>
  <c r="O5" i="2"/>
  <c r="W4" i="2"/>
  <c r="Z4" i="2" s="1"/>
  <c r="P4" i="2"/>
  <c r="O4" i="2"/>
  <c r="AM3" i="2"/>
  <c r="W3" i="2"/>
  <c r="Z3" i="2" s="1"/>
  <c r="P3" i="2"/>
  <c r="O3" i="2"/>
  <c r="Y2" i="2"/>
  <c r="W2" i="2"/>
  <c r="P2" i="2"/>
  <c r="O2" i="2"/>
  <c r="Z72" i="1"/>
  <c r="W72" i="1"/>
  <c r="W71" i="1"/>
  <c r="W70" i="1"/>
  <c r="V70" i="1"/>
  <c r="Z70" i="1" s="1"/>
  <c r="O70" i="1"/>
  <c r="N70" i="1"/>
  <c r="W69" i="1"/>
  <c r="V69" i="1"/>
  <c r="O69" i="1"/>
  <c r="N69" i="1"/>
  <c r="P70" i="1" s="1"/>
  <c r="W68" i="1"/>
  <c r="V68" i="1"/>
  <c r="O68" i="1"/>
  <c r="N68" i="1"/>
  <c r="W67" i="1"/>
  <c r="V67" i="1"/>
  <c r="O67" i="1"/>
  <c r="N67" i="1"/>
  <c r="W66" i="1"/>
  <c r="V66" i="1"/>
  <c r="O66" i="1"/>
  <c r="N66" i="1"/>
  <c r="W65" i="1"/>
  <c r="V65" i="1"/>
  <c r="O65" i="1"/>
  <c r="N65" i="1"/>
  <c r="W64" i="1"/>
  <c r="V64" i="1"/>
  <c r="O64" i="1"/>
  <c r="N64" i="1"/>
  <c r="W63" i="1"/>
  <c r="V63" i="1"/>
  <c r="O63" i="1"/>
  <c r="N63" i="1"/>
  <c r="W62" i="1"/>
  <c r="V62" i="1"/>
  <c r="O62" i="1"/>
  <c r="N62" i="1"/>
  <c r="P63" i="1" s="1"/>
  <c r="W61" i="1"/>
  <c r="V61" i="1"/>
  <c r="O61" i="1"/>
  <c r="N61" i="1"/>
  <c r="W60" i="1"/>
  <c r="V60" i="1"/>
  <c r="O60" i="1"/>
  <c r="N60" i="1"/>
  <c r="W59" i="1"/>
  <c r="V59" i="1"/>
  <c r="O59" i="1"/>
  <c r="N59" i="1"/>
  <c r="W58" i="1"/>
  <c r="V58" i="1"/>
  <c r="O58" i="1"/>
  <c r="N58" i="1"/>
  <c r="P59" i="1" s="1"/>
  <c r="W57" i="1"/>
  <c r="V57" i="1"/>
  <c r="O57" i="1"/>
  <c r="N57" i="1"/>
  <c r="W56" i="1"/>
  <c r="V56" i="1"/>
  <c r="O56" i="1"/>
  <c r="N56" i="1"/>
  <c r="W55" i="1"/>
  <c r="V55" i="1"/>
  <c r="O55" i="1"/>
  <c r="N55" i="1"/>
  <c r="W54" i="1"/>
  <c r="V54" i="1"/>
  <c r="Z54" i="1" s="1"/>
  <c r="O54" i="1"/>
  <c r="N54" i="1"/>
  <c r="W53" i="1"/>
  <c r="V53" i="1"/>
  <c r="O53" i="1"/>
  <c r="N53" i="1"/>
  <c r="W52" i="1"/>
  <c r="V52" i="1"/>
  <c r="O52" i="1"/>
  <c r="N52" i="1"/>
  <c r="W51" i="1"/>
  <c r="V51" i="1"/>
  <c r="O51" i="1"/>
  <c r="N51" i="1"/>
  <c r="W50" i="1"/>
  <c r="V50" i="1"/>
  <c r="O50" i="1"/>
  <c r="N50" i="1"/>
  <c r="W49" i="1"/>
  <c r="V49" i="1"/>
  <c r="O49" i="1"/>
  <c r="N49" i="1"/>
  <c r="W48" i="1"/>
  <c r="V48" i="1"/>
  <c r="O48" i="1"/>
  <c r="N48" i="1"/>
  <c r="W47" i="1"/>
  <c r="V47" i="1"/>
  <c r="Z47" i="1" s="1"/>
  <c r="O47" i="1"/>
  <c r="N47" i="1"/>
  <c r="W46" i="1"/>
  <c r="V46" i="1"/>
  <c r="O46" i="1"/>
  <c r="N46" i="1"/>
  <c r="W45" i="1"/>
  <c r="V45" i="1"/>
  <c r="O45" i="1"/>
  <c r="N45" i="1"/>
  <c r="W44" i="1"/>
  <c r="V44" i="1"/>
  <c r="O44" i="1"/>
  <c r="N44" i="1"/>
  <c r="W43" i="1"/>
  <c r="V43" i="1"/>
  <c r="O43" i="1"/>
  <c r="N43" i="1"/>
  <c r="W42" i="1"/>
  <c r="V42" i="1"/>
  <c r="Y42" i="1" s="1"/>
  <c r="O42" i="1"/>
  <c r="N42" i="1"/>
  <c r="W41" i="1"/>
  <c r="V41" i="1"/>
  <c r="O41" i="1"/>
  <c r="N41" i="1"/>
  <c r="W40" i="1"/>
  <c r="V40" i="1"/>
  <c r="O40" i="1"/>
  <c r="N40" i="1"/>
  <c r="W39" i="1"/>
  <c r="V39" i="1"/>
  <c r="O39" i="1"/>
  <c r="N39" i="1"/>
  <c r="W38" i="1"/>
  <c r="V38" i="1"/>
  <c r="O38" i="1"/>
  <c r="N38" i="1"/>
  <c r="W37" i="1"/>
  <c r="V37" i="1"/>
  <c r="O37" i="1"/>
  <c r="N37" i="1"/>
  <c r="W36" i="1"/>
  <c r="V36" i="1"/>
  <c r="O36" i="1"/>
  <c r="N36" i="1"/>
  <c r="W35" i="1"/>
  <c r="V35" i="1"/>
  <c r="Z35" i="1" s="1"/>
  <c r="O35" i="1"/>
  <c r="N35" i="1"/>
  <c r="W34" i="1"/>
  <c r="V34" i="1"/>
  <c r="O34" i="1"/>
  <c r="N34" i="1"/>
  <c r="W33" i="1"/>
  <c r="V33" i="1"/>
  <c r="O33" i="1"/>
  <c r="N33" i="1"/>
  <c r="W32" i="1"/>
  <c r="V32" i="1"/>
  <c r="O32" i="1"/>
  <c r="N32" i="1"/>
  <c r="W31" i="1"/>
  <c r="V31" i="1"/>
  <c r="Z31" i="1" s="1"/>
  <c r="O31" i="1"/>
  <c r="N31" i="1"/>
  <c r="W30" i="1"/>
  <c r="V30" i="1"/>
  <c r="O30" i="1"/>
  <c r="N30" i="1"/>
  <c r="W29" i="1"/>
  <c r="V29" i="1"/>
  <c r="O29" i="1"/>
  <c r="N29" i="1"/>
  <c r="W28" i="1"/>
  <c r="V28" i="1"/>
  <c r="O28" i="1"/>
  <c r="N28" i="1"/>
  <c r="W27" i="1"/>
  <c r="V27" i="1"/>
  <c r="O27" i="1"/>
  <c r="N27" i="1"/>
  <c r="W26" i="1"/>
  <c r="V26" i="1"/>
  <c r="Z26" i="1" s="1"/>
  <c r="O26" i="1"/>
  <c r="N26" i="1"/>
  <c r="W25" i="1"/>
  <c r="V25" i="1"/>
  <c r="O25" i="1"/>
  <c r="N25" i="1"/>
  <c r="W24" i="1"/>
  <c r="V24" i="1"/>
  <c r="O24" i="1"/>
  <c r="N24" i="1"/>
  <c r="W23" i="1"/>
  <c r="V23" i="1"/>
  <c r="O23" i="1"/>
  <c r="N23" i="1"/>
  <c r="W22" i="1"/>
  <c r="V22" i="1"/>
  <c r="O22" i="1"/>
  <c r="N22" i="1"/>
  <c r="W21" i="1"/>
  <c r="V21" i="1"/>
  <c r="O21" i="1"/>
  <c r="N21" i="1"/>
  <c r="W20" i="1"/>
  <c r="V20" i="1"/>
  <c r="O20" i="1"/>
  <c r="N20" i="1"/>
  <c r="W19" i="1"/>
  <c r="V19" i="1"/>
  <c r="O19" i="1"/>
  <c r="N19" i="1"/>
  <c r="W18" i="1"/>
  <c r="V18" i="1"/>
  <c r="O18" i="1"/>
  <c r="N18" i="1"/>
  <c r="W17" i="1"/>
  <c r="V17" i="1"/>
  <c r="O17" i="1"/>
  <c r="N17" i="1"/>
  <c r="W16" i="1"/>
  <c r="V16" i="1"/>
  <c r="O16" i="1"/>
  <c r="N16" i="1"/>
  <c r="W15" i="1"/>
  <c r="V15" i="1"/>
  <c r="O15" i="1"/>
  <c r="N15" i="1"/>
  <c r="W14" i="1"/>
  <c r="V14" i="1"/>
  <c r="O14" i="1"/>
  <c r="N14" i="1"/>
  <c r="W13" i="1"/>
  <c r="V13" i="1"/>
  <c r="O13" i="1"/>
  <c r="N13" i="1"/>
  <c r="W12" i="1"/>
  <c r="V12" i="1"/>
  <c r="O12" i="1"/>
  <c r="N12" i="1"/>
  <c r="W11" i="1"/>
  <c r="V11" i="1"/>
  <c r="U11" i="1"/>
  <c r="O11" i="1"/>
  <c r="N11" i="1"/>
  <c r="W10" i="1"/>
  <c r="V10" i="1"/>
  <c r="Z10" i="1" s="1"/>
  <c r="O10" i="1"/>
  <c r="N10" i="1"/>
  <c r="W9" i="1"/>
  <c r="V9" i="1"/>
  <c r="O9" i="1"/>
  <c r="N9" i="1"/>
  <c r="W8" i="1"/>
  <c r="V8" i="1"/>
  <c r="O8" i="1"/>
  <c r="N8" i="1"/>
  <c r="W7" i="1"/>
  <c r="V7" i="1"/>
  <c r="U7" i="1"/>
  <c r="O7" i="1"/>
  <c r="N7" i="1"/>
  <c r="W6" i="1"/>
  <c r="V6" i="1"/>
  <c r="Z6" i="1" s="1"/>
  <c r="O6" i="1"/>
  <c r="N6" i="1"/>
  <c r="W5" i="1"/>
  <c r="V5" i="1"/>
  <c r="O5" i="1"/>
  <c r="N5" i="1"/>
  <c r="W4" i="1"/>
  <c r="V4" i="1"/>
  <c r="O4" i="1"/>
  <c r="N4" i="1"/>
  <c r="W3" i="1"/>
  <c r="V3" i="1"/>
  <c r="O3" i="1"/>
  <c r="N3" i="1"/>
  <c r="W2" i="1"/>
  <c r="O2" i="1"/>
  <c r="N2" i="1"/>
  <c r="M2" i="1"/>
  <c r="G13" i="9"/>
  <c r="K6" i="9"/>
  <c r="K5" i="9"/>
  <c r="K4" i="9"/>
  <c r="K3" i="9"/>
  <c r="H3" i="9"/>
  <c r="K2" i="9"/>
  <c r="H2" i="9"/>
  <c r="R70" i="8"/>
  <c r="Q70" i="8"/>
  <c r="P70" i="8"/>
  <c r="O70" i="8"/>
  <c r="N70" i="8"/>
  <c r="R69" i="8"/>
  <c r="Q69" i="8"/>
  <c r="P69" i="8"/>
  <c r="O69" i="8"/>
  <c r="N69" i="8"/>
  <c r="R68" i="8"/>
  <c r="Q68" i="8"/>
  <c r="P68" i="8"/>
  <c r="O68" i="8"/>
  <c r="N68" i="8"/>
  <c r="R67" i="8"/>
  <c r="Q67" i="8"/>
  <c r="P67" i="8"/>
  <c r="O67" i="8"/>
  <c r="N67" i="8"/>
  <c r="R66" i="8"/>
  <c r="Q66" i="8"/>
  <c r="P66" i="8"/>
  <c r="O66" i="8"/>
  <c r="N66" i="8"/>
  <c r="R65" i="8"/>
  <c r="Q65" i="8"/>
  <c r="P65" i="8"/>
  <c r="O65" i="8"/>
  <c r="N65" i="8"/>
  <c r="R64" i="8"/>
  <c r="Q64" i="8"/>
  <c r="P64" i="8"/>
  <c r="O64" i="8"/>
  <c r="N64" i="8"/>
  <c r="R63" i="8"/>
  <c r="Q63" i="8"/>
  <c r="P63" i="8"/>
  <c r="O63" i="8"/>
  <c r="N63" i="8"/>
  <c r="R62" i="8"/>
  <c r="Q62" i="8"/>
  <c r="P62" i="8"/>
  <c r="O62" i="8"/>
  <c r="N62" i="8"/>
  <c r="R61" i="8"/>
  <c r="Q61" i="8"/>
  <c r="P61" i="8"/>
  <c r="O61" i="8"/>
  <c r="N61" i="8"/>
  <c r="R60" i="8"/>
  <c r="Q60" i="8"/>
  <c r="P60" i="8"/>
  <c r="O60" i="8"/>
  <c r="N60" i="8"/>
  <c r="R59" i="8"/>
  <c r="Q59" i="8"/>
  <c r="P59" i="8"/>
  <c r="O59" i="8"/>
  <c r="N59" i="8"/>
  <c r="R58" i="8"/>
  <c r="Q58" i="8"/>
  <c r="P58" i="8"/>
  <c r="O58" i="8"/>
  <c r="N58" i="8"/>
  <c r="R57" i="8"/>
  <c r="Q57" i="8"/>
  <c r="P57" i="8"/>
  <c r="O57" i="8"/>
  <c r="N57" i="8"/>
  <c r="R56" i="8"/>
  <c r="Q56" i="8"/>
  <c r="P56" i="8"/>
  <c r="O56" i="8"/>
  <c r="N56" i="8"/>
  <c r="R55" i="8"/>
  <c r="Q55" i="8"/>
  <c r="P55" i="8"/>
  <c r="O55" i="8"/>
  <c r="N55" i="8"/>
  <c r="R54" i="8"/>
  <c r="Q54" i="8"/>
  <c r="P54" i="8"/>
  <c r="O54" i="8"/>
  <c r="N54" i="8"/>
  <c r="R53" i="8"/>
  <c r="Q53" i="8"/>
  <c r="P53" i="8"/>
  <c r="O53" i="8"/>
  <c r="N53" i="8"/>
  <c r="R52" i="8"/>
  <c r="Q52" i="8"/>
  <c r="P52" i="8"/>
  <c r="O52" i="8"/>
  <c r="N52" i="8"/>
  <c r="R51" i="8"/>
  <c r="Q51" i="8"/>
  <c r="P51" i="8"/>
  <c r="O51" i="8"/>
  <c r="N51" i="8"/>
  <c r="R50" i="8"/>
  <c r="Q50" i="8"/>
  <c r="P50" i="8"/>
  <c r="O50" i="8"/>
  <c r="N50" i="8"/>
  <c r="R49" i="8"/>
  <c r="Q49" i="8"/>
  <c r="P49" i="8"/>
  <c r="O49" i="8"/>
  <c r="N49" i="8"/>
  <c r="R48" i="8"/>
  <c r="Q48" i="8"/>
  <c r="P48" i="8"/>
  <c r="O48" i="8"/>
  <c r="N48" i="8"/>
  <c r="R47" i="8"/>
  <c r="Q47" i="8"/>
  <c r="P47" i="8"/>
  <c r="O47" i="8"/>
  <c r="N47" i="8"/>
  <c r="R46" i="8"/>
  <c r="Q46" i="8"/>
  <c r="P46" i="8"/>
  <c r="O46" i="8"/>
  <c r="N46" i="8"/>
  <c r="R45" i="8"/>
  <c r="Q45" i="8"/>
  <c r="P45" i="8"/>
  <c r="O45" i="8"/>
  <c r="N45" i="8"/>
  <c r="R44" i="8"/>
  <c r="Q44" i="8"/>
  <c r="P44" i="8"/>
  <c r="O44" i="8"/>
  <c r="N44" i="8"/>
  <c r="R43" i="8"/>
  <c r="Q43" i="8"/>
  <c r="P43" i="8"/>
  <c r="O43" i="8"/>
  <c r="N43" i="8"/>
  <c r="R42" i="8"/>
  <c r="Q42" i="8"/>
  <c r="P42" i="8"/>
  <c r="O42" i="8"/>
  <c r="N42" i="8"/>
  <c r="R41" i="8"/>
  <c r="Q41" i="8"/>
  <c r="P41" i="8"/>
  <c r="O41" i="8"/>
  <c r="N41" i="8"/>
  <c r="R40" i="8"/>
  <c r="Q40" i="8"/>
  <c r="P40" i="8"/>
  <c r="O40" i="8"/>
  <c r="N40" i="8"/>
  <c r="R39" i="8"/>
  <c r="Q39" i="8"/>
  <c r="P39" i="8"/>
  <c r="O39" i="8"/>
  <c r="N39" i="8"/>
  <c r="R38" i="8"/>
  <c r="Q38" i="8"/>
  <c r="P38" i="8"/>
  <c r="O38" i="8"/>
  <c r="N38" i="8"/>
  <c r="R37" i="8"/>
  <c r="Q37" i="8"/>
  <c r="P37" i="8"/>
  <c r="O37" i="8"/>
  <c r="N37" i="8"/>
  <c r="R36" i="8"/>
  <c r="Q36" i="8"/>
  <c r="P36" i="8"/>
  <c r="O36" i="8"/>
  <c r="N36" i="8"/>
  <c r="R35" i="8"/>
  <c r="Q35" i="8"/>
  <c r="P35" i="8"/>
  <c r="O35" i="8"/>
  <c r="N35" i="8"/>
  <c r="R34" i="8"/>
  <c r="Q34" i="8"/>
  <c r="P34" i="8"/>
  <c r="O34" i="8"/>
  <c r="N34" i="8"/>
  <c r="R33" i="8"/>
  <c r="Q33" i="8"/>
  <c r="P33" i="8"/>
  <c r="O33" i="8"/>
  <c r="N33" i="8"/>
  <c r="R32" i="8"/>
  <c r="Q32" i="8"/>
  <c r="P32" i="8"/>
  <c r="O32" i="8"/>
  <c r="N32" i="8"/>
  <c r="R31" i="8"/>
  <c r="Q31" i="8"/>
  <c r="P31" i="8"/>
  <c r="O31" i="8"/>
  <c r="N31" i="8"/>
  <c r="R30" i="8"/>
  <c r="Q30" i="8"/>
  <c r="P30" i="8"/>
  <c r="O30" i="8"/>
  <c r="N30" i="8"/>
  <c r="R29" i="8"/>
  <c r="Q29" i="8"/>
  <c r="P29" i="8"/>
  <c r="O29" i="8"/>
  <c r="N29" i="8"/>
  <c r="R28" i="8"/>
  <c r="Q28" i="8"/>
  <c r="P28" i="8"/>
  <c r="O28" i="8"/>
  <c r="N28" i="8"/>
  <c r="R27" i="8"/>
  <c r="Q27" i="8"/>
  <c r="P27" i="8"/>
  <c r="O27" i="8"/>
  <c r="N27" i="8"/>
  <c r="R26" i="8"/>
  <c r="Q26" i="8"/>
  <c r="P26" i="8"/>
  <c r="O26" i="8"/>
  <c r="N26" i="8"/>
  <c r="R25" i="8"/>
  <c r="Q25" i="8"/>
  <c r="P25" i="8"/>
  <c r="O25" i="8"/>
  <c r="N25" i="8"/>
  <c r="R24" i="8"/>
  <c r="Q24" i="8"/>
  <c r="P24" i="8"/>
  <c r="O24" i="8"/>
  <c r="N24" i="8"/>
  <c r="R23" i="8"/>
  <c r="Q23" i="8"/>
  <c r="P23" i="8"/>
  <c r="O23" i="8"/>
  <c r="N23" i="8"/>
  <c r="R22" i="8"/>
  <c r="Q22" i="8"/>
  <c r="P22" i="8"/>
  <c r="O22" i="8"/>
  <c r="N22" i="8"/>
  <c r="R21" i="8"/>
  <c r="Q21" i="8"/>
  <c r="P21" i="8"/>
  <c r="O21" i="8"/>
  <c r="N21" i="8"/>
  <c r="R20" i="8"/>
  <c r="Q20" i="8"/>
  <c r="P20" i="8"/>
  <c r="O20" i="8"/>
  <c r="N20" i="8"/>
  <c r="R19" i="8"/>
  <c r="Q19" i="8"/>
  <c r="P19" i="8"/>
  <c r="O19" i="8"/>
  <c r="N19" i="8"/>
  <c r="R18" i="8"/>
  <c r="Q18" i="8"/>
  <c r="P18" i="8"/>
  <c r="O18" i="8"/>
  <c r="N18" i="8"/>
  <c r="R17" i="8"/>
  <c r="Q17" i="8"/>
  <c r="P17" i="8"/>
  <c r="O17" i="8"/>
  <c r="N17" i="8"/>
  <c r="R16" i="8"/>
  <c r="Q16" i="8"/>
  <c r="P16" i="8"/>
  <c r="O16" i="8"/>
  <c r="N16" i="8"/>
  <c r="R15" i="8"/>
  <c r="Q15" i="8"/>
  <c r="P15" i="8"/>
  <c r="O15" i="8"/>
  <c r="N15" i="8"/>
  <c r="R14" i="8"/>
  <c r="Q14" i="8"/>
  <c r="P14" i="8"/>
  <c r="O14" i="8"/>
  <c r="N14" i="8"/>
  <c r="R13" i="8"/>
  <c r="Q13" i="8"/>
  <c r="P13" i="8"/>
  <c r="O13" i="8"/>
  <c r="N13" i="8"/>
  <c r="R12" i="8"/>
  <c r="Q12" i="8"/>
  <c r="P12" i="8"/>
  <c r="O12" i="8"/>
  <c r="N12" i="8"/>
  <c r="R11" i="8"/>
  <c r="Q11" i="8"/>
  <c r="P11" i="8"/>
  <c r="O11" i="8"/>
  <c r="N11" i="8"/>
  <c r="R10" i="8"/>
  <c r="Q10" i="8"/>
  <c r="P10" i="8"/>
  <c r="O10" i="8"/>
  <c r="N10" i="8"/>
  <c r="R9" i="8"/>
  <c r="Q9" i="8"/>
  <c r="P9" i="8"/>
  <c r="O9" i="8"/>
  <c r="N9" i="8"/>
  <c r="R8" i="8"/>
  <c r="Q8" i="8"/>
  <c r="P8" i="8"/>
  <c r="O8" i="8"/>
  <c r="N8" i="8"/>
  <c r="R7" i="8"/>
  <c r="Q7" i="8"/>
  <c r="P7" i="8"/>
  <c r="O7" i="8"/>
  <c r="N7" i="8"/>
  <c r="R6" i="8"/>
  <c r="Q6" i="8"/>
  <c r="P6" i="8"/>
  <c r="O6" i="8"/>
  <c r="N6" i="8"/>
  <c r="R5" i="8"/>
  <c r="Q5" i="8"/>
  <c r="P5" i="8"/>
  <c r="O5" i="8"/>
  <c r="N5" i="8"/>
  <c r="R4" i="8"/>
  <c r="Q4" i="8"/>
  <c r="P4" i="8"/>
  <c r="O4" i="8"/>
  <c r="N4" i="8"/>
  <c r="R3" i="8"/>
  <c r="Q3" i="8"/>
  <c r="P3" i="8"/>
  <c r="O3" i="8"/>
  <c r="N3" i="8"/>
  <c r="R2" i="8"/>
  <c r="Q2" i="8"/>
  <c r="P2" i="8"/>
  <c r="O2" i="8"/>
  <c r="N2" i="8"/>
  <c r="AA3" i="7" l="1"/>
  <c r="R14" i="7"/>
  <c r="R8" i="7"/>
  <c r="P7" i="7"/>
  <c r="X42" i="7"/>
  <c r="W42" i="7"/>
  <c r="X26" i="7"/>
  <c r="W26" i="7"/>
  <c r="X10" i="7"/>
  <c r="W10" i="7"/>
  <c r="W9" i="7"/>
  <c r="X9" i="7"/>
  <c r="X40" i="7"/>
  <c r="W40" i="7"/>
  <c r="X24" i="7"/>
  <c r="W24" i="7"/>
  <c r="X8" i="7"/>
  <c r="W8" i="7"/>
  <c r="X23" i="7"/>
  <c r="W23" i="7"/>
  <c r="X7" i="7"/>
  <c r="W7" i="7"/>
  <c r="X22" i="7"/>
  <c r="W22" i="7"/>
  <c r="X6" i="7"/>
  <c r="W6" i="7"/>
  <c r="R23" i="7"/>
  <c r="R31" i="7"/>
  <c r="P23" i="7"/>
  <c r="R38" i="7"/>
  <c r="R25" i="7"/>
  <c r="X39" i="7"/>
  <c r="R5" i="7"/>
  <c r="P12" i="7"/>
  <c r="X25" i="7"/>
  <c r="P38" i="7"/>
  <c r="W3" i="7"/>
  <c r="R12" i="7"/>
  <c r="P19" i="7"/>
  <c r="R32" i="7"/>
  <c r="R39" i="7"/>
  <c r="W35" i="7"/>
  <c r="X38" i="7"/>
  <c r="W38" i="7"/>
  <c r="P4" i="7"/>
  <c r="P11" i="7"/>
  <c r="R19" i="7"/>
  <c r="P32" i="7"/>
  <c r="P39" i="7"/>
  <c r="W34" i="7"/>
  <c r="W49" i="7"/>
  <c r="P2" i="7"/>
  <c r="R17" i="7"/>
  <c r="R22" i="7"/>
  <c r="P35" i="7"/>
  <c r="W37" i="7"/>
  <c r="W21" i="7"/>
  <c r="W5" i="7"/>
  <c r="R2" i="7"/>
  <c r="R9" i="7"/>
  <c r="R26" i="7"/>
  <c r="P33" i="7"/>
  <c r="R41" i="7"/>
  <c r="R35" i="7"/>
  <c r="R15" i="7"/>
  <c r="R21" i="7"/>
  <c r="P26" i="7"/>
  <c r="R4" i="7"/>
  <c r="P16" i="7"/>
  <c r="R28" i="7"/>
  <c r="R16" i="7"/>
  <c r="P20" i="7"/>
  <c r="P28" i="7"/>
  <c r="R36" i="7"/>
  <c r="W36" i="7"/>
  <c r="W20" i="7"/>
  <c r="R7" i="6"/>
  <c r="W6" i="6"/>
  <c r="AA6" i="6" s="1"/>
  <c r="R37" i="6"/>
  <c r="R2" i="6"/>
  <c r="W52" i="6"/>
  <c r="AA51" i="6"/>
  <c r="X41" i="6"/>
  <c r="W41" i="6"/>
  <c r="AA41" i="6" s="1"/>
  <c r="AB45" i="6"/>
  <c r="X40" i="6"/>
  <c r="W40" i="6"/>
  <c r="AA40" i="6" s="1"/>
  <c r="P40" i="6"/>
  <c r="X39" i="6"/>
  <c r="W39" i="6"/>
  <c r="AA39" i="6" s="1"/>
  <c r="W38" i="6"/>
  <c r="AA38" i="6" s="1"/>
  <c r="X38" i="6"/>
  <c r="X21" i="6"/>
  <c r="W21" i="6"/>
  <c r="AA21" i="6" s="1"/>
  <c r="X7" i="6"/>
  <c r="R14" i="6"/>
  <c r="R28" i="6"/>
  <c r="X20" i="6"/>
  <c r="W20" i="6"/>
  <c r="AA20" i="6" s="1"/>
  <c r="W8" i="6"/>
  <c r="AA8" i="6" s="1"/>
  <c r="X22" i="6"/>
  <c r="R43" i="6"/>
  <c r="P7" i="6"/>
  <c r="X37" i="6"/>
  <c r="W5" i="6"/>
  <c r="AA5" i="6" s="1"/>
  <c r="R23" i="6"/>
  <c r="R31" i="6"/>
  <c r="P23" i="6"/>
  <c r="P9" i="6"/>
  <c r="P19" i="6"/>
  <c r="P5" i="6"/>
  <c r="R10" i="6"/>
  <c r="P18" i="6"/>
  <c r="P27" i="6"/>
  <c r="W11" i="6"/>
  <c r="AA11" i="6" s="1"/>
  <c r="W27" i="6"/>
  <c r="AA27" i="6" s="1"/>
  <c r="W43" i="6"/>
  <c r="AA43" i="6" s="1"/>
  <c r="W12" i="6"/>
  <c r="AA12" i="6" s="1"/>
  <c r="W28" i="6"/>
  <c r="AA28" i="6" s="1"/>
  <c r="W3" i="6"/>
  <c r="AA3" i="6" s="1"/>
  <c r="W13" i="6"/>
  <c r="AA13" i="6" s="1"/>
  <c r="W29" i="6"/>
  <c r="AA29" i="6" s="1"/>
  <c r="W36" i="6"/>
  <c r="AA36" i="6" s="1"/>
  <c r="W17" i="6"/>
  <c r="AA17" i="6" s="1"/>
  <c r="R26" i="6"/>
  <c r="R34" i="6"/>
  <c r="R40" i="6"/>
  <c r="W35" i="6"/>
  <c r="AA35" i="6" s="1"/>
  <c r="W16" i="6"/>
  <c r="AA16" i="6" s="1"/>
  <c r="P13" i="6"/>
  <c r="W34" i="6"/>
  <c r="AA34" i="6" s="1"/>
  <c r="W15" i="6"/>
  <c r="AA15" i="6" s="1"/>
  <c r="R18" i="6"/>
  <c r="P31" i="6"/>
  <c r="P37" i="6"/>
  <c r="P4" i="6"/>
  <c r="P10" i="6"/>
  <c r="W315" i="5"/>
  <c r="Y53" i="5"/>
  <c r="W53" i="5"/>
  <c r="X5" i="5"/>
  <c r="W5" i="5"/>
  <c r="R55" i="5"/>
  <c r="R54" i="5"/>
  <c r="Y68" i="5"/>
  <c r="W68" i="5"/>
  <c r="X52" i="5"/>
  <c r="W52" i="5"/>
  <c r="Y4" i="5"/>
  <c r="W4" i="5"/>
  <c r="W51" i="5"/>
  <c r="Y51" i="5"/>
  <c r="R47" i="5"/>
  <c r="W3" i="5"/>
  <c r="W70" i="5"/>
  <c r="R23" i="5"/>
  <c r="R22" i="5"/>
  <c r="R62" i="5"/>
  <c r="P55" i="5"/>
  <c r="X69" i="5"/>
  <c r="R29" i="5"/>
  <c r="R30" i="5"/>
  <c r="P42" i="5"/>
  <c r="P3" i="5"/>
  <c r="R44" i="5"/>
  <c r="W55" i="5"/>
  <c r="W7" i="5"/>
  <c r="Y36" i="5"/>
  <c r="W36" i="5"/>
  <c r="R69" i="5"/>
  <c r="R37" i="5"/>
  <c r="P23" i="5"/>
  <c r="P10" i="5"/>
  <c r="R13" i="5"/>
  <c r="X21" i="5"/>
  <c r="W21" i="5"/>
  <c r="W20" i="5"/>
  <c r="Y20" i="5"/>
  <c r="W39" i="5"/>
  <c r="Y35" i="5"/>
  <c r="W35" i="5"/>
  <c r="Y23" i="5"/>
  <c r="Y37" i="5"/>
  <c r="P49" i="5"/>
  <c r="P17" i="5"/>
  <c r="R12" i="5"/>
  <c r="Y19" i="5"/>
  <c r="P37" i="5"/>
  <c r="R63" i="5"/>
  <c r="P12" i="5"/>
  <c r="P19" i="5"/>
  <c r="P38" i="5"/>
  <c r="P63" i="5"/>
  <c r="W66" i="5"/>
  <c r="W50" i="5"/>
  <c r="W34" i="5"/>
  <c r="W18" i="5"/>
  <c r="R24" i="5"/>
  <c r="P6" i="5"/>
  <c r="P24" i="5"/>
  <c r="R21" i="5"/>
  <c r="P51" i="5"/>
  <c r="W65" i="5"/>
  <c r="W49" i="5"/>
  <c r="W33" i="5"/>
  <c r="W17" i="5"/>
  <c r="R7" i="5"/>
  <c r="R31" i="5"/>
  <c r="P56" i="5"/>
  <c r="P31" i="5"/>
  <c r="P7" i="5"/>
  <c r="R33" i="5"/>
  <c r="P44" i="5"/>
  <c r="R53" i="5"/>
  <c r="W64" i="5"/>
  <c r="W48" i="5"/>
  <c r="W32" i="5"/>
  <c r="W16" i="5"/>
  <c r="R57" i="5"/>
  <c r="P62" i="5"/>
  <c r="P26" i="5"/>
  <c r="P33" i="5"/>
  <c r="P39" i="5"/>
  <c r="R46" i="5"/>
  <c r="W63" i="5"/>
  <c r="W47" i="5"/>
  <c r="W31" i="5"/>
  <c r="W15" i="5"/>
  <c r="P30" i="5"/>
  <c r="R39" i="5"/>
  <c r="R28" i="5"/>
  <c r="P58" i="5"/>
  <c r="W62" i="5"/>
  <c r="W46" i="5"/>
  <c r="W30" i="5"/>
  <c r="W14" i="5"/>
  <c r="P8" i="5"/>
  <c r="R15" i="5"/>
  <c r="P21" i="5"/>
  <c r="P40" i="5"/>
  <c r="R60" i="5"/>
  <c r="W61" i="5"/>
  <c r="W45" i="5"/>
  <c r="W29" i="5"/>
  <c r="Q34" i="2"/>
  <c r="S9" i="2"/>
  <c r="Q9" i="2"/>
  <c r="S10" i="2"/>
  <c r="AF2" i="2"/>
  <c r="AF3" i="2"/>
  <c r="AE4" i="2"/>
  <c r="X11" i="2"/>
  <c r="Y11" i="2" s="1"/>
  <c r="S53" i="2"/>
  <c r="S66" i="2"/>
  <c r="S61" i="2"/>
  <c r="S41" i="2"/>
  <c r="AA9" i="2"/>
  <c r="S13" i="2"/>
  <c r="Q8" i="2"/>
  <c r="S6" i="2"/>
  <c r="S21" i="2"/>
  <c r="S37" i="2"/>
  <c r="S32" i="2"/>
  <c r="Q48" i="2"/>
  <c r="Q12" i="2"/>
  <c r="Q28" i="2"/>
  <c r="Q25" i="2"/>
  <c r="Q64" i="2"/>
  <c r="Q65" i="2"/>
  <c r="Q35" i="2"/>
  <c r="S2" i="2"/>
  <c r="S16" i="2"/>
  <c r="Q42" i="2"/>
  <c r="AA31" i="2"/>
  <c r="Q51" i="2"/>
  <c r="Q58" i="2"/>
  <c r="S30" i="2"/>
  <c r="S43" i="2"/>
  <c r="S11" i="2"/>
  <c r="S46" i="2"/>
  <c r="Q24" i="2"/>
  <c r="S8" i="2"/>
  <c r="Q60" i="2"/>
  <c r="Q3" i="2"/>
  <c r="Q20" i="2"/>
  <c r="Q18" i="2"/>
  <c r="S64" i="2"/>
  <c r="Q2" i="2"/>
  <c r="S12" i="2"/>
  <c r="S19" i="2"/>
  <c r="S28" i="2"/>
  <c r="AA36" i="2"/>
  <c r="Z6" i="2"/>
  <c r="Q11" i="2"/>
  <c r="Q6" i="2"/>
  <c r="Q10" i="2"/>
  <c r="Q41" i="2"/>
  <c r="Q19" i="2"/>
  <c r="Q30" i="2"/>
  <c r="Q40" i="2"/>
  <c r="Q59" i="2"/>
  <c r="AB2" i="2"/>
  <c r="Q49" i="2"/>
  <c r="S52" i="2"/>
  <c r="X57" i="2"/>
  <c r="Y57" i="2" s="1"/>
  <c r="AB57" i="2" s="1"/>
  <c r="S65" i="2"/>
  <c r="Q66" i="2"/>
  <c r="AA25" i="2"/>
  <c r="X22" i="2"/>
  <c r="Y22" i="2" s="1"/>
  <c r="Q44" i="2"/>
  <c r="AA18" i="2"/>
  <c r="Q17" i="2"/>
  <c r="AA22" i="2"/>
  <c r="S50" i="2"/>
  <c r="Q57" i="2"/>
  <c r="AA66" i="2"/>
  <c r="AA7" i="2"/>
  <c r="Q27" i="2"/>
  <c r="Q31" i="2"/>
  <c r="Q33" i="2"/>
  <c r="AA38" i="2"/>
  <c r="AA11" i="2"/>
  <c r="AA15" i="2"/>
  <c r="AA50" i="2"/>
  <c r="AA4" i="2"/>
  <c r="Q22" i="2"/>
  <c r="AA55" i="2"/>
  <c r="S3" i="2"/>
  <c r="AA20" i="2"/>
  <c r="AA27" i="2"/>
  <c r="Q54" i="2"/>
  <c r="Q4" i="2"/>
  <c r="S20" i="2"/>
  <c r="S48" i="2"/>
  <c r="Q32" i="2"/>
  <c r="Q39" i="2"/>
  <c r="Q37" i="2"/>
  <c r="X13" i="2"/>
  <c r="Y13" i="2" s="1"/>
  <c r="X20" i="2"/>
  <c r="Y20" i="2" s="1"/>
  <c r="Q50" i="2"/>
  <c r="S22" i="2"/>
  <c r="S29" i="2"/>
  <c r="Q43" i="2"/>
  <c r="Z11" i="2"/>
  <c r="S47" i="2"/>
  <c r="S40" i="2"/>
  <c r="S45" i="2"/>
  <c r="X52" i="2"/>
  <c r="Y52" i="2" s="1"/>
  <c r="Q46" i="2"/>
  <c r="X29" i="2"/>
  <c r="Y29" i="2" s="1"/>
  <c r="AA59" i="2"/>
  <c r="Z20" i="2"/>
  <c r="S44" i="2"/>
  <c r="S42" i="2"/>
  <c r="X7" i="2"/>
  <c r="Y7" i="2" s="1"/>
  <c r="X66" i="2"/>
  <c r="Y66" i="2" s="1"/>
  <c r="X58" i="2"/>
  <c r="Y58" i="2" s="1"/>
  <c r="X50" i="2"/>
  <c r="Y50" i="2" s="1"/>
  <c r="X42" i="2"/>
  <c r="Y42" i="2" s="1"/>
  <c r="X34" i="2"/>
  <c r="Y34" i="2" s="1"/>
  <c r="X26" i="2"/>
  <c r="Y26" i="2" s="1"/>
  <c r="X18" i="2"/>
  <c r="Y18" i="2" s="1"/>
  <c r="Z2" i="2"/>
  <c r="X10" i="2"/>
  <c r="Y10" i="2" s="1"/>
  <c r="X49" i="2"/>
  <c r="Y49" i="2" s="1"/>
  <c r="X38" i="2"/>
  <c r="Y38" i="2" s="1"/>
  <c r="X27" i="2"/>
  <c r="Y27" i="2" s="1"/>
  <c r="X16" i="2"/>
  <c r="Y16" i="2" s="1"/>
  <c r="X21" i="2"/>
  <c r="Y21" i="2" s="1"/>
  <c r="X12" i="2"/>
  <c r="Y12" i="2" s="1"/>
  <c r="X23" i="2"/>
  <c r="Y23" i="2" s="1"/>
  <c r="X45" i="2"/>
  <c r="Y45" i="2" s="1"/>
  <c r="X36" i="2"/>
  <c r="Y36" i="2" s="1"/>
  <c r="X67" i="2"/>
  <c r="Y67" i="2" s="1"/>
  <c r="X56" i="2"/>
  <c r="Y56" i="2" s="1"/>
  <c r="X47" i="2"/>
  <c r="Y47" i="2" s="1"/>
  <c r="X25" i="2"/>
  <c r="Y25" i="2" s="1"/>
  <c r="X14" i="2"/>
  <c r="Y14" i="2" s="1"/>
  <c r="X3" i="2"/>
  <c r="Y3" i="2" s="1"/>
  <c r="X65" i="2"/>
  <c r="Y65" i="2" s="1"/>
  <c r="X54" i="2"/>
  <c r="Y54" i="2" s="1"/>
  <c r="X43" i="2"/>
  <c r="Y43" i="2" s="1"/>
  <c r="X32" i="2"/>
  <c r="Y32" i="2" s="1"/>
  <c r="X4" i="2"/>
  <c r="Y4" i="2" s="1"/>
  <c r="X44" i="2"/>
  <c r="Y44" i="2" s="1"/>
  <c r="X30" i="2"/>
  <c r="Y30" i="2" s="1"/>
  <c r="X39" i="2"/>
  <c r="Y39" i="2" s="1"/>
  <c r="X64" i="2"/>
  <c r="Y64" i="2" s="1"/>
  <c r="X41" i="2"/>
  <c r="Y41" i="2" s="1"/>
  <c r="X63" i="2"/>
  <c r="Y63" i="2" s="1"/>
  <c r="X40" i="2"/>
  <c r="Y40" i="2" s="1"/>
  <c r="X24" i="2"/>
  <c r="Y24" i="2" s="1"/>
  <c r="X8" i="2"/>
  <c r="Y8" i="2" s="1"/>
  <c r="X6" i="2"/>
  <c r="Y6" i="2" s="1"/>
  <c r="X60" i="2"/>
  <c r="Y60" i="2" s="1"/>
  <c r="X62" i="2"/>
  <c r="Y62" i="2" s="1"/>
  <c r="X48" i="2"/>
  <c r="Y48" i="2" s="1"/>
  <c r="X31" i="2"/>
  <c r="Y31" i="2" s="1"/>
  <c r="X15" i="2"/>
  <c r="Y15" i="2" s="1"/>
  <c r="X33" i="2"/>
  <c r="Y33" i="2" s="1"/>
  <c r="X17" i="2"/>
  <c r="Y17" i="2" s="1"/>
  <c r="X37" i="2"/>
  <c r="Y37" i="2" s="1"/>
  <c r="X35" i="2"/>
  <c r="Y35" i="2" s="1"/>
  <c r="X19" i="2"/>
  <c r="Y19" i="2" s="1"/>
  <c r="X51" i="2"/>
  <c r="Y51" i="2" s="1"/>
  <c r="X28" i="2"/>
  <c r="Y28" i="2" s="1"/>
  <c r="X53" i="2"/>
  <c r="Y53" i="2" s="1"/>
  <c r="X5" i="2"/>
  <c r="Y5" i="2" s="1"/>
  <c r="X46" i="2"/>
  <c r="Y46" i="2" s="1"/>
  <c r="Z57" i="2"/>
  <c r="AA57" i="2"/>
  <c r="S54" i="2"/>
  <c r="S33" i="2"/>
  <c r="S35" i="2"/>
  <c r="X9" i="2"/>
  <c r="Y9" i="2" s="1"/>
  <c r="S24" i="2"/>
  <c r="S26" i="2"/>
  <c r="X61" i="2"/>
  <c r="Y61" i="2" s="1"/>
  <c r="S31" i="2"/>
  <c r="X59" i="2"/>
  <c r="Y59" i="2" s="1"/>
  <c r="S38" i="2"/>
  <c r="S51" i="2"/>
  <c r="S49" i="2"/>
  <c r="Q23" i="2"/>
  <c r="Q21" i="2"/>
  <c r="Q55" i="2"/>
  <c r="Q53" i="2"/>
  <c r="X55" i="2"/>
  <c r="Y55" i="2" s="1"/>
  <c r="Z9" i="2"/>
  <c r="Q16" i="2"/>
  <c r="Q14" i="2"/>
  <c r="S17" i="2"/>
  <c r="AA61" i="2"/>
  <c r="AA53" i="2"/>
  <c r="AA45" i="2"/>
  <c r="AA37" i="2"/>
  <c r="AA29" i="2"/>
  <c r="AA21" i="2"/>
  <c r="AA13" i="2"/>
  <c r="AA2" i="2"/>
  <c r="AA5" i="2"/>
  <c r="AA64" i="2"/>
  <c r="AA56" i="2"/>
  <c r="AA48" i="2"/>
  <c r="AA40" i="2"/>
  <c r="AA32" i="2"/>
  <c r="AA24" i="2"/>
  <c r="AA16" i="2"/>
  <c r="AA12" i="2"/>
  <c r="AA41" i="2"/>
  <c r="AA19" i="2"/>
  <c r="AA8" i="2"/>
  <c r="AA65" i="2"/>
  <c r="AA54" i="2"/>
  <c r="AA43" i="2"/>
  <c r="AA34" i="2"/>
  <c r="AA23" i="2"/>
  <c r="AA63" i="2"/>
  <c r="AA30" i="2"/>
  <c r="AA52" i="2"/>
  <c r="AA10" i="2"/>
  <c r="AA28" i="2"/>
  <c r="Q67" i="2"/>
  <c r="AA3" i="2"/>
  <c r="Q26" i="2"/>
  <c r="AA46" i="2"/>
  <c r="AA62" i="2"/>
  <c r="S5" i="2"/>
  <c r="Q15" i="2"/>
  <c r="Q56" i="2"/>
  <c r="AA58" i="2"/>
  <c r="AA67" i="2"/>
  <c r="S14" i="2"/>
  <c r="Q47" i="2"/>
  <c r="Q45" i="2"/>
  <c r="AA60" i="2"/>
  <c r="Q63" i="2"/>
  <c r="AA44" i="2"/>
  <c r="S62" i="2"/>
  <c r="AA26" i="2"/>
  <c r="Q36" i="2"/>
  <c r="Q38" i="2"/>
  <c r="AA51" i="2"/>
  <c r="S56" i="2"/>
  <c r="S58" i="2"/>
  <c r="S18" i="2"/>
  <c r="S7" i="2"/>
  <c r="S23" i="2"/>
  <c r="AA35" i="2"/>
  <c r="AA42" i="2"/>
  <c r="AA49" i="2"/>
  <c r="S60" i="2"/>
  <c r="S34" i="2"/>
  <c r="S36" i="2"/>
  <c r="S67" i="2"/>
  <c r="AA14" i="2"/>
  <c r="S27" i="2"/>
  <c r="S25" i="2"/>
  <c r="S55" i="2"/>
  <c r="AA39" i="2"/>
  <c r="Q13" i="2"/>
  <c r="AA17" i="2"/>
  <c r="AA33" i="2"/>
  <c r="AA47" i="2"/>
  <c r="S57" i="2"/>
  <c r="S59" i="2"/>
  <c r="Q61" i="2"/>
  <c r="S15" i="2"/>
  <c r="Q5" i="2"/>
  <c r="S39" i="2"/>
  <c r="S4" i="2"/>
  <c r="Q62" i="2"/>
  <c r="Q29" i="2"/>
  <c r="S63" i="2"/>
  <c r="AD3" i="1"/>
  <c r="R58" i="1"/>
  <c r="R38" i="1"/>
  <c r="P20" i="1"/>
  <c r="R46" i="1"/>
  <c r="P44" i="1"/>
  <c r="P56" i="1"/>
  <c r="R15" i="1"/>
  <c r="Z4" i="1"/>
  <c r="P17" i="1"/>
  <c r="P21" i="1"/>
  <c r="R25" i="1"/>
  <c r="R69" i="1"/>
  <c r="P40" i="1"/>
  <c r="Z8" i="1"/>
  <c r="P6" i="1"/>
  <c r="Z12" i="1"/>
  <c r="Z28" i="1"/>
  <c r="Z56" i="1"/>
  <c r="P29" i="1"/>
  <c r="P33" i="1"/>
  <c r="P37" i="1"/>
  <c r="R59" i="1"/>
  <c r="P18" i="1"/>
  <c r="R48" i="1"/>
  <c r="P68" i="1"/>
  <c r="R3" i="1"/>
  <c r="R6" i="1"/>
  <c r="P57" i="1"/>
  <c r="P42" i="1"/>
  <c r="R37" i="1"/>
  <c r="P69" i="1"/>
  <c r="Z14" i="1"/>
  <c r="Z33" i="1"/>
  <c r="Z49" i="1"/>
  <c r="P67" i="1"/>
  <c r="P23" i="1"/>
  <c r="R18" i="1"/>
  <c r="P27" i="1"/>
  <c r="R24" i="1"/>
  <c r="P36" i="1"/>
  <c r="R39" i="1"/>
  <c r="R51" i="1"/>
  <c r="P16" i="1"/>
  <c r="R29" i="1"/>
  <c r="P46" i="1"/>
  <c r="P50" i="1"/>
  <c r="P61" i="1"/>
  <c r="P25" i="1"/>
  <c r="P43" i="1"/>
  <c r="P51" i="1"/>
  <c r="P58" i="1"/>
  <c r="R66" i="1"/>
  <c r="Y16" i="1"/>
  <c r="R5" i="1"/>
  <c r="P35" i="1"/>
  <c r="P65" i="1"/>
  <c r="Y63" i="1"/>
  <c r="R12" i="1"/>
  <c r="Y58" i="1"/>
  <c r="R19" i="1"/>
  <c r="R32" i="1"/>
  <c r="R43" i="1"/>
  <c r="P53" i="1"/>
  <c r="Y57" i="1"/>
  <c r="P11" i="1"/>
  <c r="P38" i="1"/>
  <c r="P48" i="1"/>
  <c r="R55" i="1"/>
  <c r="P7" i="1"/>
  <c r="R9" i="1"/>
  <c r="P19" i="1"/>
  <c r="P24" i="1"/>
  <c r="P30" i="1"/>
  <c r="P47" i="1"/>
  <c r="R52" i="1"/>
  <c r="R60" i="1"/>
  <c r="Y47" i="1"/>
  <c r="P8" i="1"/>
  <c r="R17" i="1"/>
  <c r="P28" i="1"/>
  <c r="P41" i="1"/>
  <c r="R68" i="1"/>
  <c r="R70" i="1"/>
  <c r="Y25" i="1"/>
  <c r="P14" i="1"/>
  <c r="P34" i="1"/>
  <c r="R36" i="1"/>
  <c r="R49" i="1"/>
  <c r="P64" i="1"/>
  <c r="Y41" i="1"/>
  <c r="R23" i="1"/>
  <c r="R33" i="1"/>
  <c r="P52" i="1"/>
  <c r="R64" i="1"/>
  <c r="Y31" i="1"/>
  <c r="R53" i="1"/>
  <c r="Y26" i="1"/>
  <c r="R28" i="1"/>
  <c r="R30" i="1"/>
  <c r="R40" i="1"/>
  <c r="Y15" i="1"/>
  <c r="P5" i="1"/>
  <c r="P15" i="1"/>
  <c r="P22" i="1"/>
  <c r="P45" i="1"/>
  <c r="R47" i="1"/>
  <c r="R50" i="1"/>
  <c r="P55" i="1"/>
  <c r="R57" i="1"/>
  <c r="R67" i="1"/>
  <c r="Y10" i="1"/>
  <c r="R4" i="1"/>
  <c r="P12" i="1"/>
  <c r="R22" i="1"/>
  <c r="R27" i="1"/>
  <c r="R34" i="1"/>
  <c r="R45" i="1"/>
  <c r="R54" i="1"/>
  <c r="Y9" i="1"/>
  <c r="R10" i="1"/>
  <c r="R11" i="1"/>
  <c r="P32" i="1"/>
  <c r="P62" i="1"/>
  <c r="R13" i="1"/>
  <c r="R7" i="1"/>
  <c r="P9" i="1"/>
  <c r="P26" i="1"/>
  <c r="R31" i="1"/>
  <c r="R61" i="1"/>
  <c r="R8" i="1"/>
  <c r="R16" i="1"/>
  <c r="R26" i="1"/>
  <c r="P39" i="1"/>
  <c r="P49" i="1"/>
  <c r="P66" i="1"/>
  <c r="R41" i="1"/>
  <c r="R62" i="1"/>
  <c r="Z45" i="1"/>
  <c r="Y62" i="1"/>
  <c r="Y30" i="1"/>
  <c r="P54" i="1"/>
  <c r="R56" i="1"/>
  <c r="Z64" i="1"/>
  <c r="Z71" i="1"/>
  <c r="Y61" i="1"/>
  <c r="Y45" i="1"/>
  <c r="Y29" i="1"/>
  <c r="Y13" i="1"/>
  <c r="Z66" i="1"/>
  <c r="Z62" i="1"/>
  <c r="Y60" i="1"/>
  <c r="Y44" i="1"/>
  <c r="Y28" i="1"/>
  <c r="Y12" i="1"/>
  <c r="R20" i="1"/>
  <c r="P60" i="1"/>
  <c r="P10" i="1"/>
  <c r="Z24" i="1"/>
  <c r="Z68" i="1"/>
  <c r="Y46" i="1"/>
  <c r="Y14" i="1"/>
  <c r="P4" i="1"/>
  <c r="R14" i="1"/>
  <c r="Z22" i="1"/>
  <c r="P31" i="1"/>
  <c r="R35" i="1"/>
  <c r="Z43" i="1"/>
  <c r="Z18" i="1"/>
  <c r="Z20" i="1"/>
  <c r="Z39" i="1"/>
  <c r="Z41" i="1"/>
  <c r="Z16" i="1"/>
  <c r="Z37" i="1"/>
  <c r="Z58" i="1"/>
  <c r="Z60" i="1"/>
  <c r="Y59" i="1"/>
  <c r="Y43" i="1"/>
  <c r="Y27" i="1"/>
  <c r="Y11" i="1"/>
  <c r="Y70" i="1"/>
  <c r="Y54" i="1"/>
  <c r="Y38" i="1"/>
  <c r="Y22" i="1"/>
  <c r="Y6" i="1"/>
  <c r="R42" i="1"/>
  <c r="Z52" i="1"/>
  <c r="Y56" i="1"/>
  <c r="Y24" i="1"/>
  <c r="Z2" i="1"/>
  <c r="Z27" i="1"/>
  <c r="Z48" i="1"/>
  <c r="Z69" i="1"/>
  <c r="Y55" i="1"/>
  <c r="Y23" i="1"/>
  <c r="P13" i="1"/>
  <c r="Z23" i="1"/>
  <c r="Z67" i="1"/>
  <c r="Z21" i="1"/>
  <c r="Z42" i="1"/>
  <c r="Z44" i="1"/>
  <c r="Z63" i="1"/>
  <c r="Z65" i="1"/>
  <c r="Y69" i="1"/>
  <c r="Y53" i="1"/>
  <c r="Y37" i="1"/>
  <c r="Y21" i="1"/>
  <c r="Y5" i="1"/>
  <c r="R21" i="1"/>
  <c r="Z19" i="1"/>
  <c r="Z40" i="1"/>
  <c r="Z61" i="1"/>
  <c r="Y68" i="1"/>
  <c r="Y52" i="1"/>
  <c r="Y36" i="1"/>
  <c r="Y20" i="1"/>
  <c r="Y4" i="1"/>
  <c r="Z29" i="1"/>
  <c r="R44" i="1"/>
  <c r="Z50" i="1"/>
  <c r="R63" i="1"/>
  <c r="R65" i="1"/>
  <c r="Y40" i="1"/>
  <c r="Y8" i="1"/>
  <c r="Y3" i="1"/>
  <c r="Y39" i="1"/>
  <c r="Y7" i="1"/>
  <c r="Z25" i="1"/>
  <c r="Z15" i="1"/>
  <c r="Z17" i="1"/>
  <c r="Z38" i="1"/>
  <c r="Z59" i="1"/>
  <c r="Y67" i="1"/>
  <c r="Y51" i="1"/>
  <c r="Y35" i="1"/>
  <c r="Y19" i="1"/>
  <c r="Y73" i="1"/>
  <c r="Z13" i="1"/>
  <c r="Z34" i="1"/>
  <c r="Z36" i="1"/>
  <c r="Z55" i="1"/>
  <c r="Z57" i="1"/>
  <c r="Y66" i="1"/>
  <c r="Y50" i="1"/>
  <c r="Y34" i="1"/>
  <c r="Y18" i="1"/>
  <c r="Z5" i="1"/>
  <c r="Z7" i="1"/>
  <c r="Z9" i="1"/>
  <c r="Z11" i="1"/>
  <c r="Z32" i="1"/>
  <c r="Z53" i="1"/>
  <c r="Y65" i="1"/>
  <c r="Y49" i="1"/>
  <c r="Y33" i="1"/>
  <c r="Y17" i="1"/>
  <c r="Z46" i="1"/>
  <c r="Z3" i="1"/>
  <c r="AA30" i="1" s="1"/>
  <c r="Z30" i="1"/>
  <c r="Z51" i="1"/>
  <c r="Y64" i="1"/>
  <c r="Y48" i="1"/>
  <c r="Y32" i="1"/>
  <c r="AF50" i="3"/>
  <c r="P36" i="3"/>
  <c r="AF49" i="3"/>
  <c r="AF18" i="3"/>
  <c r="AF33" i="3"/>
  <c r="AF32" i="3"/>
  <c r="AF47" i="3"/>
  <c r="AF15" i="3"/>
  <c r="AF46" i="3"/>
  <c r="AF14" i="3"/>
  <c r="AF45" i="3"/>
  <c r="AF13" i="3"/>
  <c r="AF44" i="3"/>
  <c r="AF12" i="3"/>
  <c r="AF11" i="3"/>
  <c r="AF26" i="3"/>
  <c r="AF25" i="3"/>
  <c r="AF40" i="3"/>
  <c r="AF8" i="3"/>
  <c r="AF7" i="3"/>
  <c r="AF6" i="3"/>
  <c r="AF5" i="3"/>
  <c r="AF52" i="3"/>
  <c r="AF36" i="3"/>
  <c r="AF20" i="3"/>
  <c r="AF4" i="3"/>
  <c r="AF34" i="3"/>
  <c r="AF17" i="3"/>
  <c r="AF48" i="3"/>
  <c r="AF16" i="3"/>
  <c r="AF31" i="3"/>
  <c r="AF30" i="3"/>
  <c r="P42" i="3"/>
  <c r="AF29" i="3"/>
  <c r="AF28" i="3"/>
  <c r="AF43" i="3"/>
  <c r="AF27" i="3"/>
  <c r="AF42" i="3"/>
  <c r="AF10" i="3"/>
  <c r="AF41" i="3"/>
  <c r="AF9" i="3"/>
  <c r="AF24" i="3"/>
  <c r="AF39" i="3"/>
  <c r="AF23" i="3"/>
  <c r="AF38" i="3"/>
  <c r="AF22" i="3"/>
  <c r="AF53" i="3"/>
  <c r="AF37" i="3"/>
  <c r="AF21" i="3"/>
  <c r="AF51" i="3"/>
  <c r="AF35" i="3"/>
  <c r="AF19" i="3"/>
  <c r="AF3" i="3"/>
  <c r="P53" i="3"/>
  <c r="P34" i="3"/>
  <c r="P38" i="3"/>
  <c r="P28" i="3"/>
  <c r="P3" i="3"/>
  <c r="P22" i="3"/>
  <c r="P20" i="3"/>
  <c r="P8" i="3"/>
  <c r="P48" i="3"/>
  <c r="P39" i="3"/>
  <c r="P13" i="3"/>
  <c r="P6" i="3"/>
  <c r="R10" i="3"/>
  <c r="P46" i="3"/>
  <c r="AA57" i="3"/>
  <c r="AA56" i="3"/>
  <c r="R19" i="3"/>
  <c r="P5" i="3"/>
  <c r="R5" i="3"/>
  <c r="P25" i="3"/>
  <c r="P45" i="3"/>
  <c r="AA58" i="3"/>
  <c r="P10" i="3"/>
  <c r="P16" i="3"/>
  <c r="P31" i="3"/>
  <c r="P51" i="3"/>
  <c r="P11" i="3"/>
  <c r="R41" i="3"/>
  <c r="R36" i="3"/>
  <c r="P27" i="3"/>
  <c r="R44" i="3"/>
  <c r="P12" i="3"/>
  <c r="P37" i="3"/>
  <c r="W53" i="3"/>
  <c r="W51" i="3"/>
  <c r="W49" i="3"/>
  <c r="W47" i="3"/>
  <c r="W45" i="3"/>
  <c r="W43" i="3"/>
  <c r="W41" i="3"/>
  <c r="W39" i="3"/>
  <c r="W37" i="3"/>
  <c r="W35" i="3"/>
  <c r="W33" i="3"/>
  <c r="W31" i="3"/>
  <c r="W29" i="3"/>
  <c r="W27" i="3"/>
  <c r="W25" i="3"/>
  <c r="W23" i="3"/>
  <c r="W21" i="3"/>
  <c r="W19" i="3"/>
  <c r="W17" i="3"/>
  <c r="W15" i="3"/>
  <c r="W13" i="3"/>
  <c r="W11" i="3"/>
  <c r="W9" i="3"/>
  <c r="W7" i="3"/>
  <c r="W5" i="3"/>
  <c r="W3" i="3"/>
  <c r="W50" i="3"/>
  <c r="W18" i="3"/>
  <c r="W44" i="3"/>
  <c r="W12" i="3"/>
  <c r="W4" i="3"/>
  <c r="W52" i="3"/>
  <c r="W20" i="3"/>
  <c r="W6" i="3"/>
  <c r="W46" i="3"/>
  <c r="W14" i="3"/>
  <c r="W38" i="3"/>
  <c r="W32" i="3"/>
  <c r="W26" i="3"/>
  <c r="W16" i="3"/>
  <c r="W34" i="3"/>
  <c r="R48" i="3"/>
  <c r="R6" i="3"/>
  <c r="R12" i="3"/>
  <c r="P30" i="3"/>
  <c r="P32" i="3"/>
  <c r="R27" i="3"/>
  <c r="R30" i="3"/>
  <c r="R45" i="3"/>
  <c r="R2" i="3"/>
  <c r="R16" i="3"/>
  <c r="W24" i="3"/>
  <c r="W42" i="3"/>
  <c r="R38" i="3"/>
  <c r="R53" i="3"/>
  <c r="R54" i="3"/>
  <c r="R13" i="3"/>
  <c r="W28" i="3"/>
  <c r="P7" i="3"/>
  <c r="P9" i="3"/>
  <c r="W10" i="3"/>
  <c r="P14" i="3"/>
  <c r="P21" i="3"/>
  <c r="P24" i="3"/>
  <c r="P26" i="3"/>
  <c r="R7" i="3"/>
  <c r="R21" i="3"/>
  <c r="R24" i="3"/>
  <c r="R42" i="3"/>
  <c r="P50" i="3"/>
  <c r="W54" i="3"/>
  <c r="R39" i="3"/>
  <c r="P47" i="3"/>
  <c r="R50" i="3"/>
  <c r="R32" i="3"/>
  <c r="W36" i="3"/>
  <c r="P40" i="3"/>
  <c r="R47" i="3"/>
  <c r="P4" i="3"/>
  <c r="P18" i="3"/>
  <c r="W22" i="3"/>
  <c r="AA59" i="3"/>
  <c r="W60" i="3"/>
  <c r="R4" i="3"/>
  <c r="W8" i="3"/>
  <c r="P15" i="3"/>
  <c r="R18" i="3"/>
  <c r="R25" i="3"/>
  <c r="W40" i="3"/>
  <c r="R8" i="3"/>
  <c r="R15" i="3"/>
  <c r="P33" i="3"/>
  <c r="W48" i="3"/>
  <c r="R51" i="3"/>
  <c r="R33" i="3"/>
  <c r="P44" i="3"/>
  <c r="P52" i="3"/>
  <c r="P19" i="3"/>
  <c r="W30" i="3"/>
  <c r="R11" i="3"/>
  <c r="P17" i="3"/>
  <c r="R34" i="3"/>
  <c r="R43" i="3"/>
  <c r="P49" i="3"/>
  <c r="R17" i="3"/>
  <c r="P23" i="3"/>
  <c r="R40" i="3"/>
  <c r="R49" i="3"/>
  <c r="R14" i="3"/>
  <c r="R23" i="3"/>
  <c r="R46" i="3"/>
  <c r="R52" i="3"/>
  <c r="R22" i="3"/>
  <c r="R31" i="3"/>
  <c r="R3" i="3"/>
  <c r="R28" i="3"/>
  <c r="R37" i="3"/>
  <c r="P43" i="3"/>
  <c r="P29" i="3"/>
  <c r="R9" i="3"/>
  <c r="R20" i="3"/>
  <c r="R29" i="3"/>
  <c r="P35" i="3"/>
  <c r="R26" i="3"/>
  <c r="R35" i="3"/>
  <c r="P41" i="3"/>
  <c r="AC3" i="11"/>
  <c r="AD3" i="11" s="1"/>
  <c r="AC4" i="11"/>
  <c r="AD4" i="11" s="1"/>
  <c r="AB5" i="11"/>
  <c r="AF4" i="11"/>
  <c r="AG4" i="11" s="1"/>
  <c r="AH4" i="11" s="1"/>
  <c r="AF5" i="11"/>
  <c r="R7" i="7"/>
  <c r="P13" i="7"/>
  <c r="X41" i="7"/>
  <c r="P10" i="7"/>
  <c r="P17" i="7"/>
  <c r="R20" i="7"/>
  <c r="P8" i="7"/>
  <c r="P21" i="7"/>
  <c r="P27" i="7"/>
  <c r="P30" i="7"/>
  <c r="P34" i="7"/>
  <c r="R3" i="7"/>
  <c r="P24" i="7"/>
  <c r="R27" i="7"/>
  <c r="R30" i="7"/>
  <c r="R34" i="7"/>
  <c r="P37" i="7"/>
  <c r="R24" i="7"/>
  <c r="R37" i="7"/>
  <c r="P9" i="7"/>
  <c r="P40" i="7"/>
  <c r="P6" i="7"/>
  <c r="P31" i="7"/>
  <c r="R40" i="7"/>
  <c r="P41" i="7"/>
  <c r="X13" i="7"/>
  <c r="X29" i="7"/>
  <c r="X17" i="7"/>
  <c r="X31" i="7"/>
  <c r="X2" i="7"/>
  <c r="Y43" i="6"/>
  <c r="Y41" i="6"/>
  <c r="Y39" i="6"/>
  <c r="Y37" i="6"/>
  <c r="Y35" i="6"/>
  <c r="Y33" i="6"/>
  <c r="Y31" i="6"/>
  <c r="Y29" i="6"/>
  <c r="Y27" i="6"/>
  <c r="Y25" i="6"/>
  <c r="Y23" i="6"/>
  <c r="Y21" i="6"/>
  <c r="Y19" i="6"/>
  <c r="Y17" i="6"/>
  <c r="Y15" i="6"/>
  <c r="Y13" i="6"/>
  <c r="Y11" i="6"/>
  <c r="Y9" i="6"/>
  <c r="Y7" i="6"/>
  <c r="Y5" i="6"/>
  <c r="Y3" i="6"/>
  <c r="Y30" i="6"/>
  <c r="Y16" i="6"/>
  <c r="Y8" i="6"/>
  <c r="Y44" i="6"/>
  <c r="Y40" i="6"/>
  <c r="Y26" i="6"/>
  <c r="Y18" i="6"/>
  <c r="Y34" i="6"/>
  <c r="Y42" i="6"/>
  <c r="Y36" i="6"/>
  <c r="Y22" i="6"/>
  <c r="Y14" i="6"/>
  <c r="Y6" i="6"/>
  <c r="Y38" i="6"/>
  <c r="Y10" i="6"/>
  <c r="Y2" i="6"/>
  <c r="Y28" i="6"/>
  <c r="Y20" i="6"/>
  <c r="Y12" i="6"/>
  <c r="Y4" i="6"/>
  <c r="Y32" i="6"/>
  <c r="Y24" i="6"/>
  <c r="P14" i="6"/>
  <c r="P22" i="6"/>
  <c r="P12" i="6"/>
  <c r="P17" i="6"/>
  <c r="P25" i="6"/>
  <c r="R33" i="6"/>
  <c r="P35" i="6"/>
  <c r="P21" i="6"/>
  <c r="P38" i="6"/>
  <c r="R38" i="6"/>
  <c r="R21" i="6"/>
  <c r="R29" i="6"/>
  <c r="P6" i="6"/>
  <c r="P11" i="6"/>
  <c r="R6" i="6"/>
  <c r="R22" i="6"/>
  <c r="R30" i="6"/>
  <c r="R35" i="6"/>
  <c r="P36" i="6"/>
  <c r="R41" i="6"/>
  <c r="R3" i="6"/>
  <c r="R11" i="6"/>
  <c r="R19" i="6"/>
  <c r="R27" i="6"/>
  <c r="R36" i="6"/>
  <c r="P28" i="6"/>
  <c r="R4" i="6"/>
  <c r="R12" i="6"/>
  <c r="R9" i="6"/>
  <c r="R17" i="6"/>
  <c r="R25" i="6"/>
  <c r="P34" i="6"/>
  <c r="R39" i="6"/>
  <c r="P41" i="6"/>
  <c r="P43" i="6"/>
  <c r="P8" i="6"/>
  <c r="P16" i="6"/>
  <c r="P24" i="6"/>
  <c r="P29" i="6"/>
  <c r="P32" i="6"/>
  <c r="R8" i="6"/>
  <c r="R16" i="6"/>
  <c r="R24" i="6"/>
  <c r="R32" i="6"/>
  <c r="R5" i="6"/>
  <c r="R13" i="6"/>
  <c r="P30" i="6"/>
  <c r="P20" i="6"/>
  <c r="R42" i="6"/>
  <c r="X10" i="5"/>
  <c r="X33" i="5"/>
  <c r="X49" i="5"/>
  <c r="X26" i="5"/>
  <c r="X65" i="5"/>
  <c r="X17" i="5"/>
  <c r="P64" i="5"/>
  <c r="P66" i="5"/>
  <c r="R8" i="5"/>
  <c r="P43" i="5"/>
  <c r="P41" i="5"/>
  <c r="R51" i="5"/>
  <c r="R52" i="5"/>
  <c r="R42" i="5"/>
  <c r="R43" i="5"/>
  <c r="X47" i="5"/>
  <c r="R4" i="5"/>
  <c r="X71" i="5"/>
  <c r="X31" i="5"/>
  <c r="P50" i="5"/>
  <c r="P48" i="5"/>
  <c r="R50" i="5"/>
  <c r="R67" i="5"/>
  <c r="R68" i="5"/>
  <c r="X63" i="5"/>
  <c r="P4" i="5"/>
  <c r="P52" i="5"/>
  <c r="R66" i="5"/>
  <c r="P18" i="5"/>
  <c r="P16" i="5"/>
  <c r="X22" i="5"/>
  <c r="Y22" i="5"/>
  <c r="R18" i="5"/>
  <c r="P27" i="5"/>
  <c r="P25" i="5"/>
  <c r="R35" i="5"/>
  <c r="R36" i="5"/>
  <c r="R27" i="5"/>
  <c r="R26" i="5"/>
  <c r="P36" i="5"/>
  <c r="X54" i="5"/>
  <c r="Y54" i="5"/>
  <c r="R2" i="5"/>
  <c r="P59" i="5"/>
  <c r="P57" i="5"/>
  <c r="X6" i="5"/>
  <c r="R58" i="5"/>
  <c r="R59" i="5"/>
  <c r="P11" i="5"/>
  <c r="P9" i="5"/>
  <c r="R20" i="5"/>
  <c r="R19" i="5"/>
  <c r="R11" i="5"/>
  <c r="R10" i="5"/>
  <c r="X15" i="5"/>
  <c r="P20" i="5"/>
  <c r="P32" i="5"/>
  <c r="P34" i="5"/>
  <c r="X38" i="5"/>
  <c r="Y38" i="5"/>
  <c r="X45" i="5"/>
  <c r="X4" i="5"/>
  <c r="Y13" i="5"/>
  <c r="X20" i="5"/>
  <c r="Y29" i="5"/>
  <c r="R34" i="5"/>
  <c r="Y61" i="5"/>
  <c r="X68" i="5"/>
  <c r="R9" i="5"/>
  <c r="X27" i="5"/>
  <c r="R41" i="5"/>
  <c r="X43" i="5"/>
  <c r="Y52" i="5"/>
  <c r="X59" i="5"/>
  <c r="X2" i="5"/>
  <c r="R64" i="5"/>
  <c r="Y50" i="5"/>
  <c r="X57" i="5"/>
  <c r="Y66" i="5"/>
  <c r="Y9" i="5"/>
  <c r="X16" i="5"/>
  <c r="Y41" i="5"/>
  <c r="X48" i="5"/>
  <c r="X64" i="5"/>
  <c r="X23" i="5"/>
  <c r="Y32" i="5"/>
  <c r="Y7" i="5"/>
  <c r="Y5" i="5"/>
  <c r="Y21" i="5"/>
  <c r="X44" i="5"/>
  <c r="X60" i="5"/>
  <c r="Y69" i="5"/>
  <c r="X3" i="5"/>
  <c r="Y12" i="5"/>
  <c r="R17" i="5"/>
  <c r="X19" i="5"/>
  <c r="Y28" i="5"/>
  <c r="X35" i="5"/>
  <c r="R49" i="5"/>
  <c r="X51" i="5"/>
  <c r="R65" i="5"/>
  <c r="X67" i="5"/>
  <c r="X36" i="5"/>
  <c r="X11" i="5"/>
  <c r="R25" i="5"/>
  <c r="R16" i="5"/>
  <c r="R32" i="5"/>
  <c r="R48" i="5"/>
  <c r="Y34" i="5"/>
  <c r="Y25" i="5"/>
  <c r="X55" i="5"/>
  <c r="X30" i="5"/>
  <c r="P67" i="5"/>
  <c r="X37" i="5"/>
  <c r="Y62" i="5"/>
  <c r="R56" i="5"/>
  <c r="X70" i="5"/>
  <c r="X18" i="5"/>
  <c r="X39" i="5"/>
  <c r="X14" i="5"/>
  <c r="X46" i="5"/>
  <c r="X53" i="5"/>
  <c r="X29" i="4"/>
  <c r="Y33" i="4"/>
  <c r="X58" i="4"/>
  <c r="X11" i="4"/>
  <c r="X61" i="4"/>
  <c r="X45" i="4"/>
  <c r="Y3" i="4"/>
  <c r="X3" i="4"/>
  <c r="R6" i="4"/>
  <c r="P7" i="4"/>
  <c r="X42" i="4"/>
  <c r="X7" i="4"/>
  <c r="P5" i="4"/>
  <c r="R5" i="4"/>
  <c r="Y48" i="4"/>
  <c r="R11" i="4"/>
  <c r="R15" i="4"/>
  <c r="Y52" i="4"/>
  <c r="X65" i="4"/>
  <c r="X5" i="4"/>
  <c r="P12" i="4"/>
  <c r="X23" i="4"/>
  <c r="Y2" i="4"/>
  <c r="R12" i="4"/>
  <c r="X36" i="4"/>
  <c r="X49" i="4"/>
  <c r="R2" i="4"/>
  <c r="X12" i="4"/>
  <c r="Y46" i="4"/>
  <c r="X46" i="4"/>
  <c r="R13" i="4"/>
  <c r="X17" i="4"/>
  <c r="P14" i="4"/>
  <c r="X68" i="4"/>
  <c r="Y30" i="4"/>
  <c r="X30" i="4"/>
  <c r="X55" i="4"/>
  <c r="X26" i="4"/>
  <c r="Y64" i="4"/>
  <c r="R8" i="4"/>
  <c r="X14" i="4"/>
  <c r="X39" i="4"/>
  <c r="Y32" i="4"/>
  <c r="P3" i="4"/>
  <c r="P8" i="4"/>
  <c r="Y16" i="4"/>
  <c r="Y62" i="4"/>
  <c r="X62" i="4"/>
  <c r="P15" i="4"/>
  <c r="Y8" i="4"/>
  <c r="X27" i="4"/>
  <c r="X43" i="4"/>
  <c r="X59" i="4"/>
  <c r="X10" i="4"/>
  <c r="X24" i="4"/>
  <c r="X40" i="4"/>
  <c r="X56" i="4"/>
  <c r="X21" i="4"/>
  <c r="X37" i="4"/>
  <c r="X53" i="4"/>
  <c r="X18" i="4"/>
  <c r="X34" i="4"/>
  <c r="X50" i="4"/>
  <c r="X66" i="4"/>
  <c r="X15" i="4"/>
  <c r="X31" i="4"/>
  <c r="X47" i="4"/>
  <c r="X63" i="4"/>
  <c r="X6" i="4"/>
  <c r="X28" i="4"/>
  <c r="X44" i="4"/>
  <c r="X60" i="4"/>
  <c r="X13" i="4"/>
  <c r="X25" i="4"/>
  <c r="X41" i="4"/>
  <c r="X57" i="4"/>
  <c r="AB3" i="7" l="1"/>
  <c r="AA4" i="7"/>
  <c r="W50" i="7"/>
  <c r="AB46" i="6"/>
  <c r="AC45" i="6"/>
  <c r="W53" i="6"/>
  <c r="AA52" i="6"/>
  <c r="AC4" i="5"/>
  <c r="W316" i="5"/>
  <c r="W71" i="5"/>
  <c r="AF4" i="2"/>
  <c r="AE5" i="2"/>
  <c r="AB11" i="2"/>
  <c r="AB22" i="2"/>
  <c r="AB5" i="2"/>
  <c r="AB34" i="2"/>
  <c r="AB40" i="2"/>
  <c r="AB42" i="2"/>
  <c r="AB63" i="2"/>
  <c r="AB41" i="2"/>
  <c r="AB58" i="2"/>
  <c r="AB19" i="2"/>
  <c r="AB64" i="2"/>
  <c r="AB66" i="2"/>
  <c r="AB39" i="2"/>
  <c r="AB20" i="2"/>
  <c r="AB37" i="2"/>
  <c r="AB17" i="2"/>
  <c r="AB21" i="2"/>
  <c r="AB33" i="2"/>
  <c r="AB4" i="2"/>
  <c r="AB16" i="2"/>
  <c r="AB9" i="2"/>
  <c r="AB15" i="2"/>
  <c r="AB32" i="2"/>
  <c r="AB27" i="2"/>
  <c r="AB31" i="2"/>
  <c r="AB43" i="2"/>
  <c r="AB38" i="2"/>
  <c r="AB29" i="2"/>
  <c r="AB48" i="2"/>
  <c r="AB54" i="2"/>
  <c r="AB49" i="2"/>
  <c r="AB55" i="2"/>
  <c r="AB62" i="2"/>
  <c r="AB65" i="2"/>
  <c r="AB10" i="2"/>
  <c r="AB52" i="2"/>
  <c r="AB60" i="2"/>
  <c r="AB3" i="2"/>
  <c r="D68" i="2" a="1"/>
  <c r="D68" i="2" s="1"/>
  <c r="AB53" i="2"/>
  <c r="AB56" i="2"/>
  <c r="Y68" i="2"/>
  <c r="AB67" i="2"/>
  <c r="AB45" i="2"/>
  <c r="AB23" i="2"/>
  <c r="AB24" i="2"/>
  <c r="AB47" i="2"/>
  <c r="AB28" i="2"/>
  <c r="AB50" i="2"/>
  <c r="AB51" i="2"/>
  <c r="AB36" i="2"/>
  <c r="AB59" i="2"/>
  <c r="AB35" i="2"/>
  <c r="AB7" i="2"/>
  <c r="AB61" i="2"/>
  <c r="AB30" i="2"/>
  <c r="AB12" i="2"/>
  <c r="AB13" i="2"/>
  <c r="AB44" i="2"/>
  <c r="AB6" i="2"/>
  <c r="AB14" i="2"/>
  <c r="AB18" i="2"/>
  <c r="AB46" i="2"/>
  <c r="AB8" i="2"/>
  <c r="AB25" i="2"/>
  <c r="AB26" i="2"/>
  <c r="AE3" i="1"/>
  <c r="AD4" i="1"/>
  <c r="AA14" i="1"/>
  <c r="AA52" i="1"/>
  <c r="AA44" i="1"/>
  <c r="AA7" i="1"/>
  <c r="AA60" i="1"/>
  <c r="AA43" i="1"/>
  <c r="AA32" i="1"/>
  <c r="AA22" i="1"/>
  <c r="AA5" i="1"/>
  <c r="AA9" i="1"/>
  <c r="AA66" i="1"/>
  <c r="AA68" i="1"/>
  <c r="AA11" i="1"/>
  <c r="AA18" i="1"/>
  <c r="AA36" i="1"/>
  <c r="AA23" i="1"/>
  <c r="AA28" i="1"/>
  <c r="AA29" i="1"/>
  <c r="AA31" i="1"/>
  <c r="AA63" i="1"/>
  <c r="AA42" i="1"/>
  <c r="AA62" i="1"/>
  <c r="AA21" i="1"/>
  <c r="AA54" i="1"/>
  <c r="AA27" i="1"/>
  <c r="AA46" i="1"/>
  <c r="AA38" i="1"/>
  <c r="AA13" i="1"/>
  <c r="AA70" i="1"/>
  <c r="AA56" i="1"/>
  <c r="AA10" i="1"/>
  <c r="AA72" i="1"/>
  <c r="AA37" i="1"/>
  <c r="AA16" i="1"/>
  <c r="AA8" i="1"/>
  <c r="AA35" i="1"/>
  <c r="AA58" i="1"/>
  <c r="AA51" i="1"/>
  <c r="AA50" i="1"/>
  <c r="AA61" i="1"/>
  <c r="AA69" i="1"/>
  <c r="AA57" i="1"/>
  <c r="AA40" i="1"/>
  <c r="AA64" i="1"/>
  <c r="AA33" i="1"/>
  <c r="AA25" i="1"/>
  <c r="AA55" i="1"/>
  <c r="AA67" i="1"/>
  <c r="AA20" i="1"/>
  <c r="AA12" i="1"/>
  <c r="AA2" i="1"/>
  <c r="AA48" i="1"/>
  <c r="AA45" i="1"/>
  <c r="AA59" i="1"/>
  <c r="AA4" i="1"/>
  <c r="AA71" i="1"/>
  <c r="AA41" i="1"/>
  <c r="AA24" i="1"/>
  <c r="AA17" i="1"/>
  <c r="AA47" i="1"/>
  <c r="AC73" i="1"/>
  <c r="Y74" i="1"/>
  <c r="AA3" i="1"/>
  <c r="AA65" i="1"/>
  <c r="AA49" i="1"/>
  <c r="AA19" i="1"/>
  <c r="AA6" i="1"/>
  <c r="AA34" i="1"/>
  <c r="AA15" i="1"/>
  <c r="AA39" i="1"/>
  <c r="AA26" i="1"/>
  <c r="AA53" i="1"/>
  <c r="X53" i="3"/>
  <c r="AA53" i="3"/>
  <c r="X4" i="3"/>
  <c r="AA4" i="3"/>
  <c r="X25" i="3"/>
  <c r="AA25" i="3"/>
  <c r="X27" i="3"/>
  <c r="AA27" i="3"/>
  <c r="AA10" i="3"/>
  <c r="X10" i="3"/>
  <c r="X44" i="3"/>
  <c r="AA44" i="3"/>
  <c r="X18" i="3"/>
  <c r="AA18" i="3"/>
  <c r="AA50" i="3"/>
  <c r="X50" i="3"/>
  <c r="X3" i="3"/>
  <c r="AA3" i="3"/>
  <c r="AA5" i="3"/>
  <c r="X5" i="3"/>
  <c r="AA22" i="3"/>
  <c r="X22" i="3"/>
  <c r="X20" i="3"/>
  <c r="AA20" i="3"/>
  <c r="X29" i="3"/>
  <c r="AA29" i="3"/>
  <c r="AA36" i="3"/>
  <c r="X36" i="3"/>
  <c r="X31" i="3"/>
  <c r="AA31" i="3"/>
  <c r="X33" i="3"/>
  <c r="AA33" i="3"/>
  <c r="X35" i="3"/>
  <c r="AA35" i="3"/>
  <c r="AA37" i="3"/>
  <c r="X37" i="3"/>
  <c r="X39" i="3"/>
  <c r="AA39" i="3"/>
  <c r="X26" i="3"/>
  <c r="AA26" i="3"/>
  <c r="X41" i="3"/>
  <c r="AA41" i="3"/>
  <c r="X43" i="3"/>
  <c r="AA43" i="3"/>
  <c r="AA38" i="3"/>
  <c r="X38" i="3"/>
  <c r="X13" i="3"/>
  <c r="AA13" i="3"/>
  <c r="X45" i="3"/>
  <c r="AA45" i="3"/>
  <c r="AA24" i="3"/>
  <c r="X24" i="3"/>
  <c r="X14" i="3"/>
  <c r="AA14" i="3"/>
  <c r="X15" i="3"/>
  <c r="AA15" i="3"/>
  <c r="X47" i="3"/>
  <c r="AA47" i="3"/>
  <c r="AA52" i="3"/>
  <c r="X52" i="3"/>
  <c r="X12" i="3"/>
  <c r="AA12" i="3"/>
  <c r="AA28" i="3"/>
  <c r="X28" i="3"/>
  <c r="AA40" i="3"/>
  <c r="X40" i="3"/>
  <c r="AA34" i="3"/>
  <c r="X34" i="3"/>
  <c r="AA16" i="3"/>
  <c r="X16" i="3"/>
  <c r="X9" i="3"/>
  <c r="AA9" i="3"/>
  <c r="AA32" i="3"/>
  <c r="X32" i="3"/>
  <c r="AA42" i="3"/>
  <c r="X42" i="3"/>
  <c r="AA30" i="3"/>
  <c r="X30" i="3"/>
  <c r="W61" i="3"/>
  <c r="AA60" i="3"/>
  <c r="X46" i="3"/>
  <c r="AA46" i="3"/>
  <c r="X17" i="3"/>
  <c r="AA17" i="3"/>
  <c r="X49" i="3"/>
  <c r="AA49" i="3"/>
  <c r="AA21" i="3"/>
  <c r="X21" i="3"/>
  <c r="X23" i="3"/>
  <c r="AA23" i="3"/>
  <c r="AA48" i="3"/>
  <c r="X48" i="3"/>
  <c r="X7" i="3"/>
  <c r="AA7" i="3"/>
  <c r="AA54" i="3"/>
  <c r="X54" i="3"/>
  <c r="X11" i="3"/>
  <c r="AA11" i="3"/>
  <c r="AA8" i="3"/>
  <c r="X8" i="3"/>
  <c r="AA6" i="3"/>
  <c r="X6" i="3"/>
  <c r="X19" i="3"/>
  <c r="AA19" i="3"/>
  <c r="X51" i="3"/>
  <c r="AA51" i="3"/>
  <c r="AC5" i="11"/>
  <c r="AD5" i="11" s="1"/>
  <c r="AB6" i="11"/>
  <c r="AF6" i="11"/>
  <c r="AG5" i="11"/>
  <c r="AH5" i="11" s="1"/>
  <c r="U4" i="8"/>
  <c r="V4" i="8" s="1"/>
  <c r="AA5" i="7" l="1"/>
  <c r="AB4" i="7"/>
  <c r="W51" i="7"/>
  <c r="W54" i="6"/>
  <c r="AA53" i="6"/>
  <c r="AB47" i="6"/>
  <c r="AC46" i="6"/>
  <c r="AC5" i="5"/>
  <c r="W317" i="5"/>
  <c r="W72" i="5"/>
  <c r="AF5" i="2"/>
  <c r="AE6" i="2"/>
  <c r="Y69" i="2"/>
  <c r="AB68" i="2"/>
  <c r="AD68" i="2"/>
  <c r="AD5" i="1"/>
  <c r="AE4" i="1"/>
  <c r="AC74" i="1"/>
  <c r="Y75" i="1"/>
  <c r="W62" i="3"/>
  <c r="AA61" i="3"/>
  <c r="Y9" i="3"/>
  <c r="Y7" i="3"/>
  <c r="Y5" i="3"/>
  <c r="Y3" i="3"/>
  <c r="Y47" i="3"/>
  <c r="Y38" i="3"/>
  <c r="Y15" i="3"/>
  <c r="Y41" i="3"/>
  <c r="Y32" i="3"/>
  <c r="Y49" i="3"/>
  <c r="Y40" i="3"/>
  <c r="Y17" i="3"/>
  <c r="Y43" i="3"/>
  <c r="Y34" i="3"/>
  <c r="Y11" i="3"/>
  <c r="Y35" i="3"/>
  <c r="Y26" i="3"/>
  <c r="Y52" i="3"/>
  <c r="Y29" i="3"/>
  <c r="Y20" i="3"/>
  <c r="Y6" i="3"/>
  <c r="Y46" i="3"/>
  <c r="Y23" i="3"/>
  <c r="Y14" i="3"/>
  <c r="Y48" i="3"/>
  <c r="Y39" i="3"/>
  <c r="Y19" i="3"/>
  <c r="Y8" i="3"/>
  <c r="Y4" i="3"/>
  <c r="Y44" i="3"/>
  <c r="Y22" i="3"/>
  <c r="Y36" i="3"/>
  <c r="Y33" i="3"/>
  <c r="Y51" i="3"/>
  <c r="Y54" i="3"/>
  <c r="Y25" i="3"/>
  <c r="Y18" i="3"/>
  <c r="Y10" i="3"/>
  <c r="Y28" i="3"/>
  <c r="Y50" i="3"/>
  <c r="Y42" i="3"/>
  <c r="Y24" i="3"/>
  <c r="Y21" i="3"/>
  <c r="Y31" i="3"/>
  <c r="Y13" i="3"/>
  <c r="Y53" i="3"/>
  <c r="Y16" i="3"/>
  <c r="Y2" i="3"/>
  <c r="Y45" i="3"/>
  <c r="Y30" i="3"/>
  <c r="Y27" i="3"/>
  <c r="Y37" i="3"/>
  <c r="Y12" i="3"/>
  <c r="AC6" i="11"/>
  <c r="AD6" i="11" s="1"/>
  <c r="AB7" i="11"/>
  <c r="AF7" i="11"/>
  <c r="AG6" i="11"/>
  <c r="AH6" i="11" s="1"/>
  <c r="U5" i="8"/>
  <c r="V5" i="8" s="1"/>
  <c r="AA6" i="7" l="1"/>
  <c r="AB5" i="7"/>
  <c r="W52" i="7"/>
  <c r="AB48" i="6"/>
  <c r="AC47" i="6"/>
  <c r="W55" i="6"/>
  <c r="AA54" i="6"/>
  <c r="AC6" i="5"/>
  <c r="W318" i="5"/>
  <c r="W73" i="5"/>
  <c r="AF6" i="2"/>
  <c r="AE7" i="2"/>
  <c r="Y70" i="2"/>
  <c r="AB69" i="2"/>
  <c r="AD69" i="2"/>
  <c r="AD6" i="1"/>
  <c r="AE5" i="1"/>
  <c r="AC75" i="1"/>
  <c r="Y76" i="1"/>
  <c r="AA62" i="3"/>
  <c r="W63" i="3"/>
  <c r="AC7" i="11"/>
  <c r="AD7" i="11" s="1"/>
  <c r="AB8" i="11"/>
  <c r="AF8" i="11"/>
  <c r="AG7" i="11"/>
  <c r="AH7" i="11" s="1"/>
  <c r="U6" i="8"/>
  <c r="V6" i="8" s="1"/>
  <c r="AA7" i="7" l="1"/>
  <c r="AB6" i="7"/>
  <c r="W53" i="7"/>
  <c r="W56" i="6"/>
  <c r="AA55" i="6"/>
  <c r="AB49" i="6"/>
  <c r="AC48" i="6"/>
  <c r="AC7" i="5"/>
  <c r="W319" i="5"/>
  <c r="W74" i="5"/>
  <c r="AE8" i="2"/>
  <c r="AF7" i="2"/>
  <c r="AD70" i="2"/>
  <c r="Y71" i="2"/>
  <c r="AB70" i="2"/>
  <c r="AD7" i="1"/>
  <c r="AE6" i="1"/>
  <c r="AC76" i="1"/>
  <c r="Y77" i="1"/>
  <c r="AA63" i="3"/>
  <c r="W64" i="3"/>
  <c r="AC8" i="11"/>
  <c r="AD8" i="11" s="1"/>
  <c r="AB9" i="11"/>
  <c r="AF9" i="11"/>
  <c r="AG8" i="11"/>
  <c r="AH8" i="11" s="1"/>
  <c r="U7" i="8"/>
  <c r="V7" i="8" s="1"/>
  <c r="AA8" i="7" l="1"/>
  <c r="AB7" i="7"/>
  <c r="W54" i="7"/>
  <c r="AB50" i="6"/>
  <c r="AC49" i="6"/>
  <c r="W57" i="6"/>
  <c r="AA56" i="6"/>
  <c r="AC8" i="5"/>
  <c r="W320" i="5"/>
  <c r="W75" i="5"/>
  <c r="AE9" i="2"/>
  <c r="AF8" i="2"/>
  <c r="AD71" i="2"/>
  <c r="Y72" i="2"/>
  <c r="AB71" i="2"/>
  <c r="AD8" i="1"/>
  <c r="AE7" i="1"/>
  <c r="Y78" i="1"/>
  <c r="AC77" i="1"/>
  <c r="AA64" i="3"/>
  <c r="W65" i="3"/>
  <c r="AB10" i="11"/>
  <c r="AC9" i="11"/>
  <c r="AD9" i="11" s="1"/>
  <c r="AG9" i="11"/>
  <c r="AH9" i="11" s="1"/>
  <c r="AF10" i="11"/>
  <c r="U8" i="8"/>
  <c r="V8" i="8" s="1"/>
  <c r="AA9" i="7" l="1"/>
  <c r="AB8" i="7"/>
  <c r="W55" i="7"/>
  <c r="AA57" i="6"/>
  <c r="W58" i="6"/>
  <c r="AB51" i="6"/>
  <c r="AC50" i="6"/>
  <c r="AC9" i="5"/>
  <c r="W321" i="5"/>
  <c r="W76" i="5"/>
  <c r="AE10" i="2"/>
  <c r="AF9" i="2"/>
  <c r="AD72" i="2"/>
  <c r="Y73" i="2"/>
  <c r="AB72" i="2"/>
  <c r="AD9" i="1"/>
  <c r="AE8" i="1"/>
  <c r="AC78" i="1"/>
  <c r="Y79" i="1"/>
  <c r="W66" i="3"/>
  <c r="AA65" i="3"/>
  <c r="AB11" i="11"/>
  <c r="AC10" i="11"/>
  <c r="AD10" i="11" s="1"/>
  <c r="AG10" i="11"/>
  <c r="AH10" i="11" s="1"/>
  <c r="AF11" i="11"/>
  <c r="U9" i="8"/>
  <c r="V9" i="8" s="1"/>
  <c r="AA10" i="7" l="1"/>
  <c r="AB9" i="7"/>
  <c r="W56" i="7"/>
  <c r="AB52" i="6"/>
  <c r="AC51" i="6"/>
  <c r="AA58" i="6"/>
  <c r="W59" i="6"/>
  <c r="AC10" i="5"/>
  <c r="W322" i="5"/>
  <c r="W77" i="5"/>
  <c r="AE11" i="2"/>
  <c r="AF10" i="2"/>
  <c r="AD73" i="2"/>
  <c r="Y74" i="2"/>
  <c r="AB73" i="2"/>
  <c r="AD10" i="1"/>
  <c r="AE9" i="1"/>
  <c r="Y80" i="1"/>
  <c r="AC79" i="1"/>
  <c r="W67" i="3"/>
  <c r="AA66" i="3"/>
  <c r="AB12" i="11"/>
  <c r="AC11" i="11"/>
  <c r="AD11" i="11" s="1"/>
  <c r="AG11" i="11"/>
  <c r="AH11" i="11" s="1"/>
  <c r="AF12" i="11"/>
  <c r="U10" i="8"/>
  <c r="V10" i="8" s="1"/>
  <c r="AA11" i="7" l="1"/>
  <c r="AB10" i="7"/>
  <c r="W57" i="7"/>
  <c r="AA59" i="6"/>
  <c r="W60" i="6"/>
  <c r="AB53" i="6"/>
  <c r="AC52" i="6"/>
  <c r="AC11" i="5"/>
  <c r="W323" i="5"/>
  <c r="W78" i="5"/>
  <c r="AE12" i="2"/>
  <c r="AF11" i="2"/>
  <c r="AD74" i="2"/>
  <c r="Y75" i="2"/>
  <c r="AB74" i="2"/>
  <c r="AD11" i="1"/>
  <c r="AE10" i="1"/>
  <c r="AC80" i="1"/>
  <c r="Y81" i="1"/>
  <c r="W68" i="3"/>
  <c r="AA67" i="3"/>
  <c r="AB13" i="11"/>
  <c r="AC12" i="11"/>
  <c r="AD12" i="11" s="1"/>
  <c r="AF13" i="11"/>
  <c r="AG12" i="11"/>
  <c r="AH12" i="11" s="1"/>
  <c r="U11" i="8"/>
  <c r="V11" i="8" s="1"/>
  <c r="AA12" i="7" l="1"/>
  <c r="AB11" i="7"/>
  <c r="W58" i="7"/>
  <c r="AB54" i="6"/>
  <c r="AC53" i="6"/>
  <c r="W61" i="6"/>
  <c r="AA60" i="6"/>
  <c r="AC12" i="5"/>
  <c r="W324" i="5"/>
  <c r="W79" i="5"/>
  <c r="AE13" i="2"/>
  <c r="AF12" i="2"/>
  <c r="Y76" i="2"/>
  <c r="AB75" i="2"/>
  <c r="AD75" i="2"/>
  <c r="AD12" i="1"/>
  <c r="AE11" i="1"/>
  <c r="AC81" i="1"/>
  <c r="Y82" i="1"/>
  <c r="W69" i="3"/>
  <c r="AA68" i="3"/>
  <c r="AB14" i="11"/>
  <c r="AC13" i="11"/>
  <c r="AD13" i="11" s="1"/>
  <c r="AG13" i="11"/>
  <c r="AH13" i="11" s="1"/>
  <c r="AF14" i="11"/>
  <c r="U12" i="8"/>
  <c r="V12" i="8" s="1"/>
  <c r="AA13" i="7" l="1"/>
  <c r="AB12" i="7"/>
  <c r="W59" i="7"/>
  <c r="W62" i="6"/>
  <c r="AA61" i="6"/>
  <c r="AB55" i="6"/>
  <c r="AC54" i="6"/>
  <c r="AC13" i="5"/>
  <c r="W325" i="5"/>
  <c r="W80" i="5"/>
  <c r="AE14" i="2"/>
  <c r="AF13" i="2"/>
  <c r="AB76" i="2"/>
  <c r="AD76" i="2"/>
  <c r="Y77" i="2"/>
  <c r="AD13" i="1"/>
  <c r="AE12" i="1"/>
  <c r="AC82" i="1"/>
  <c r="Y83" i="1"/>
  <c r="W70" i="3"/>
  <c r="AA69" i="3"/>
  <c r="AB15" i="11"/>
  <c r="AC14" i="11"/>
  <c r="AD14" i="11" s="1"/>
  <c r="AF15" i="11"/>
  <c r="AG14" i="11"/>
  <c r="AH14" i="11" s="1"/>
  <c r="U13" i="8"/>
  <c r="V13" i="8" s="1"/>
  <c r="AB13" i="7" l="1"/>
  <c r="AA14" i="7"/>
  <c r="W60" i="7"/>
  <c r="AB56" i="6"/>
  <c r="AC55" i="6"/>
  <c r="W63" i="6"/>
  <c r="AA62" i="6"/>
  <c r="AC14" i="5"/>
  <c r="W326" i="5"/>
  <c r="W81" i="5"/>
  <c r="AF14" i="2"/>
  <c r="AE15" i="2"/>
  <c r="AD77" i="2"/>
  <c r="Y78" i="2"/>
  <c r="AB77" i="2"/>
  <c r="AE13" i="1"/>
  <c r="AD14" i="1"/>
  <c r="AC83" i="1"/>
  <c r="Y84" i="1"/>
  <c r="AA70" i="3"/>
  <c r="W71" i="3"/>
  <c r="AB16" i="11"/>
  <c r="AC15" i="11"/>
  <c r="AD15" i="11" s="1"/>
  <c r="AF16" i="11"/>
  <c r="AG15" i="11"/>
  <c r="AH15" i="11" s="1"/>
  <c r="U14" i="8"/>
  <c r="V14" i="8" s="1"/>
  <c r="AA15" i="7" l="1"/>
  <c r="AB14" i="7"/>
  <c r="W61" i="7"/>
  <c r="W64" i="6"/>
  <c r="AA63" i="6"/>
  <c r="AB57" i="6"/>
  <c r="AC56" i="6"/>
  <c r="AC15" i="5"/>
  <c r="W327" i="5"/>
  <c r="W82" i="5"/>
  <c r="AE16" i="2"/>
  <c r="AF15" i="2"/>
  <c r="AD78" i="2"/>
  <c r="Y79" i="2"/>
  <c r="AB78" i="2"/>
  <c r="AD15" i="1"/>
  <c r="AE14" i="1"/>
  <c r="AC84" i="1"/>
  <c r="Y85" i="1"/>
  <c r="AA71" i="3"/>
  <c r="W72" i="3"/>
  <c r="AB17" i="11"/>
  <c r="AC16" i="11"/>
  <c r="AD16" i="11" s="1"/>
  <c r="AF17" i="11"/>
  <c r="AG16" i="11"/>
  <c r="AH16" i="11" s="1"/>
  <c r="U15" i="8"/>
  <c r="V15" i="8" s="1"/>
  <c r="AA16" i="7" l="1"/>
  <c r="AB15" i="7"/>
  <c r="W62" i="7"/>
  <c r="AB58" i="6"/>
  <c r="AC57" i="6"/>
  <c r="W65" i="6"/>
  <c r="AA64" i="6"/>
  <c r="AC16" i="5"/>
  <c r="W328" i="5"/>
  <c r="W329" i="5" s="1"/>
  <c r="W330" i="5" s="1"/>
  <c r="W331" i="5" s="1"/>
  <c r="W332" i="5" s="1"/>
  <c r="W333" i="5" s="1"/>
  <c r="W334" i="5" s="1"/>
  <c r="W335" i="5" s="1"/>
  <c r="W336" i="5" s="1"/>
  <c r="W337" i="5" s="1"/>
  <c r="W338" i="5" s="1"/>
  <c r="W339" i="5" s="1"/>
  <c r="W340" i="5" s="1"/>
  <c r="W341" i="5" s="1"/>
  <c r="W342" i="5" s="1"/>
  <c r="W343" i="5" s="1"/>
  <c r="W344" i="5" s="1"/>
  <c r="W345" i="5" s="1"/>
  <c r="W346" i="5" s="1"/>
  <c r="W347" i="5" s="1"/>
  <c r="W348" i="5" s="1"/>
  <c r="W349" i="5" s="1"/>
  <c r="W350" i="5" s="1"/>
  <c r="W351" i="5" s="1"/>
  <c r="W352" i="5" s="1"/>
  <c r="W353" i="5" s="1"/>
  <c r="W354" i="5" s="1"/>
  <c r="W355" i="5" s="1"/>
  <c r="W356" i="5" s="1"/>
  <c r="W357" i="5" s="1"/>
  <c r="W358" i="5" s="1"/>
  <c r="W359" i="5" s="1"/>
  <c r="W360" i="5" s="1"/>
  <c r="W83" i="5"/>
  <c r="AE17" i="2"/>
  <c r="AF16" i="2"/>
  <c r="AD79" i="2"/>
  <c r="Y80" i="2"/>
  <c r="AB79" i="2"/>
  <c r="AE15" i="1"/>
  <c r="AD16" i="1"/>
  <c r="Y86" i="1"/>
  <c r="AC85" i="1"/>
  <c r="AA72" i="3"/>
  <c r="W73" i="3"/>
  <c r="AC17" i="11"/>
  <c r="AD17" i="11" s="1"/>
  <c r="AB18" i="11"/>
  <c r="AF18" i="11"/>
  <c r="AG17" i="11"/>
  <c r="AH17" i="11" s="1"/>
  <c r="U16" i="8"/>
  <c r="V16" i="8" s="1"/>
  <c r="AA17" i="7" l="1"/>
  <c r="AB16" i="7"/>
  <c r="W63" i="7"/>
  <c r="W66" i="6"/>
  <c r="AA65" i="6"/>
  <c r="AB59" i="6"/>
  <c r="AC58" i="6"/>
  <c r="AC17" i="5"/>
  <c r="W84" i="5"/>
  <c r="AE18" i="2"/>
  <c r="AF17" i="2"/>
  <c r="AD80" i="2"/>
  <c r="Y81" i="2"/>
  <c r="AB80" i="2"/>
  <c r="AE16" i="1"/>
  <c r="AD17" i="1"/>
  <c r="Y87" i="1"/>
  <c r="AC86" i="1"/>
  <c r="W74" i="3"/>
  <c r="AA73" i="3"/>
  <c r="AC18" i="11"/>
  <c r="AD18" i="11" s="1"/>
  <c r="AB19" i="11"/>
  <c r="AG18" i="11"/>
  <c r="AH18" i="11" s="1"/>
  <c r="AF19" i="11"/>
  <c r="U17" i="8"/>
  <c r="V17" i="8" s="1"/>
  <c r="AA18" i="7" l="1"/>
  <c r="AB17" i="7"/>
  <c r="W64" i="7"/>
  <c r="AB60" i="6"/>
  <c r="AC59" i="6"/>
  <c r="W67" i="6"/>
  <c r="AA66" i="6"/>
  <c r="AC18" i="5"/>
  <c r="W85" i="5"/>
  <c r="AE19" i="2"/>
  <c r="AF18" i="2"/>
  <c r="Y82" i="2"/>
  <c r="AB81" i="2"/>
  <c r="AD81" i="2"/>
  <c r="AD18" i="1"/>
  <c r="AE17" i="1"/>
  <c r="AC87" i="1"/>
  <c r="Y88" i="1"/>
  <c r="W75" i="3"/>
  <c r="AA74" i="3"/>
  <c r="AC19" i="11"/>
  <c r="AD19" i="11" s="1"/>
  <c r="AB20" i="11"/>
  <c r="AF20" i="11"/>
  <c r="AG19" i="11"/>
  <c r="AH19" i="11" s="1"/>
  <c r="U18" i="8"/>
  <c r="V18" i="8" s="1"/>
  <c r="AA19" i="7" l="1"/>
  <c r="AB18" i="7"/>
  <c r="W65" i="7"/>
  <c r="W68" i="6"/>
  <c r="AA67" i="6"/>
  <c r="AB61" i="6"/>
  <c r="AC60" i="6"/>
  <c r="AC19" i="5"/>
  <c r="W86" i="5"/>
  <c r="AE20" i="2"/>
  <c r="AF19" i="2"/>
  <c r="Y83" i="2"/>
  <c r="AB82" i="2"/>
  <c r="AD82" i="2"/>
  <c r="AE18" i="1"/>
  <c r="AD19" i="1"/>
  <c r="Y89" i="1"/>
  <c r="AC88" i="1"/>
  <c r="AA75" i="3"/>
  <c r="W76" i="3"/>
  <c r="AB21" i="11"/>
  <c r="AC20" i="11"/>
  <c r="AD20" i="11" s="1"/>
  <c r="AF21" i="11"/>
  <c r="AG20" i="11"/>
  <c r="AH20" i="11" s="1"/>
  <c r="U19" i="8"/>
  <c r="V19" i="8" s="1"/>
  <c r="AA20" i="7" l="1"/>
  <c r="AB19" i="7"/>
  <c r="W66" i="7"/>
  <c r="AB62" i="6"/>
  <c r="AC61" i="6"/>
  <c r="W69" i="6"/>
  <c r="AA68" i="6"/>
  <c r="AC20" i="5"/>
  <c r="W87" i="5"/>
  <c r="AE21" i="2"/>
  <c r="AF20" i="2"/>
  <c r="Y84" i="2"/>
  <c r="AB83" i="2"/>
  <c r="AD83" i="2"/>
  <c r="AD20" i="1"/>
  <c r="AE19" i="1"/>
  <c r="Y90" i="1"/>
  <c r="AC89" i="1"/>
  <c r="W77" i="3"/>
  <c r="AA76" i="3"/>
  <c r="AB22" i="11"/>
  <c r="AC21" i="11"/>
  <c r="AD21" i="11" s="1"/>
  <c r="AF22" i="11"/>
  <c r="AG21" i="11"/>
  <c r="AH21" i="11" s="1"/>
  <c r="U20" i="8"/>
  <c r="V20" i="8" s="1"/>
  <c r="AA21" i="7" l="1"/>
  <c r="AB20" i="7"/>
  <c r="W67" i="7"/>
  <c r="W70" i="6"/>
  <c r="AA69" i="6"/>
  <c r="AB63" i="6"/>
  <c r="AC62" i="6"/>
  <c r="AC21" i="5"/>
  <c r="W88" i="5"/>
  <c r="AE22" i="2"/>
  <c r="AF21" i="2"/>
  <c r="AB84" i="2"/>
  <c r="Y85" i="2"/>
  <c r="AD84" i="2"/>
  <c r="AD21" i="1"/>
  <c r="AE20" i="1"/>
  <c r="Y91" i="1"/>
  <c r="AC90" i="1"/>
  <c r="W78" i="3"/>
  <c r="AA77" i="3"/>
  <c r="AB23" i="11"/>
  <c r="AC22" i="11"/>
  <c r="AD22" i="11" s="1"/>
  <c r="AF23" i="11"/>
  <c r="AG22" i="11"/>
  <c r="AH22" i="11" s="1"/>
  <c r="U21" i="8"/>
  <c r="V21" i="8" s="1"/>
  <c r="AA22" i="7" l="1"/>
  <c r="AB21" i="7"/>
  <c r="W68" i="7"/>
  <c r="AB64" i="6"/>
  <c r="AC63" i="6"/>
  <c r="W71" i="6"/>
  <c r="AA70" i="6"/>
  <c r="AC22" i="5"/>
  <c r="W89" i="5"/>
  <c r="AE23" i="2"/>
  <c r="AF22" i="2"/>
  <c r="Y86" i="2"/>
  <c r="AB85" i="2"/>
  <c r="AD85" i="2"/>
  <c r="AD22" i="1"/>
  <c r="AE21" i="1"/>
  <c r="Y92" i="1"/>
  <c r="AC91" i="1"/>
  <c r="AA78" i="3"/>
  <c r="W79" i="3"/>
  <c r="AB24" i="11"/>
  <c r="AC23" i="11"/>
  <c r="AD23" i="11" s="1"/>
  <c r="AF24" i="11"/>
  <c r="AG23" i="11"/>
  <c r="AH23" i="11" s="1"/>
  <c r="U22" i="8"/>
  <c r="V22" i="8" s="1"/>
  <c r="AA23" i="7" l="1"/>
  <c r="AB22" i="7"/>
  <c r="W69" i="7"/>
  <c r="W72" i="6"/>
  <c r="AA71" i="6"/>
  <c r="AB65" i="6"/>
  <c r="AC64" i="6"/>
  <c r="AC23" i="5"/>
  <c r="W90" i="5"/>
  <c r="AE24" i="2"/>
  <c r="AF23" i="2"/>
  <c r="AD86" i="2"/>
  <c r="AB86" i="2"/>
  <c r="Y87" i="2"/>
  <c r="AD23" i="1"/>
  <c r="AE22" i="1"/>
  <c r="Y93" i="1"/>
  <c r="AC92" i="1"/>
  <c r="AA79" i="3"/>
  <c r="W80" i="3"/>
  <c r="AB25" i="11"/>
  <c r="AC24" i="11"/>
  <c r="AD24" i="11" s="1"/>
  <c r="AF25" i="11"/>
  <c r="AG24" i="11"/>
  <c r="AH24" i="11" s="1"/>
  <c r="U23" i="8"/>
  <c r="V23" i="8" s="1"/>
  <c r="AA24" i="7" l="1"/>
  <c r="AB23" i="7"/>
  <c r="W70" i="7"/>
  <c r="AB66" i="6"/>
  <c r="AC65" i="6"/>
  <c r="W73" i="6"/>
  <c r="AA72" i="6"/>
  <c r="AC24" i="5"/>
  <c r="W91" i="5"/>
  <c r="AE25" i="2"/>
  <c r="AF24" i="2"/>
  <c r="AD87" i="2"/>
  <c r="AB87" i="2"/>
  <c r="Y88" i="2"/>
  <c r="AD24" i="1"/>
  <c r="AE23" i="1"/>
  <c r="Y94" i="1"/>
  <c r="AC93" i="1"/>
  <c r="AA80" i="3"/>
  <c r="W81" i="3"/>
  <c r="AB26" i="11"/>
  <c r="AC25" i="11"/>
  <c r="AD25" i="11" s="1"/>
  <c r="AF26" i="11"/>
  <c r="AG25" i="11"/>
  <c r="AH25" i="11" s="1"/>
  <c r="U24" i="8"/>
  <c r="V24" i="8" s="1"/>
  <c r="AA25" i="7" l="1"/>
  <c r="AB24" i="7"/>
  <c r="W71" i="7"/>
  <c r="W74" i="6"/>
  <c r="AA73" i="6"/>
  <c r="AB67" i="6"/>
  <c r="AC66" i="6"/>
  <c r="AC25" i="5"/>
  <c r="W92" i="5"/>
  <c r="AE26" i="2"/>
  <c r="AF25" i="2"/>
  <c r="AD88" i="2"/>
  <c r="Y89" i="2"/>
  <c r="AB88" i="2"/>
  <c r="AD25" i="1"/>
  <c r="AE24" i="1"/>
  <c r="Y95" i="1"/>
  <c r="AC94" i="1"/>
  <c r="AA81" i="3"/>
  <c r="W82" i="3"/>
  <c r="AB27" i="11"/>
  <c r="AC26" i="11"/>
  <c r="AD26" i="11" s="1"/>
  <c r="AF27" i="11"/>
  <c r="AG26" i="11"/>
  <c r="AH26" i="11" s="1"/>
  <c r="U25" i="8"/>
  <c r="V25" i="8" s="1"/>
  <c r="AA26" i="7" l="1"/>
  <c r="AB25" i="7"/>
  <c r="W72" i="7"/>
  <c r="AB68" i="6"/>
  <c r="AC67" i="6"/>
  <c r="W75" i="6"/>
  <c r="AA74" i="6"/>
  <c r="AC26" i="5"/>
  <c r="W93" i="5"/>
  <c r="AE27" i="2"/>
  <c r="AF26" i="2"/>
  <c r="AD89" i="2"/>
  <c r="Y90" i="2"/>
  <c r="AB89" i="2"/>
  <c r="AD26" i="1"/>
  <c r="AE25" i="1"/>
  <c r="Y96" i="1"/>
  <c r="AC95" i="1"/>
  <c r="W83" i="3"/>
  <c r="AA82" i="3"/>
  <c r="AB28" i="11"/>
  <c r="AC27" i="11"/>
  <c r="AD27" i="11" s="1"/>
  <c r="AF28" i="11"/>
  <c r="AG27" i="11"/>
  <c r="AH27" i="11" s="1"/>
  <c r="U26" i="8"/>
  <c r="V26" i="8" s="1"/>
  <c r="AA27" i="7" l="1"/>
  <c r="AB26" i="7"/>
  <c r="W73" i="7"/>
  <c r="W76" i="6"/>
  <c r="AA75" i="6"/>
  <c r="AB69" i="6"/>
  <c r="AC68" i="6"/>
  <c r="AC27" i="5"/>
  <c r="W94" i="5"/>
  <c r="AE28" i="2"/>
  <c r="AF27" i="2"/>
  <c r="AD90" i="2"/>
  <c r="Y91" i="2"/>
  <c r="AB90" i="2"/>
  <c r="AD27" i="1"/>
  <c r="AE26" i="1"/>
  <c r="Y97" i="1"/>
  <c r="AC96" i="1"/>
  <c r="AA83" i="3"/>
  <c r="W84" i="3"/>
  <c r="AB29" i="11"/>
  <c r="AC28" i="11"/>
  <c r="AD28" i="11" s="1"/>
  <c r="AF29" i="11"/>
  <c r="AG28" i="11"/>
  <c r="AH28" i="11" s="1"/>
  <c r="U27" i="8"/>
  <c r="V27" i="8" s="1"/>
  <c r="AA28" i="7" l="1"/>
  <c r="AB27" i="7"/>
  <c r="W74" i="7"/>
  <c r="AB70" i="6"/>
  <c r="AC69" i="6"/>
  <c r="W77" i="6"/>
  <c r="AA76" i="6"/>
  <c r="AC28" i="5"/>
  <c r="W95" i="5"/>
  <c r="AE29" i="2"/>
  <c r="AF28" i="2"/>
  <c r="Y92" i="2"/>
  <c r="AB91" i="2"/>
  <c r="AD91" i="2"/>
  <c r="AE27" i="1"/>
  <c r="AD28" i="1"/>
  <c r="Y98" i="1"/>
  <c r="AC97" i="1"/>
  <c r="W85" i="3"/>
  <c r="AA84" i="3"/>
  <c r="AB30" i="11"/>
  <c r="AC29" i="11"/>
  <c r="AD29" i="11" s="1"/>
  <c r="AF30" i="11"/>
  <c r="AG29" i="11"/>
  <c r="AH29" i="11" s="1"/>
  <c r="U28" i="8"/>
  <c r="V28" i="8" s="1"/>
  <c r="AA29" i="7" l="1"/>
  <c r="AB28" i="7"/>
  <c r="W75" i="7"/>
  <c r="W78" i="6"/>
  <c r="AA77" i="6"/>
  <c r="AB71" i="6"/>
  <c r="AC70" i="6"/>
  <c r="AC29" i="5"/>
  <c r="W96" i="5"/>
  <c r="AE30" i="2"/>
  <c r="AF29" i="2"/>
  <c r="Y93" i="2"/>
  <c r="AB92" i="2"/>
  <c r="AD92" i="2"/>
  <c r="AD29" i="1"/>
  <c r="AE28" i="1"/>
  <c r="Y99" i="1"/>
  <c r="AC98" i="1"/>
  <c r="W86" i="3"/>
  <c r="AA85" i="3"/>
  <c r="AB31" i="11"/>
  <c r="AC30" i="11"/>
  <c r="AD30" i="11" s="1"/>
  <c r="AF31" i="11"/>
  <c r="AG30" i="11"/>
  <c r="AH30" i="11" s="1"/>
  <c r="U29" i="8"/>
  <c r="V29" i="8" s="1"/>
  <c r="AA30" i="7" l="1"/>
  <c r="AB29" i="7"/>
  <c r="W76" i="7"/>
  <c r="AB72" i="6"/>
  <c r="AC71" i="6"/>
  <c r="W79" i="6"/>
  <c r="AA78" i="6"/>
  <c r="AC30" i="5"/>
  <c r="W97" i="5"/>
  <c r="AE31" i="2"/>
  <c r="AF30" i="2"/>
  <c r="Y94" i="2"/>
  <c r="AB93" i="2"/>
  <c r="AD93" i="2"/>
  <c r="AD30" i="1"/>
  <c r="AE29" i="1"/>
  <c r="Y100" i="1"/>
  <c r="AC99" i="1"/>
  <c r="AA86" i="3"/>
  <c r="W87" i="3"/>
  <c r="AB32" i="11"/>
  <c r="AC31" i="11"/>
  <c r="AD31" i="11" s="1"/>
  <c r="AF32" i="11"/>
  <c r="AG31" i="11"/>
  <c r="AH31" i="11" s="1"/>
  <c r="U30" i="8"/>
  <c r="V30" i="8" s="1"/>
  <c r="AA31" i="7" l="1"/>
  <c r="AB30" i="7"/>
  <c r="W77" i="7"/>
  <c r="W80" i="6"/>
  <c r="AA79" i="6"/>
  <c r="AB73" i="6"/>
  <c r="AC72" i="6"/>
  <c r="AC31" i="5"/>
  <c r="W98" i="5"/>
  <c r="AE32" i="2"/>
  <c r="AF31" i="2"/>
  <c r="Y95" i="2"/>
  <c r="AB94" i="2"/>
  <c r="AD94" i="2"/>
  <c r="AE30" i="1"/>
  <c r="AD31" i="1"/>
  <c r="Y101" i="1"/>
  <c r="AC100" i="1"/>
  <c r="W88" i="3"/>
  <c r="AA87" i="3"/>
  <c r="AB33" i="11"/>
  <c r="AC32" i="11"/>
  <c r="AD32" i="11" s="1"/>
  <c r="AF33" i="11"/>
  <c r="AG32" i="11"/>
  <c r="AH32" i="11" s="1"/>
  <c r="U31" i="8"/>
  <c r="V31" i="8" s="1"/>
  <c r="AA32" i="7" l="1"/>
  <c r="AB31" i="7"/>
  <c r="W78" i="7"/>
  <c r="AB74" i="6"/>
  <c r="AC73" i="6"/>
  <c r="W81" i="6"/>
  <c r="AA80" i="6"/>
  <c r="AC32" i="5"/>
  <c r="W99" i="5"/>
  <c r="AE33" i="2"/>
  <c r="AF32" i="2"/>
  <c r="AD95" i="2"/>
  <c r="AB95" i="2"/>
  <c r="Y96" i="2"/>
  <c r="AD32" i="1"/>
  <c r="AE31" i="1"/>
  <c r="Y102" i="1"/>
  <c r="AC101" i="1"/>
  <c r="W89" i="3"/>
  <c r="AA88" i="3"/>
  <c r="AB34" i="11"/>
  <c r="AC33" i="11"/>
  <c r="AD33" i="11" s="1"/>
  <c r="AF34" i="11"/>
  <c r="AG33" i="11"/>
  <c r="AH33" i="11" s="1"/>
  <c r="U32" i="8"/>
  <c r="V32" i="8" s="1"/>
  <c r="AA33" i="7" l="1"/>
  <c r="AB32" i="7"/>
  <c r="W79" i="7"/>
  <c r="W82" i="6"/>
  <c r="AA81" i="6"/>
  <c r="AB75" i="6"/>
  <c r="AC74" i="6"/>
  <c r="AC33" i="5"/>
  <c r="W100" i="5"/>
  <c r="AE34" i="2"/>
  <c r="AF33" i="2"/>
  <c r="AD96" i="2"/>
  <c r="Y97" i="2"/>
  <c r="AB96" i="2"/>
  <c r="AD33" i="1"/>
  <c r="AE32" i="1"/>
  <c r="Y103" i="1"/>
  <c r="AC102" i="1"/>
  <c r="W90" i="3"/>
  <c r="AA89" i="3"/>
  <c r="AB35" i="11"/>
  <c r="AC34" i="11"/>
  <c r="AD34" i="11" s="1"/>
  <c r="AF35" i="11"/>
  <c r="AG34" i="11"/>
  <c r="AH34" i="11" s="1"/>
  <c r="U33" i="8"/>
  <c r="V33" i="8" s="1"/>
  <c r="AA34" i="7" l="1"/>
  <c r="AB33" i="7"/>
  <c r="W80" i="7"/>
  <c r="AB76" i="6"/>
  <c r="AC75" i="6"/>
  <c r="W83" i="6"/>
  <c r="AA82" i="6"/>
  <c r="AC34" i="5"/>
  <c r="W101" i="5"/>
  <c r="AE35" i="2"/>
  <c r="AF34" i="2"/>
  <c r="AD97" i="2"/>
  <c r="Y98" i="2"/>
  <c r="AB97" i="2"/>
  <c r="AD34" i="1"/>
  <c r="AE33" i="1"/>
  <c r="Y104" i="1"/>
  <c r="AC103" i="1"/>
  <c r="W91" i="3"/>
  <c r="AA90" i="3"/>
  <c r="AB36" i="11"/>
  <c r="AC35" i="11"/>
  <c r="AD35" i="11" s="1"/>
  <c r="AF36" i="11"/>
  <c r="AG35" i="11"/>
  <c r="AH35" i="11" s="1"/>
  <c r="U34" i="8"/>
  <c r="V34" i="8" s="1"/>
  <c r="AA35" i="7" l="1"/>
  <c r="AB34" i="7"/>
  <c r="W81" i="7"/>
  <c r="W84" i="6"/>
  <c r="AA83" i="6"/>
  <c r="AB77" i="6"/>
  <c r="AC76" i="6"/>
  <c r="AC35" i="5"/>
  <c r="W102" i="5"/>
  <c r="AE36" i="2"/>
  <c r="AF35" i="2"/>
  <c r="Y99" i="2"/>
  <c r="AD98" i="2"/>
  <c r="AB98" i="2"/>
  <c r="AD35" i="1"/>
  <c r="AE34" i="1"/>
  <c r="Y105" i="1"/>
  <c r="AC104" i="1"/>
  <c r="AA91" i="3"/>
  <c r="W92" i="3"/>
  <c r="AB37" i="11"/>
  <c r="AC36" i="11"/>
  <c r="AD36" i="11" s="1"/>
  <c r="AF37" i="11"/>
  <c r="AG36" i="11"/>
  <c r="AH36" i="11" s="1"/>
  <c r="U35" i="8"/>
  <c r="V35" i="8" s="1"/>
  <c r="AA36" i="7" l="1"/>
  <c r="AB35" i="7"/>
  <c r="W82" i="7"/>
  <c r="AB78" i="6"/>
  <c r="AC77" i="6"/>
  <c r="W85" i="6"/>
  <c r="AA84" i="6"/>
  <c r="AC36" i="5"/>
  <c r="W103" i="5"/>
  <c r="AE37" i="2"/>
  <c r="AF36" i="2"/>
  <c r="Y100" i="2"/>
  <c r="AB99" i="2"/>
  <c r="AD99" i="2"/>
  <c r="AD36" i="1"/>
  <c r="AE35" i="1"/>
  <c r="Y106" i="1"/>
  <c r="AC105" i="1"/>
  <c r="W93" i="3"/>
  <c r="AA92" i="3"/>
  <c r="AB38" i="11"/>
  <c r="AC37" i="11"/>
  <c r="AD37" i="11" s="1"/>
  <c r="AF38" i="11"/>
  <c r="AG37" i="11"/>
  <c r="AH37" i="11" s="1"/>
  <c r="U36" i="8"/>
  <c r="V36" i="8" s="1"/>
  <c r="AA37" i="7" l="1"/>
  <c r="AB36" i="7"/>
  <c r="W83" i="7"/>
  <c r="W86" i="6"/>
  <c r="AA85" i="6"/>
  <c r="AB79" i="6"/>
  <c r="AC78" i="6"/>
  <c r="AC37" i="5"/>
  <c r="W104" i="5"/>
  <c r="AE38" i="2"/>
  <c r="AF37" i="2"/>
  <c r="AD100" i="2"/>
  <c r="AB100" i="2"/>
  <c r="Y101" i="2"/>
  <c r="AD37" i="1"/>
  <c r="AE36" i="1"/>
  <c r="Y107" i="1"/>
  <c r="AC106" i="1"/>
  <c r="W94" i="3"/>
  <c r="AA93" i="3"/>
  <c r="AB39" i="11"/>
  <c r="AC38" i="11"/>
  <c r="AD38" i="11" s="1"/>
  <c r="AF39" i="11"/>
  <c r="AG38" i="11"/>
  <c r="AH38" i="11" s="1"/>
  <c r="U37" i="8"/>
  <c r="V37" i="8" s="1"/>
  <c r="AA38" i="7" l="1"/>
  <c r="AB37" i="7"/>
  <c r="W84" i="7"/>
  <c r="AB80" i="6"/>
  <c r="AC79" i="6"/>
  <c r="W87" i="6"/>
  <c r="AA86" i="6"/>
  <c r="AC38" i="5"/>
  <c r="W105" i="5"/>
  <c r="AE39" i="2"/>
  <c r="AF38" i="2"/>
  <c r="AD101" i="2"/>
  <c r="Y102" i="2"/>
  <c r="AB101" i="2"/>
  <c r="AD38" i="1"/>
  <c r="AE37" i="1"/>
  <c r="Y108" i="1"/>
  <c r="AC107" i="1"/>
  <c r="AA94" i="3"/>
  <c r="W95" i="3"/>
  <c r="AB40" i="11"/>
  <c r="AC39" i="11"/>
  <c r="AD39" i="11" s="1"/>
  <c r="AF40" i="11"/>
  <c r="AG39" i="11"/>
  <c r="AH39" i="11" s="1"/>
  <c r="U38" i="8"/>
  <c r="V38" i="8" s="1"/>
  <c r="AA39" i="7" l="1"/>
  <c r="AB38" i="7"/>
  <c r="W85" i="7"/>
  <c r="W88" i="6"/>
  <c r="AA87" i="6"/>
  <c r="AB81" i="6"/>
  <c r="AC80" i="6"/>
  <c r="AC39" i="5"/>
  <c r="W106" i="5"/>
  <c r="AE40" i="2"/>
  <c r="AF39" i="2"/>
  <c r="Y103" i="2"/>
  <c r="AD102" i="2"/>
  <c r="AB102" i="2"/>
  <c r="AD39" i="1"/>
  <c r="AE38" i="1"/>
  <c r="Y109" i="1"/>
  <c r="AC108" i="1"/>
  <c r="AA95" i="3"/>
  <c r="W96" i="3"/>
  <c r="AB41" i="11"/>
  <c r="AC40" i="11"/>
  <c r="AD40" i="11" s="1"/>
  <c r="AF41" i="11"/>
  <c r="AG40" i="11"/>
  <c r="AH40" i="11" s="1"/>
  <c r="U39" i="8"/>
  <c r="V39" i="8" s="1"/>
  <c r="AA40" i="7" l="1"/>
  <c r="AB39" i="7"/>
  <c r="W86" i="7"/>
  <c r="AB82" i="6"/>
  <c r="AC81" i="6"/>
  <c r="W89" i="6"/>
  <c r="AA88" i="6"/>
  <c r="AC40" i="5"/>
  <c r="W107" i="5"/>
  <c r="AE41" i="2"/>
  <c r="AF40" i="2"/>
  <c r="AD103" i="2"/>
  <c r="AB103" i="2"/>
  <c r="Y104" i="2"/>
  <c r="AD40" i="1"/>
  <c r="AE39" i="1"/>
  <c r="Y110" i="1"/>
  <c r="AC109" i="1"/>
  <c r="AA96" i="3"/>
  <c r="W97" i="3"/>
  <c r="AB42" i="11"/>
  <c r="AC41" i="11"/>
  <c r="AD41" i="11" s="1"/>
  <c r="AF42" i="11"/>
  <c r="AG41" i="11"/>
  <c r="AH41" i="11" s="1"/>
  <c r="U40" i="8"/>
  <c r="V40" i="8" s="1"/>
  <c r="AA41" i="7" l="1"/>
  <c r="AB40" i="7"/>
  <c r="W87" i="7"/>
  <c r="W90" i="6"/>
  <c r="AA89" i="6"/>
  <c r="AB83" i="6"/>
  <c r="AC82" i="6"/>
  <c r="AC41" i="5"/>
  <c r="W108" i="5"/>
  <c r="AE42" i="2"/>
  <c r="AF41" i="2"/>
  <c r="AD104" i="2"/>
  <c r="Y105" i="2"/>
  <c r="AB104" i="2"/>
  <c r="AD41" i="1"/>
  <c r="AE40" i="1"/>
  <c r="Y111" i="1"/>
  <c r="AC110" i="1"/>
  <c r="AA97" i="3"/>
  <c r="W98" i="3"/>
  <c r="AB43" i="11"/>
  <c r="AC42" i="11"/>
  <c r="AD42" i="11" s="1"/>
  <c r="AF43" i="11"/>
  <c r="AG42" i="11"/>
  <c r="AH42" i="11" s="1"/>
  <c r="U41" i="8"/>
  <c r="V41" i="8" s="1"/>
  <c r="AA42" i="7" l="1"/>
  <c r="AB41" i="7"/>
  <c r="W88" i="7"/>
  <c r="AB84" i="6"/>
  <c r="AC83" i="6"/>
  <c r="W91" i="6"/>
  <c r="AA90" i="6"/>
  <c r="AC42" i="5"/>
  <c r="W109" i="5"/>
  <c r="AE43" i="2"/>
  <c r="AF42" i="2"/>
  <c r="AD105" i="2"/>
  <c r="Y106" i="2"/>
  <c r="AB105" i="2"/>
  <c r="AD42" i="1"/>
  <c r="AE41" i="1"/>
  <c r="Y112" i="1"/>
  <c r="AC111" i="1"/>
  <c r="W99" i="3"/>
  <c r="AA98" i="3"/>
  <c r="AB44" i="11"/>
  <c r="AC43" i="11"/>
  <c r="AD43" i="11" s="1"/>
  <c r="AF44" i="11"/>
  <c r="AG43" i="11"/>
  <c r="AH43" i="11" s="1"/>
  <c r="U42" i="8"/>
  <c r="V42" i="8" s="1"/>
  <c r="AA43" i="7" l="1"/>
  <c r="AB42" i="7"/>
  <c r="W89" i="7"/>
  <c r="W92" i="6"/>
  <c r="AA91" i="6"/>
  <c r="AB85" i="6"/>
  <c r="AC84" i="6"/>
  <c r="AC43" i="5"/>
  <c r="W110" i="5"/>
  <c r="AE44" i="2"/>
  <c r="AF43" i="2"/>
  <c r="Y107" i="2"/>
  <c r="AB106" i="2"/>
  <c r="AD106" i="2"/>
  <c r="AD43" i="1"/>
  <c r="AE42" i="1"/>
  <c r="Y113" i="1"/>
  <c r="AC112" i="1"/>
  <c r="AA99" i="3"/>
  <c r="W100" i="3"/>
  <c r="AB45" i="11"/>
  <c r="AC44" i="11"/>
  <c r="AD44" i="11" s="1"/>
  <c r="AF45" i="11"/>
  <c r="AG44" i="11"/>
  <c r="AH44" i="11" s="1"/>
  <c r="U43" i="8"/>
  <c r="V43" i="8" s="1"/>
  <c r="AA44" i="7" l="1"/>
  <c r="AB43" i="7"/>
  <c r="W90" i="7"/>
  <c r="AB86" i="6"/>
  <c r="AC85" i="6"/>
  <c r="W93" i="6"/>
  <c r="AA92" i="6"/>
  <c r="AC44" i="5"/>
  <c r="W111" i="5"/>
  <c r="AE45" i="2"/>
  <c r="AF44" i="2"/>
  <c r="Y108" i="2"/>
  <c r="AB107" i="2"/>
  <c r="AD107" i="2"/>
  <c r="AD44" i="1"/>
  <c r="AE43" i="1"/>
  <c r="Y114" i="1"/>
  <c r="AC113" i="1"/>
  <c r="AA100" i="3"/>
  <c r="W101" i="3"/>
  <c r="AB46" i="11"/>
  <c r="AC45" i="11"/>
  <c r="AD45" i="11" s="1"/>
  <c r="AF46" i="11"/>
  <c r="AG45" i="11"/>
  <c r="AH45" i="11" s="1"/>
  <c r="U44" i="8"/>
  <c r="V44" i="8" s="1"/>
  <c r="AA45" i="7" l="1"/>
  <c r="AB44" i="7"/>
  <c r="W91" i="7"/>
  <c r="W94" i="6"/>
  <c r="AA93" i="6"/>
  <c r="AB87" i="6"/>
  <c r="AC86" i="6"/>
  <c r="AC45" i="5"/>
  <c r="W112" i="5"/>
  <c r="AE46" i="2"/>
  <c r="AF45" i="2"/>
  <c r="Y109" i="2"/>
  <c r="AB108" i="2"/>
  <c r="AD108" i="2"/>
  <c r="AD45" i="1"/>
  <c r="AE44" i="1"/>
  <c r="Y115" i="1"/>
  <c r="AC114" i="1"/>
  <c r="AA101" i="3"/>
  <c r="W102" i="3"/>
  <c r="AB47" i="11"/>
  <c r="AC46" i="11"/>
  <c r="AD46" i="11" s="1"/>
  <c r="AF47" i="11"/>
  <c r="AG46" i="11"/>
  <c r="AH46" i="11" s="1"/>
  <c r="U45" i="8"/>
  <c r="V45" i="8" s="1"/>
  <c r="AA46" i="7" l="1"/>
  <c r="AB45" i="7"/>
  <c r="W92" i="7"/>
  <c r="AB88" i="6"/>
  <c r="AC87" i="6"/>
  <c r="W95" i="6"/>
  <c r="AA94" i="6"/>
  <c r="AC46" i="5"/>
  <c r="W113" i="5"/>
  <c r="AE47" i="2"/>
  <c r="AF46" i="2"/>
  <c r="Y110" i="2"/>
  <c r="AB109" i="2"/>
  <c r="AD109" i="2"/>
  <c r="AD46" i="1"/>
  <c r="AE45" i="1"/>
  <c r="Y116" i="1"/>
  <c r="AC115" i="1"/>
  <c r="AA102" i="3"/>
  <c r="W103" i="3"/>
  <c r="AB48" i="11"/>
  <c r="AC47" i="11"/>
  <c r="AD47" i="11" s="1"/>
  <c r="AF48" i="11"/>
  <c r="AG47" i="11"/>
  <c r="AH47" i="11" s="1"/>
  <c r="U46" i="8"/>
  <c r="V46" i="8" s="1"/>
  <c r="AA47" i="7" l="1"/>
  <c r="AB46" i="7"/>
  <c r="W93" i="7"/>
  <c r="W96" i="6"/>
  <c r="AA95" i="6"/>
  <c r="AB89" i="6"/>
  <c r="AC88" i="6"/>
  <c r="AC47" i="5"/>
  <c r="W114" i="5"/>
  <c r="AE48" i="2"/>
  <c r="AF47" i="2"/>
  <c r="Y111" i="2"/>
  <c r="AB110" i="2"/>
  <c r="AD110" i="2"/>
  <c r="AD47" i="1"/>
  <c r="AE46" i="1"/>
  <c r="Y117" i="1"/>
  <c r="AC116" i="1"/>
  <c r="AA103" i="3"/>
  <c r="W104" i="3"/>
  <c r="AB49" i="11"/>
  <c r="AC48" i="11"/>
  <c r="AD48" i="11" s="1"/>
  <c r="AF49" i="11"/>
  <c r="AG48" i="11"/>
  <c r="AH48" i="11" s="1"/>
  <c r="U47" i="8"/>
  <c r="V47" i="8" s="1"/>
  <c r="AA48" i="7" l="1"/>
  <c r="AB47" i="7"/>
  <c r="W94" i="7"/>
  <c r="AB90" i="6"/>
  <c r="AC89" i="6"/>
  <c r="W97" i="6"/>
  <c r="AA96" i="6"/>
  <c r="AC48" i="5"/>
  <c r="W115" i="5"/>
  <c r="AE49" i="2"/>
  <c r="AF48" i="2"/>
  <c r="AB111" i="2"/>
  <c r="AD111" i="2"/>
  <c r="Y112" i="2"/>
  <c r="AD48" i="1"/>
  <c r="AE47" i="1"/>
  <c r="Y118" i="1"/>
  <c r="AC117" i="1"/>
  <c r="AA104" i="3"/>
  <c r="W105" i="3"/>
  <c r="AB50" i="11"/>
  <c r="AC49" i="11"/>
  <c r="AD49" i="11" s="1"/>
  <c r="AF50" i="11"/>
  <c r="AG49" i="11"/>
  <c r="AH49" i="11" s="1"/>
  <c r="U48" i="8"/>
  <c r="V48" i="8" s="1"/>
  <c r="AA49" i="7" l="1"/>
  <c r="AB48" i="7"/>
  <c r="W95" i="7"/>
  <c r="W98" i="6"/>
  <c r="AA97" i="6"/>
  <c r="AB91" i="6"/>
  <c r="AC90" i="6"/>
  <c r="AC49" i="5"/>
  <c r="W116" i="5"/>
  <c r="AE50" i="2"/>
  <c r="AF49" i="2"/>
  <c r="Y113" i="2"/>
  <c r="AB112" i="2"/>
  <c r="AD112" i="2"/>
  <c r="AD49" i="1"/>
  <c r="AE48" i="1"/>
  <c r="Y119" i="1"/>
  <c r="AC118" i="1"/>
  <c r="W106" i="3"/>
  <c r="AA105" i="3"/>
  <c r="AB51" i="11"/>
  <c r="AC50" i="11"/>
  <c r="AD50" i="11" s="1"/>
  <c r="AF51" i="11"/>
  <c r="AG50" i="11"/>
  <c r="AH50" i="11" s="1"/>
  <c r="U49" i="8"/>
  <c r="V49" i="8" s="1"/>
  <c r="AA50" i="7" l="1"/>
  <c r="AB49" i="7"/>
  <c r="AB92" i="6"/>
  <c r="AC91" i="6"/>
  <c r="W99" i="6"/>
  <c r="AA98" i="6"/>
  <c r="AC50" i="5"/>
  <c r="W117" i="5"/>
  <c r="AE51" i="2"/>
  <c r="AF50" i="2"/>
  <c r="Y114" i="2"/>
  <c r="AB113" i="2"/>
  <c r="AD113" i="2"/>
  <c r="AD50" i="1"/>
  <c r="AE49" i="1"/>
  <c r="Y120" i="1"/>
  <c r="AC119" i="1"/>
  <c r="W107" i="3"/>
  <c r="AA106" i="3"/>
  <c r="AB52" i="11"/>
  <c r="AC51" i="11"/>
  <c r="AD51" i="11" s="1"/>
  <c r="AF52" i="11"/>
  <c r="AG51" i="11"/>
  <c r="AH51" i="11" s="1"/>
  <c r="U50" i="8"/>
  <c r="V50" i="8" s="1"/>
  <c r="AA51" i="7" l="1"/>
  <c r="AB50" i="7"/>
  <c r="W100" i="6"/>
  <c r="AA99" i="6"/>
  <c r="AB93" i="6"/>
  <c r="AC92" i="6"/>
  <c r="AC51" i="5"/>
  <c r="W118" i="5"/>
  <c r="AE52" i="2"/>
  <c r="AF51" i="2"/>
  <c r="Y115" i="2"/>
  <c r="AD114" i="2"/>
  <c r="AB114" i="2"/>
  <c r="AD51" i="1"/>
  <c r="AE50" i="1"/>
  <c r="Y121" i="1"/>
  <c r="AC120" i="1"/>
  <c r="AA107" i="3"/>
  <c r="W108" i="3"/>
  <c r="AB53" i="11"/>
  <c r="AC52" i="11"/>
  <c r="AD52" i="11" s="1"/>
  <c r="AF53" i="11"/>
  <c r="AG52" i="11"/>
  <c r="AH52" i="11" s="1"/>
  <c r="U51" i="8"/>
  <c r="V51" i="8" s="1"/>
  <c r="AA52" i="7" l="1"/>
  <c r="AB51" i="7"/>
  <c r="AB94" i="6"/>
  <c r="AC93" i="6"/>
  <c r="W101" i="6"/>
  <c r="AA100" i="6"/>
  <c r="AC52" i="5"/>
  <c r="W119" i="5"/>
  <c r="AE53" i="2"/>
  <c r="AF52" i="2"/>
  <c r="Y116" i="2"/>
  <c r="AB115" i="2"/>
  <c r="AD115" i="2"/>
  <c r="AD52" i="1"/>
  <c r="AE51" i="1"/>
  <c r="Y122" i="1"/>
  <c r="AC121" i="1"/>
  <c r="W109" i="3"/>
  <c r="AA108" i="3"/>
  <c r="AB54" i="11"/>
  <c r="AC53" i="11"/>
  <c r="AD53" i="11" s="1"/>
  <c r="AF54" i="11"/>
  <c r="AG53" i="11"/>
  <c r="AH53" i="11" s="1"/>
  <c r="U52" i="8"/>
  <c r="V52" i="8" s="1"/>
  <c r="AA53" i="7" l="1"/>
  <c r="AB52" i="7"/>
  <c r="W102" i="6"/>
  <c r="AA101" i="6"/>
  <c r="AB95" i="6"/>
  <c r="AC94" i="6"/>
  <c r="AC53" i="5"/>
  <c r="W120" i="5"/>
  <c r="AE54" i="2"/>
  <c r="AF53" i="2"/>
  <c r="AD116" i="2"/>
  <c r="AB116" i="2"/>
  <c r="Y117" i="2"/>
  <c r="AD53" i="1"/>
  <c r="AE52" i="1"/>
  <c r="Y123" i="1"/>
  <c r="AC122" i="1"/>
  <c r="W110" i="3"/>
  <c r="AA109" i="3"/>
  <c r="AB55" i="11"/>
  <c r="AC54" i="11"/>
  <c r="AD54" i="11" s="1"/>
  <c r="AF55" i="11"/>
  <c r="AG54" i="11"/>
  <c r="AH54" i="11" s="1"/>
  <c r="U53" i="8"/>
  <c r="V53" i="8" s="1"/>
  <c r="AA54" i="7" l="1"/>
  <c r="AB53" i="7"/>
  <c r="AB96" i="6"/>
  <c r="AC95" i="6"/>
  <c r="W103" i="6"/>
  <c r="AA102" i="6"/>
  <c r="AC54" i="5"/>
  <c r="W121" i="5"/>
  <c r="AE55" i="2"/>
  <c r="AF54" i="2"/>
  <c r="AD117" i="2"/>
  <c r="Y118" i="2"/>
  <c r="AB117" i="2"/>
  <c r="AD54" i="1"/>
  <c r="AE53" i="1"/>
  <c r="Y124" i="1"/>
  <c r="AC123" i="1"/>
  <c r="AA110" i="3"/>
  <c r="W111" i="3"/>
  <c r="AB56" i="11"/>
  <c r="AC55" i="11"/>
  <c r="AD55" i="11" s="1"/>
  <c r="AF56" i="11"/>
  <c r="AG55" i="11"/>
  <c r="AH55" i="11" s="1"/>
  <c r="U54" i="8"/>
  <c r="V54" i="8" s="1"/>
  <c r="AA55" i="7" l="1"/>
  <c r="AB54" i="7"/>
  <c r="W104" i="6"/>
  <c r="AA103" i="6"/>
  <c r="AB97" i="6"/>
  <c r="AC96" i="6"/>
  <c r="AC55" i="5"/>
  <c r="W122" i="5"/>
  <c r="AE56" i="2"/>
  <c r="AF55" i="2"/>
  <c r="AD118" i="2"/>
  <c r="Y119" i="2"/>
  <c r="AB118" i="2"/>
  <c r="AD55" i="1"/>
  <c r="AE54" i="1"/>
  <c r="Y125" i="1"/>
  <c r="AC124" i="1"/>
  <c r="AA111" i="3"/>
  <c r="W112" i="3"/>
  <c r="AB57" i="11"/>
  <c r="AC56" i="11"/>
  <c r="AD56" i="11" s="1"/>
  <c r="AF57" i="11"/>
  <c r="AG56" i="11"/>
  <c r="AH56" i="11" s="1"/>
  <c r="U55" i="8"/>
  <c r="V55" i="8" s="1"/>
  <c r="AA56" i="7" l="1"/>
  <c r="AB55" i="7"/>
  <c r="AB98" i="6"/>
  <c r="AC97" i="6"/>
  <c r="W105" i="6"/>
  <c r="AA104" i="6"/>
  <c r="AC56" i="5"/>
  <c r="W123" i="5"/>
  <c r="AE57" i="2"/>
  <c r="AF56" i="2"/>
  <c r="AD119" i="2"/>
  <c r="AB119" i="2"/>
  <c r="Y120" i="2"/>
  <c r="AD56" i="1"/>
  <c r="AE55" i="1"/>
  <c r="Y126" i="1"/>
  <c r="AC125" i="1"/>
  <c r="W113" i="3"/>
  <c r="AA112" i="3"/>
  <c r="AB58" i="11"/>
  <c r="AC57" i="11"/>
  <c r="AD57" i="11" s="1"/>
  <c r="AF58" i="11"/>
  <c r="AG57" i="11"/>
  <c r="AH57" i="11" s="1"/>
  <c r="U56" i="8"/>
  <c r="V56" i="8" s="1"/>
  <c r="AA57" i="7" l="1"/>
  <c r="AB56" i="7"/>
  <c r="W106" i="6"/>
  <c r="AA105" i="6"/>
  <c r="AB99" i="6"/>
  <c r="AC98" i="6"/>
  <c r="AC57" i="5"/>
  <c r="W124" i="5"/>
  <c r="AE58" i="2"/>
  <c r="AF57" i="2"/>
  <c r="AD120" i="2"/>
  <c r="AB120" i="2"/>
  <c r="Y121" i="2"/>
  <c r="AD57" i="1"/>
  <c r="AE56" i="1"/>
  <c r="Y127" i="1"/>
  <c r="AC126" i="1"/>
  <c r="W114" i="3"/>
  <c r="AA113" i="3"/>
  <c r="AB59" i="11"/>
  <c r="AC58" i="11"/>
  <c r="AD58" i="11" s="1"/>
  <c r="AF59" i="11"/>
  <c r="AG58" i="11"/>
  <c r="AH58" i="11" s="1"/>
  <c r="U57" i="8"/>
  <c r="V57" i="8" s="1"/>
  <c r="AA58" i="7" l="1"/>
  <c r="AB57" i="7"/>
  <c r="AB100" i="6"/>
  <c r="AC99" i="6"/>
  <c r="W107" i="6"/>
  <c r="AA106" i="6"/>
  <c r="AC58" i="5"/>
  <c r="W125" i="5"/>
  <c r="AE59" i="2"/>
  <c r="AF58" i="2"/>
  <c r="AD121" i="2"/>
  <c r="Y122" i="2"/>
  <c r="AB121" i="2"/>
  <c r="AD58" i="1"/>
  <c r="AE57" i="1"/>
  <c r="Y128" i="1"/>
  <c r="AC127" i="1"/>
  <c r="W115" i="3"/>
  <c r="AA114" i="3"/>
  <c r="AB60" i="11"/>
  <c r="AC59" i="11"/>
  <c r="AD59" i="11" s="1"/>
  <c r="AF60" i="11"/>
  <c r="AG59" i="11"/>
  <c r="AH59" i="11" s="1"/>
  <c r="U58" i="8"/>
  <c r="V58" i="8" s="1"/>
  <c r="AA59" i="7" l="1"/>
  <c r="AB58" i="7"/>
  <c r="AB101" i="6"/>
  <c r="AC100" i="6"/>
  <c r="W108" i="6"/>
  <c r="AA107" i="6"/>
  <c r="AC59" i="5"/>
  <c r="W126" i="5"/>
  <c r="AE60" i="2"/>
  <c r="AF59" i="2"/>
  <c r="Y123" i="2"/>
  <c r="AB122" i="2"/>
  <c r="AD122" i="2"/>
  <c r="AD59" i="1"/>
  <c r="AE58" i="1"/>
  <c r="Y129" i="1"/>
  <c r="AC128" i="1"/>
  <c r="W116" i="3"/>
  <c r="AA115" i="3"/>
  <c r="AB61" i="11"/>
  <c r="AC60" i="11"/>
  <c r="AD60" i="11" s="1"/>
  <c r="AF61" i="11"/>
  <c r="AG60" i="11"/>
  <c r="AH60" i="11" s="1"/>
  <c r="U59" i="8"/>
  <c r="V59" i="8" s="1"/>
  <c r="AA60" i="7" l="1"/>
  <c r="AB59" i="7"/>
  <c r="W109" i="6"/>
  <c r="AA108" i="6"/>
  <c r="AB102" i="6"/>
  <c r="AC101" i="6"/>
  <c r="AC60" i="5"/>
  <c r="W127" i="5"/>
  <c r="AE61" i="2"/>
  <c r="AF60" i="2"/>
  <c r="Y124" i="2"/>
  <c r="AB123" i="2"/>
  <c r="AD123" i="2"/>
  <c r="AD60" i="1"/>
  <c r="AE59" i="1"/>
  <c r="Y130" i="1"/>
  <c r="AC129" i="1"/>
  <c r="W117" i="3"/>
  <c r="AA116" i="3"/>
  <c r="AB62" i="11"/>
  <c r="AC61" i="11"/>
  <c r="AD61" i="11" s="1"/>
  <c r="AF62" i="11"/>
  <c r="AG61" i="11"/>
  <c r="AH61" i="11" s="1"/>
  <c r="U60" i="8"/>
  <c r="V60" i="8" s="1"/>
  <c r="AA61" i="7" l="1"/>
  <c r="AB60" i="7"/>
  <c r="AB103" i="6"/>
  <c r="AC102" i="6"/>
  <c r="W110" i="6"/>
  <c r="AA109" i="6"/>
  <c r="AC61" i="5"/>
  <c r="W128" i="5"/>
  <c r="AE62" i="2"/>
  <c r="AF61" i="2"/>
  <c r="Y125" i="2"/>
  <c r="AB124" i="2"/>
  <c r="AD124" i="2"/>
  <c r="AD61" i="1"/>
  <c r="AE60" i="1"/>
  <c r="Y131" i="1"/>
  <c r="AC130" i="1"/>
  <c r="W118" i="3"/>
  <c r="AA117" i="3"/>
  <c r="AB63" i="11"/>
  <c r="AC62" i="11"/>
  <c r="AD62" i="11" s="1"/>
  <c r="AF63" i="11"/>
  <c r="AG62" i="11"/>
  <c r="AH62" i="11" s="1"/>
  <c r="U61" i="8"/>
  <c r="V61" i="8" s="1"/>
  <c r="AA62" i="7" l="1"/>
  <c r="AB61" i="7"/>
  <c r="W111" i="6"/>
  <c r="AA110" i="6"/>
  <c r="AB104" i="6"/>
  <c r="AC103" i="6"/>
  <c r="AC62" i="5"/>
  <c r="W129" i="5"/>
  <c r="AE63" i="2"/>
  <c r="AF62" i="2"/>
  <c r="AB125" i="2"/>
  <c r="AD125" i="2"/>
  <c r="Y126" i="2"/>
  <c r="AD62" i="1"/>
  <c r="AE61" i="1"/>
  <c r="Y132" i="1"/>
  <c r="AC131" i="1"/>
  <c r="AA118" i="3"/>
  <c r="W119" i="3"/>
  <c r="AB64" i="11"/>
  <c r="AC63" i="11"/>
  <c r="AD63" i="11" s="1"/>
  <c r="AF64" i="11"/>
  <c r="AG63" i="11"/>
  <c r="AH63" i="11" s="1"/>
  <c r="U62" i="8"/>
  <c r="V62" i="8" s="1"/>
  <c r="AA63" i="7" l="1"/>
  <c r="AB62" i="7"/>
  <c r="AB105" i="6"/>
  <c r="AC104" i="6"/>
  <c r="W112" i="6"/>
  <c r="AA111" i="6"/>
  <c r="AC63" i="5"/>
  <c r="W130" i="5"/>
  <c r="AE64" i="2"/>
  <c r="AF63" i="2"/>
  <c r="Y127" i="2"/>
  <c r="AB126" i="2"/>
  <c r="AD126" i="2"/>
  <c r="AD63" i="1"/>
  <c r="AE62" i="1"/>
  <c r="Y133" i="1"/>
  <c r="AC132" i="1"/>
  <c r="AA119" i="3"/>
  <c r="W120" i="3"/>
  <c r="AB65" i="11"/>
  <c r="AC64" i="11"/>
  <c r="AD64" i="11" s="1"/>
  <c r="AF65" i="11"/>
  <c r="AG64" i="11"/>
  <c r="AH64" i="11" s="1"/>
  <c r="U63" i="8"/>
  <c r="V63" i="8" s="1"/>
  <c r="AA64" i="7" l="1"/>
  <c r="AB63" i="7"/>
  <c r="W113" i="6"/>
  <c r="AA112" i="6"/>
  <c r="AB106" i="6"/>
  <c r="AC105" i="6"/>
  <c r="AC64" i="5"/>
  <c r="W131" i="5"/>
  <c r="AE65" i="2"/>
  <c r="AF64" i="2"/>
  <c r="Y128" i="2"/>
  <c r="AB127" i="2"/>
  <c r="AD127" i="2"/>
  <c r="AD64" i="1"/>
  <c r="AE63" i="1"/>
  <c r="Y134" i="1"/>
  <c r="AC133" i="1"/>
  <c r="W121" i="3"/>
  <c r="AA120" i="3"/>
  <c r="AB66" i="11"/>
  <c r="AC65" i="11"/>
  <c r="AD65" i="11" s="1"/>
  <c r="AF66" i="11"/>
  <c r="AG65" i="11"/>
  <c r="AH65" i="11" s="1"/>
  <c r="U64" i="8"/>
  <c r="V64" i="8" s="1"/>
  <c r="AA65" i="7" l="1"/>
  <c r="AB64" i="7"/>
  <c r="AB107" i="6"/>
  <c r="AC106" i="6"/>
  <c r="W114" i="6"/>
  <c r="AA113" i="6"/>
  <c r="AC65" i="5"/>
  <c r="W132" i="5"/>
  <c r="AE66" i="2"/>
  <c r="AF65" i="2"/>
  <c r="AD128" i="2"/>
  <c r="Y129" i="2"/>
  <c r="AB128" i="2"/>
  <c r="AD65" i="1"/>
  <c r="AE64" i="1"/>
  <c r="Y135" i="1"/>
  <c r="AC134" i="1"/>
  <c r="W122" i="3"/>
  <c r="AA121" i="3"/>
  <c r="AB67" i="11"/>
  <c r="AC66" i="11"/>
  <c r="AD66" i="11" s="1"/>
  <c r="AF67" i="11"/>
  <c r="AG66" i="11"/>
  <c r="AH66" i="11" s="1"/>
  <c r="U65" i="8"/>
  <c r="V65" i="8" s="1"/>
  <c r="AA66" i="7" l="1"/>
  <c r="AB65" i="7"/>
  <c r="W115" i="6"/>
  <c r="AA114" i="6"/>
  <c r="AB108" i="6"/>
  <c r="AC107" i="6"/>
  <c r="AC66" i="5"/>
  <c r="W133" i="5"/>
  <c r="AE67" i="2"/>
  <c r="AF66" i="2"/>
  <c r="AD129" i="2"/>
  <c r="Y130" i="2"/>
  <c r="AB129" i="2"/>
  <c r="AD66" i="1"/>
  <c r="AE65" i="1"/>
  <c r="Y136" i="1"/>
  <c r="AC135" i="1"/>
  <c r="W123" i="3"/>
  <c r="AA122" i="3"/>
  <c r="AB68" i="11"/>
  <c r="AC67" i="11"/>
  <c r="AD67" i="11" s="1"/>
  <c r="AF68" i="11"/>
  <c r="AG67" i="11"/>
  <c r="AH67" i="11" s="1"/>
  <c r="U66" i="8"/>
  <c r="V66" i="8" s="1"/>
  <c r="AA67" i="7" l="1"/>
  <c r="AB66" i="7"/>
  <c r="AB109" i="6"/>
  <c r="AC108" i="6"/>
  <c r="W116" i="6"/>
  <c r="AA115" i="6"/>
  <c r="AC67" i="5"/>
  <c r="W134" i="5"/>
  <c r="AE68" i="2"/>
  <c r="AF67" i="2"/>
  <c r="Y131" i="2"/>
  <c r="AD130" i="2"/>
  <c r="AB130" i="2"/>
  <c r="AD67" i="1"/>
  <c r="AE66" i="1"/>
  <c r="Y137" i="1"/>
  <c r="AC136" i="1"/>
  <c r="AA123" i="3"/>
  <c r="W124" i="3"/>
  <c r="AB69" i="11"/>
  <c r="AC68" i="11"/>
  <c r="AD68" i="11" s="1"/>
  <c r="AF69" i="11"/>
  <c r="AG68" i="11"/>
  <c r="AH68" i="11" s="1"/>
  <c r="U67" i="8"/>
  <c r="V67" i="8" s="1"/>
  <c r="AA68" i="7" l="1"/>
  <c r="AB67" i="7"/>
  <c r="W117" i="6"/>
  <c r="AA116" i="6"/>
  <c r="AB110" i="6"/>
  <c r="AC109" i="6"/>
  <c r="AC68" i="5"/>
  <c r="W135" i="5"/>
  <c r="AE69" i="2"/>
  <c r="AF68" i="2"/>
  <c r="Y132" i="2"/>
  <c r="AB131" i="2"/>
  <c r="AD131" i="2"/>
  <c r="AD68" i="1"/>
  <c r="AE67" i="1"/>
  <c r="Y138" i="1"/>
  <c r="AC137" i="1"/>
  <c r="W125" i="3"/>
  <c r="AA124" i="3"/>
  <c r="AB70" i="11"/>
  <c r="AC69" i="11"/>
  <c r="AD69" i="11" s="1"/>
  <c r="AF70" i="11"/>
  <c r="AG69" i="11"/>
  <c r="AH69" i="11" s="1"/>
  <c r="U68" i="8"/>
  <c r="V68" i="8" s="1"/>
  <c r="AA69" i="7" l="1"/>
  <c r="AB68" i="7"/>
  <c r="AB111" i="6"/>
  <c r="AC110" i="6"/>
  <c r="W118" i="6"/>
  <c r="AA117" i="6"/>
  <c r="AB70" i="5"/>
  <c r="AC69" i="5"/>
  <c r="W136" i="5"/>
  <c r="AE70" i="2"/>
  <c r="AF69" i="2"/>
  <c r="Y133" i="2"/>
  <c r="AB132" i="2"/>
  <c r="AD132" i="2"/>
  <c r="AD69" i="1"/>
  <c r="AE68" i="1"/>
  <c r="Y139" i="1"/>
  <c r="AC138" i="1"/>
  <c r="W126" i="3"/>
  <c r="AA125" i="3"/>
  <c r="AB71" i="11"/>
  <c r="AC70" i="11"/>
  <c r="AD70" i="11" s="1"/>
  <c r="AF71" i="11"/>
  <c r="AG71" i="11" s="1"/>
  <c r="AH71" i="11" s="1"/>
  <c r="AG70" i="11"/>
  <c r="AH70" i="11" s="1"/>
  <c r="U70" i="8"/>
  <c r="V70" i="8" s="1"/>
  <c r="U69" i="8"/>
  <c r="V69" i="8" s="1"/>
  <c r="AA70" i="7" l="1"/>
  <c r="AB69" i="7"/>
  <c r="W119" i="6"/>
  <c r="AA118" i="6"/>
  <c r="AB112" i="6"/>
  <c r="AC111" i="6"/>
  <c r="AB71" i="5"/>
  <c r="AC70" i="5"/>
  <c r="W137" i="5"/>
  <c r="AE71" i="2"/>
  <c r="AF70" i="2"/>
  <c r="AD133" i="2"/>
  <c r="AB133" i="2"/>
  <c r="Y134" i="2"/>
  <c r="AD70" i="1"/>
  <c r="AE69" i="1"/>
  <c r="Y140" i="1"/>
  <c r="AC139" i="1"/>
  <c r="AA126" i="3"/>
  <c r="W127" i="3"/>
  <c r="AB72" i="11"/>
  <c r="AC71" i="11"/>
  <c r="AD71" i="11" s="1"/>
  <c r="AA71" i="7" l="1"/>
  <c r="AB70" i="7"/>
  <c r="AB113" i="6"/>
  <c r="AC112" i="6"/>
  <c r="W120" i="6"/>
  <c r="AA119" i="6"/>
  <c r="AB72" i="5"/>
  <c r="AC71" i="5"/>
  <c r="W138" i="5"/>
  <c r="AE72" i="2"/>
  <c r="AF71" i="2"/>
  <c r="Y135" i="2"/>
  <c r="AD134" i="2"/>
  <c r="AB134" i="2"/>
  <c r="AD71" i="1"/>
  <c r="AE70" i="1"/>
  <c r="Y141" i="1"/>
  <c r="AC140" i="1"/>
  <c r="AA127" i="3"/>
  <c r="W128" i="3"/>
  <c r="AB73" i="11"/>
  <c r="AC72" i="11"/>
  <c r="AD72" i="11" s="1"/>
  <c r="AA72" i="7" l="1"/>
  <c r="AB71" i="7"/>
  <c r="W121" i="6"/>
  <c r="AA120" i="6"/>
  <c r="AB114" i="6"/>
  <c r="AC113" i="6"/>
  <c r="AB73" i="5"/>
  <c r="AC72" i="5"/>
  <c r="W139" i="5"/>
  <c r="AE73" i="2"/>
  <c r="AF72" i="2"/>
  <c r="AD135" i="2"/>
  <c r="Y136" i="2"/>
  <c r="AB135" i="2"/>
  <c r="AD72" i="1"/>
  <c r="AE71" i="1"/>
  <c r="Y142" i="1"/>
  <c r="AC141" i="1"/>
  <c r="AA128" i="3"/>
  <c r="W129" i="3"/>
  <c r="AB74" i="11"/>
  <c r="AC73" i="11"/>
  <c r="AD73" i="11" s="1"/>
  <c r="AA73" i="7" l="1"/>
  <c r="AB72" i="7"/>
  <c r="AB115" i="6"/>
  <c r="AC114" i="6"/>
  <c r="W122" i="6"/>
  <c r="AA121" i="6"/>
  <c r="AB74" i="5"/>
  <c r="AC73" i="5"/>
  <c r="W140" i="5"/>
  <c r="AE74" i="2"/>
  <c r="AF73" i="2"/>
  <c r="AD136" i="2"/>
  <c r="AB136" i="2"/>
  <c r="Y137" i="2"/>
  <c r="AD73" i="1"/>
  <c r="AE72" i="1"/>
  <c r="Y143" i="1"/>
  <c r="AC142" i="1"/>
  <c r="AA129" i="3"/>
  <c r="W130" i="3"/>
  <c r="AB75" i="11"/>
  <c r="AC74" i="11"/>
  <c r="AD74" i="11" s="1"/>
  <c r="AA74" i="7" l="1"/>
  <c r="AB73" i="7"/>
  <c r="W123" i="6"/>
  <c r="AA122" i="6"/>
  <c r="AB116" i="6"/>
  <c r="AC115" i="6"/>
  <c r="AB75" i="5"/>
  <c r="AC74" i="5"/>
  <c r="W141" i="5"/>
  <c r="AE75" i="2"/>
  <c r="AF74" i="2"/>
  <c r="AD137" i="2"/>
  <c r="AB137" i="2"/>
  <c r="Y138" i="2"/>
  <c r="AD74" i="1"/>
  <c r="AE73" i="1"/>
  <c r="Y144" i="1"/>
  <c r="AC143" i="1"/>
  <c r="W131" i="3"/>
  <c r="AA130" i="3"/>
  <c r="AB76" i="11"/>
  <c r="AC75" i="11"/>
  <c r="AD75" i="11" s="1"/>
  <c r="AA75" i="7" l="1"/>
  <c r="AB74" i="7"/>
  <c r="AB117" i="6"/>
  <c r="AC116" i="6"/>
  <c r="W124" i="6"/>
  <c r="AA123" i="6"/>
  <c r="AB76" i="5"/>
  <c r="AC75" i="5"/>
  <c r="W142" i="5"/>
  <c r="AE76" i="2"/>
  <c r="AF75" i="2"/>
  <c r="Y139" i="2"/>
  <c r="AD138" i="2"/>
  <c r="AB138" i="2"/>
  <c r="AD75" i="1"/>
  <c r="AE74" i="1"/>
  <c r="Y145" i="1"/>
  <c r="AC144" i="1"/>
  <c r="AA131" i="3"/>
  <c r="W132" i="3"/>
  <c r="AB77" i="11"/>
  <c r="AC76" i="11"/>
  <c r="AD76" i="11" s="1"/>
  <c r="AA76" i="7" l="1"/>
  <c r="AB75" i="7"/>
  <c r="W125" i="6"/>
  <c r="AA124" i="6"/>
  <c r="AB118" i="6"/>
  <c r="AC117" i="6"/>
  <c r="AB77" i="5"/>
  <c r="AC76" i="5"/>
  <c r="W143" i="5"/>
  <c r="AE77" i="2"/>
  <c r="AF76" i="2"/>
  <c r="Y140" i="2"/>
  <c r="AB139" i="2"/>
  <c r="AD139" i="2"/>
  <c r="AD76" i="1"/>
  <c r="AE75" i="1"/>
  <c r="Y146" i="1"/>
  <c r="AC145" i="1"/>
  <c r="AA132" i="3"/>
  <c r="W133" i="3"/>
  <c r="AB78" i="11"/>
  <c r="AC77" i="11"/>
  <c r="AD77" i="11" s="1"/>
  <c r="AA77" i="7" l="1"/>
  <c r="AB76" i="7"/>
  <c r="AB119" i="6"/>
  <c r="AC118" i="6"/>
  <c r="W126" i="6"/>
  <c r="AA125" i="6"/>
  <c r="AB78" i="5"/>
  <c r="AC77" i="5"/>
  <c r="W144" i="5"/>
  <c r="AE78" i="2"/>
  <c r="AF77" i="2"/>
  <c r="AD140" i="2"/>
  <c r="Y141" i="2"/>
  <c r="AB140" i="2"/>
  <c r="AD77" i="1"/>
  <c r="AE76" i="1"/>
  <c r="Y147" i="1"/>
  <c r="AC146" i="1"/>
  <c r="AA133" i="3"/>
  <c r="W134" i="3"/>
  <c r="AB79" i="11"/>
  <c r="AC78" i="11"/>
  <c r="AD78" i="11" s="1"/>
  <c r="AA78" i="7" l="1"/>
  <c r="AB77" i="7"/>
  <c r="W127" i="6"/>
  <c r="AA126" i="6"/>
  <c r="AB120" i="6"/>
  <c r="AC119" i="6"/>
  <c r="AB79" i="5"/>
  <c r="AC78" i="5"/>
  <c r="W145" i="5"/>
  <c r="AE79" i="2"/>
  <c r="AF78" i="2"/>
  <c r="AD141" i="2"/>
  <c r="Y142" i="2"/>
  <c r="AB141" i="2"/>
  <c r="AD78" i="1"/>
  <c r="AE77" i="1"/>
  <c r="Y148" i="1"/>
  <c r="AC147" i="1"/>
  <c r="AA134" i="3"/>
  <c r="W135" i="3"/>
  <c r="AB80" i="11"/>
  <c r="AC79" i="11"/>
  <c r="AD79" i="11" s="1"/>
  <c r="AA79" i="7" l="1"/>
  <c r="AB78" i="7"/>
  <c r="AB121" i="6"/>
  <c r="AC120" i="6"/>
  <c r="W128" i="6"/>
  <c r="AA127" i="6"/>
  <c r="AB80" i="5"/>
  <c r="AC79" i="5"/>
  <c r="W146" i="5"/>
  <c r="AE80" i="2"/>
  <c r="AF79" i="2"/>
  <c r="Y143" i="2"/>
  <c r="AB142" i="2"/>
  <c r="AD142" i="2"/>
  <c r="AD79" i="1"/>
  <c r="AE78" i="1"/>
  <c r="Y149" i="1"/>
  <c r="AC148" i="1"/>
  <c r="W136" i="3"/>
  <c r="AA135" i="3"/>
  <c r="AB81" i="11"/>
  <c r="AC80" i="11"/>
  <c r="AD80" i="11" s="1"/>
  <c r="AA80" i="7" l="1"/>
  <c r="AB79" i="7"/>
  <c r="W129" i="6"/>
  <c r="AA128" i="6"/>
  <c r="AB122" i="6"/>
  <c r="AC121" i="6"/>
  <c r="AB81" i="5"/>
  <c r="AC80" i="5"/>
  <c r="W147" i="5"/>
  <c r="AE81" i="2"/>
  <c r="AF80" i="2"/>
  <c r="Y144" i="2"/>
  <c r="AB143" i="2"/>
  <c r="AD143" i="2"/>
  <c r="AD80" i="1"/>
  <c r="AE79" i="1"/>
  <c r="Y150" i="1"/>
  <c r="AC149" i="1"/>
  <c r="W137" i="3"/>
  <c r="AA136" i="3"/>
  <c r="AB82" i="11"/>
  <c r="AC81" i="11"/>
  <c r="AD81" i="11" s="1"/>
  <c r="AA81" i="7" l="1"/>
  <c r="AB80" i="7"/>
  <c r="AB123" i="6"/>
  <c r="AC122" i="6"/>
  <c r="W130" i="6"/>
  <c r="AA129" i="6"/>
  <c r="AB82" i="5"/>
  <c r="AC81" i="5"/>
  <c r="W148" i="5"/>
  <c r="AE82" i="2"/>
  <c r="AF81" i="2"/>
  <c r="AB144" i="2"/>
  <c r="Y145" i="2"/>
  <c r="AD144" i="2"/>
  <c r="AD81" i="1"/>
  <c r="AE80" i="1"/>
  <c r="Y151" i="1"/>
  <c r="AC150" i="1"/>
  <c r="W138" i="3"/>
  <c r="AA137" i="3"/>
  <c r="AB83" i="11"/>
  <c r="AC82" i="11"/>
  <c r="AD82" i="11" s="1"/>
  <c r="AA82" i="7" l="1"/>
  <c r="AB81" i="7"/>
  <c r="W131" i="6"/>
  <c r="AA130" i="6"/>
  <c r="AB124" i="6"/>
  <c r="AC123" i="6"/>
  <c r="AB83" i="5"/>
  <c r="AC82" i="5"/>
  <c r="W149" i="5"/>
  <c r="AE83" i="2"/>
  <c r="AF82" i="2"/>
  <c r="AD145" i="2"/>
  <c r="Y146" i="2"/>
  <c r="AB145" i="2"/>
  <c r="AD82" i="1"/>
  <c r="AE81" i="1"/>
  <c r="Y152" i="1"/>
  <c r="AC151" i="1"/>
  <c r="W139" i="3"/>
  <c r="AA138" i="3"/>
  <c r="AB84" i="11"/>
  <c r="AC83" i="11"/>
  <c r="AD83" i="11" s="1"/>
  <c r="AA83" i="7" l="1"/>
  <c r="AB82" i="7"/>
  <c r="AB125" i="6"/>
  <c r="AC124" i="6"/>
  <c r="W132" i="6"/>
  <c r="AA131" i="6"/>
  <c r="AB84" i="5"/>
  <c r="AC83" i="5"/>
  <c r="W150" i="5"/>
  <c r="AE84" i="2"/>
  <c r="AF83" i="2"/>
  <c r="Y147" i="2"/>
  <c r="AD146" i="2"/>
  <c r="AB146" i="2"/>
  <c r="AD83" i="1"/>
  <c r="AE82" i="1"/>
  <c r="Y153" i="1"/>
  <c r="AC152" i="1"/>
  <c r="AA139" i="3"/>
  <c r="W140" i="3"/>
  <c r="AB85" i="11"/>
  <c r="AC84" i="11"/>
  <c r="AD84" i="11" s="1"/>
  <c r="AA84" i="7" l="1"/>
  <c r="AB83" i="7"/>
  <c r="W133" i="6"/>
  <c r="AA132" i="6"/>
  <c r="AB126" i="6"/>
  <c r="AC125" i="6"/>
  <c r="AB85" i="5"/>
  <c r="AC84" i="5"/>
  <c r="W151" i="5"/>
  <c r="AE85" i="2"/>
  <c r="AF84" i="2"/>
  <c r="Y148" i="2"/>
  <c r="AB147" i="2"/>
  <c r="AD147" i="2"/>
  <c r="AD84" i="1"/>
  <c r="AE83" i="1"/>
  <c r="Y154" i="1"/>
  <c r="AC153" i="1"/>
  <c r="AA140" i="3"/>
  <c r="W141" i="3"/>
  <c r="AB86" i="11"/>
  <c r="AC85" i="11"/>
  <c r="AD85" i="11" s="1"/>
  <c r="AA85" i="7" l="1"/>
  <c r="AB84" i="7"/>
  <c r="AB127" i="6"/>
  <c r="AC126" i="6"/>
  <c r="W134" i="6"/>
  <c r="AA133" i="6"/>
  <c r="AB86" i="5"/>
  <c r="AC85" i="5"/>
  <c r="W152" i="5"/>
  <c r="AE86" i="2"/>
  <c r="AF85" i="2"/>
  <c r="AD148" i="2"/>
  <c r="AB148" i="2"/>
  <c r="Y149" i="2"/>
  <c r="AD85" i="1"/>
  <c r="AE84" i="1"/>
  <c r="Y155" i="1"/>
  <c r="AC154" i="1"/>
  <c r="W142" i="3"/>
  <c r="AA141" i="3"/>
  <c r="AB87" i="11"/>
  <c r="AC86" i="11"/>
  <c r="AD86" i="11" s="1"/>
  <c r="AA86" i="7" l="1"/>
  <c r="AB85" i="7"/>
  <c r="W135" i="6"/>
  <c r="AA134" i="6"/>
  <c r="AB128" i="6"/>
  <c r="AC127" i="6"/>
  <c r="AB87" i="5"/>
  <c r="AC86" i="5"/>
  <c r="W153" i="5"/>
  <c r="AE87" i="2"/>
  <c r="AF86" i="2"/>
  <c r="Y150" i="2"/>
  <c r="AB149" i="2"/>
  <c r="AD149" i="2"/>
  <c r="AD86" i="1"/>
  <c r="AE85" i="1"/>
  <c r="Y156" i="1"/>
  <c r="AC155" i="1"/>
  <c r="AA142" i="3"/>
  <c r="W143" i="3"/>
  <c r="AB88" i="11"/>
  <c r="AC87" i="11"/>
  <c r="AD87" i="11" s="1"/>
  <c r="AA87" i="7" l="1"/>
  <c r="AB86" i="7"/>
  <c r="AB129" i="6"/>
  <c r="AC128" i="6"/>
  <c r="W136" i="6"/>
  <c r="AA135" i="6"/>
  <c r="AB88" i="5"/>
  <c r="AC87" i="5"/>
  <c r="W154" i="5"/>
  <c r="AE88" i="2"/>
  <c r="AF87" i="2"/>
  <c r="Y151" i="2"/>
  <c r="AD150" i="2"/>
  <c r="AB150" i="2"/>
  <c r="AD87" i="1"/>
  <c r="AE86" i="1"/>
  <c r="Y157" i="1"/>
  <c r="AC156" i="1"/>
  <c r="AA143" i="3"/>
  <c r="W144" i="3"/>
  <c r="AB89" i="11"/>
  <c r="AC88" i="11"/>
  <c r="AD88" i="11" s="1"/>
  <c r="AA88" i="7" l="1"/>
  <c r="AB87" i="7"/>
  <c r="W137" i="6"/>
  <c r="AA136" i="6"/>
  <c r="AB130" i="6"/>
  <c r="AC129" i="6"/>
  <c r="AB89" i="5"/>
  <c r="AC88" i="5"/>
  <c r="W155" i="5"/>
  <c r="AE89" i="2"/>
  <c r="AF88" i="2"/>
  <c r="AD151" i="2"/>
  <c r="Y152" i="2"/>
  <c r="AB151" i="2"/>
  <c r="AD88" i="1"/>
  <c r="AE87" i="1"/>
  <c r="Y158" i="1"/>
  <c r="AC157" i="1"/>
  <c r="W145" i="3"/>
  <c r="AA144" i="3"/>
  <c r="AB90" i="11"/>
  <c r="AC89" i="11"/>
  <c r="AD89" i="11" s="1"/>
  <c r="AA89" i="7" l="1"/>
  <c r="AB88" i="7"/>
  <c r="AB131" i="6"/>
  <c r="AC130" i="6"/>
  <c r="W138" i="6"/>
  <c r="AA137" i="6"/>
  <c r="AB90" i="5"/>
  <c r="AC89" i="5"/>
  <c r="W156" i="5"/>
  <c r="AE90" i="2"/>
  <c r="AF89" i="2"/>
  <c r="AD152" i="2"/>
  <c r="AB152" i="2"/>
  <c r="Y153" i="2"/>
  <c r="AD89" i="1"/>
  <c r="AE88" i="1"/>
  <c r="Y159" i="1"/>
  <c r="AC158" i="1"/>
  <c r="AA145" i="3"/>
  <c r="W146" i="3"/>
  <c r="AB91" i="11"/>
  <c r="AC90" i="11"/>
  <c r="AD90" i="11" s="1"/>
  <c r="AA90" i="7" l="1"/>
  <c r="AB89" i="7"/>
  <c r="W139" i="6"/>
  <c r="AA138" i="6"/>
  <c r="AB132" i="6"/>
  <c r="AC131" i="6"/>
  <c r="AB91" i="5"/>
  <c r="AC90" i="5"/>
  <c r="W157" i="5"/>
  <c r="AE91" i="2"/>
  <c r="AF90" i="2"/>
  <c r="AD153" i="2"/>
  <c r="Y154" i="2"/>
  <c r="AB153" i="2"/>
  <c r="AD90" i="1"/>
  <c r="AE89" i="1"/>
  <c r="Y160" i="1"/>
  <c r="AC159" i="1"/>
  <c r="AA146" i="3"/>
  <c r="W147" i="3"/>
  <c r="AB92" i="11"/>
  <c r="AC91" i="11"/>
  <c r="AD91" i="11" s="1"/>
  <c r="AA91" i="7" l="1"/>
  <c r="AB90" i="7"/>
  <c r="AB133" i="6"/>
  <c r="AC132" i="6"/>
  <c r="W140" i="6"/>
  <c r="AA139" i="6"/>
  <c r="AB92" i="5"/>
  <c r="AC91" i="5"/>
  <c r="W158" i="5"/>
  <c r="AE92" i="2"/>
  <c r="AF91" i="2"/>
  <c r="Y155" i="2"/>
  <c r="AD154" i="2"/>
  <c r="AB154" i="2"/>
  <c r="AD91" i="1"/>
  <c r="AE90" i="1"/>
  <c r="Y161" i="1"/>
  <c r="AC160" i="1"/>
  <c r="W148" i="3"/>
  <c r="AA147" i="3"/>
  <c r="AB93" i="11"/>
  <c r="AC92" i="11"/>
  <c r="AD92" i="11" s="1"/>
  <c r="AA92" i="7" l="1"/>
  <c r="AB91" i="7"/>
  <c r="W141" i="6"/>
  <c r="AA140" i="6"/>
  <c r="AB134" i="6"/>
  <c r="AC133" i="6"/>
  <c r="AB93" i="5"/>
  <c r="AC92" i="5"/>
  <c r="W159" i="5"/>
  <c r="AE93" i="2"/>
  <c r="AF92" i="2"/>
  <c r="AD155" i="2"/>
  <c r="Y156" i="2"/>
  <c r="AD92" i="1"/>
  <c r="AE91" i="1"/>
  <c r="Y162" i="1"/>
  <c r="AC161" i="1"/>
  <c r="W149" i="3"/>
  <c r="AA148" i="3"/>
  <c r="AB94" i="11"/>
  <c r="AC93" i="11"/>
  <c r="AD93" i="11" s="1"/>
  <c r="AA93" i="7" l="1"/>
  <c r="AB92" i="7"/>
  <c r="AB135" i="6"/>
  <c r="AC134" i="6"/>
  <c r="W142" i="6"/>
  <c r="AA141" i="6"/>
  <c r="AB94" i="5"/>
  <c r="AC93" i="5"/>
  <c r="W160" i="5"/>
  <c r="AE94" i="2"/>
  <c r="AF93" i="2"/>
  <c r="AD156" i="2"/>
  <c r="Y157" i="2"/>
  <c r="AD157" i="2" s="1"/>
  <c r="AD93" i="1"/>
  <c r="AE92" i="1"/>
  <c r="Y163" i="1"/>
  <c r="AC162" i="1"/>
  <c r="AA149" i="3"/>
  <c r="W150" i="3"/>
  <c r="AB95" i="11"/>
  <c r="AC94" i="11"/>
  <c r="AD94" i="11" s="1"/>
  <c r="AA94" i="7" l="1"/>
  <c r="AB93" i="7"/>
  <c r="W143" i="6"/>
  <c r="AA142" i="6"/>
  <c r="AB136" i="6"/>
  <c r="AC135" i="6"/>
  <c r="AB95" i="5"/>
  <c r="AC94" i="5"/>
  <c r="W161" i="5"/>
  <c r="AE95" i="2"/>
  <c r="AF94" i="2"/>
  <c r="AD94" i="1"/>
  <c r="AE93" i="1"/>
  <c r="Y164" i="1"/>
  <c r="AC163" i="1"/>
  <c r="AA150" i="3"/>
  <c r="W151" i="3"/>
  <c r="AB96" i="11"/>
  <c r="AC95" i="11"/>
  <c r="AD95" i="11" s="1"/>
  <c r="AA95" i="7" l="1"/>
  <c r="AB94" i="7"/>
  <c r="AB137" i="6"/>
  <c r="AC136" i="6"/>
  <c r="W144" i="6"/>
  <c r="AA143" i="6"/>
  <c r="AB96" i="5"/>
  <c r="AC95" i="5"/>
  <c r="W162" i="5"/>
  <c r="AE96" i="2"/>
  <c r="AF95" i="2"/>
  <c r="AD95" i="1"/>
  <c r="AE94" i="1"/>
  <c r="Y165" i="1"/>
  <c r="AC164" i="1"/>
  <c r="W152" i="3"/>
  <c r="AA151" i="3"/>
  <c r="AB97" i="11"/>
  <c r="AC96" i="11"/>
  <c r="AD96" i="11" s="1"/>
  <c r="AA96" i="7" l="1"/>
  <c r="AB95" i="7"/>
  <c r="W145" i="6"/>
  <c r="AA144" i="6"/>
  <c r="AB138" i="6"/>
  <c r="AC137" i="6"/>
  <c r="AB97" i="5"/>
  <c r="AC96" i="5"/>
  <c r="W163" i="5"/>
  <c r="AE97" i="2"/>
  <c r="AF96" i="2"/>
  <c r="AD96" i="1"/>
  <c r="AE95" i="1"/>
  <c r="Y166" i="1"/>
  <c r="AC165" i="1"/>
  <c r="AA152" i="3"/>
  <c r="W153" i="3"/>
  <c r="AB98" i="11"/>
  <c r="AC97" i="11"/>
  <c r="AD97" i="11" s="1"/>
  <c r="AA97" i="7" l="1"/>
  <c r="AB96" i="7"/>
  <c r="AB139" i="6"/>
  <c r="AC138" i="6"/>
  <c r="W146" i="6"/>
  <c r="AA145" i="6"/>
  <c r="AB98" i="5"/>
  <c r="AC97" i="5"/>
  <c r="W164" i="5"/>
  <c r="AE98" i="2"/>
  <c r="AF97" i="2"/>
  <c r="AD97" i="1"/>
  <c r="AE96" i="1"/>
  <c r="Y167" i="1"/>
  <c r="AC166" i="1"/>
  <c r="AA153" i="3"/>
  <c r="W154" i="3"/>
  <c r="AB99" i="11"/>
  <c r="AC98" i="11"/>
  <c r="AD98" i="11" s="1"/>
  <c r="AA98" i="7" l="1"/>
  <c r="AB97" i="7"/>
  <c r="W147" i="6"/>
  <c r="AA146" i="6"/>
  <c r="AB140" i="6"/>
  <c r="AC139" i="6"/>
  <c r="AB99" i="5"/>
  <c r="AC98" i="5"/>
  <c r="W165" i="5"/>
  <c r="AE99" i="2"/>
  <c r="AF98" i="2"/>
  <c r="AD98" i="1"/>
  <c r="AE97" i="1"/>
  <c r="Y168" i="1"/>
  <c r="AC167" i="1"/>
  <c r="AA154" i="3"/>
  <c r="W155" i="3"/>
  <c r="AB100" i="11"/>
  <c r="AC99" i="11"/>
  <c r="AD99" i="11" s="1"/>
  <c r="AA99" i="7" l="1"/>
  <c r="AB98" i="7"/>
  <c r="AB141" i="6"/>
  <c r="AC140" i="6"/>
  <c r="W148" i="6"/>
  <c r="AA147" i="6"/>
  <c r="AB100" i="5"/>
  <c r="AC99" i="5"/>
  <c r="W166" i="5"/>
  <c r="AE100" i="2"/>
  <c r="AF99" i="2"/>
  <c r="AD99" i="1"/>
  <c r="AE98" i="1"/>
  <c r="Y169" i="1"/>
  <c r="AC168" i="1"/>
  <c r="AA155" i="3"/>
  <c r="W156" i="3"/>
  <c r="AB101" i="11"/>
  <c r="AC100" i="11"/>
  <c r="AD100" i="11" s="1"/>
  <c r="AA100" i="7" l="1"/>
  <c r="AB99" i="7"/>
  <c r="W149" i="6"/>
  <c r="AA148" i="6"/>
  <c r="AB142" i="6"/>
  <c r="AC141" i="6"/>
  <c r="AB101" i="5"/>
  <c r="AC100" i="5"/>
  <c r="W167" i="5"/>
  <c r="AE101" i="2"/>
  <c r="AF100" i="2"/>
  <c r="AD100" i="1"/>
  <c r="AE99" i="1"/>
  <c r="Y170" i="1"/>
  <c r="AC169" i="1"/>
  <c r="AA156" i="3"/>
  <c r="W157" i="3"/>
  <c r="AB102" i="11"/>
  <c r="AC101" i="11"/>
  <c r="AD101" i="11" s="1"/>
  <c r="AA101" i="7" l="1"/>
  <c r="AB100" i="7"/>
  <c r="AB143" i="6"/>
  <c r="AC142" i="6"/>
  <c r="W150" i="6"/>
  <c r="AA149" i="6"/>
  <c r="AB102" i="5"/>
  <c r="AC101" i="5"/>
  <c r="W168" i="5"/>
  <c r="AE102" i="2"/>
  <c r="AF101" i="2"/>
  <c r="AD101" i="1"/>
  <c r="AE100" i="1"/>
  <c r="Y171" i="1"/>
  <c r="AC170" i="1"/>
  <c r="AA157" i="3"/>
  <c r="W158" i="3"/>
  <c r="AB103" i="11"/>
  <c r="AC102" i="11"/>
  <c r="AD102" i="11" s="1"/>
  <c r="AA102" i="7" l="1"/>
  <c r="AB101" i="7"/>
  <c r="W151" i="6"/>
  <c r="AA150" i="6"/>
  <c r="AB144" i="6"/>
  <c r="AC143" i="6"/>
  <c r="AB103" i="5"/>
  <c r="AC102" i="5"/>
  <c r="W169" i="5"/>
  <c r="AE103" i="2"/>
  <c r="AF102" i="2"/>
  <c r="AD102" i="1"/>
  <c r="AE101" i="1"/>
  <c r="Y172" i="1"/>
  <c r="AC171" i="1"/>
  <c r="AA158" i="3"/>
  <c r="W159" i="3"/>
  <c r="AB104" i="11"/>
  <c r="AC103" i="11"/>
  <c r="AD103" i="11" s="1"/>
  <c r="AA103" i="7" l="1"/>
  <c r="AB102" i="7"/>
  <c r="AB145" i="6"/>
  <c r="AC144" i="6"/>
  <c r="W152" i="6"/>
  <c r="AA151" i="6"/>
  <c r="AB104" i="5"/>
  <c r="AC103" i="5"/>
  <c r="W170" i="5"/>
  <c r="AE104" i="2"/>
  <c r="AF103" i="2"/>
  <c r="AD103" i="1"/>
  <c r="AE102" i="1"/>
  <c r="Y173" i="1"/>
  <c r="AC172" i="1"/>
  <c r="AA159" i="3"/>
  <c r="W160" i="3"/>
  <c r="AB105" i="11"/>
  <c r="AC104" i="11"/>
  <c r="AD104" i="11" s="1"/>
  <c r="AA104" i="7" l="1"/>
  <c r="AB103" i="7"/>
  <c r="W153" i="6"/>
  <c r="AA152" i="6"/>
  <c r="AB146" i="6"/>
  <c r="AC145" i="6"/>
  <c r="AB105" i="5"/>
  <c r="AC104" i="5"/>
  <c r="W171" i="5"/>
  <c r="AE105" i="2"/>
  <c r="AF104" i="2"/>
  <c r="AD104" i="1"/>
  <c r="AE103" i="1"/>
  <c r="Y174" i="1"/>
  <c r="AC173" i="1"/>
  <c r="AA160" i="3"/>
  <c r="W161" i="3"/>
  <c r="AB106" i="11"/>
  <c r="AC105" i="11"/>
  <c r="AD105" i="11" s="1"/>
  <c r="AA105" i="7" l="1"/>
  <c r="AB104" i="7"/>
  <c r="AB147" i="6"/>
  <c r="AC146" i="6"/>
  <c r="W154" i="6"/>
  <c r="AA153" i="6"/>
  <c r="AB106" i="5"/>
  <c r="AC105" i="5"/>
  <c r="W172" i="5"/>
  <c r="AE106" i="2"/>
  <c r="AF105" i="2"/>
  <c r="AD105" i="1"/>
  <c r="AE104" i="1"/>
  <c r="Y175" i="1"/>
  <c r="AC174" i="1"/>
  <c r="W162" i="3"/>
  <c r="AA161" i="3"/>
  <c r="AB107" i="11"/>
  <c r="AC106" i="11"/>
  <c r="AD106" i="11" s="1"/>
  <c r="AA106" i="7" l="1"/>
  <c r="AB105" i="7"/>
  <c r="W155" i="6"/>
  <c r="AA154" i="6"/>
  <c r="AB148" i="6"/>
  <c r="AC147" i="6"/>
  <c r="AB107" i="5"/>
  <c r="AC106" i="5"/>
  <c r="W173" i="5"/>
  <c r="AE107" i="2"/>
  <c r="AF106" i="2"/>
  <c r="AD106" i="1"/>
  <c r="AE105" i="1"/>
  <c r="Y176" i="1"/>
  <c r="AC175" i="1"/>
  <c r="W163" i="3"/>
  <c r="AA162" i="3"/>
  <c r="AB108" i="11"/>
  <c r="AC107" i="11"/>
  <c r="AD107" i="11" s="1"/>
  <c r="AA107" i="7" l="1"/>
  <c r="AB106" i="7"/>
  <c r="AB149" i="6"/>
  <c r="AC148" i="6"/>
  <c r="W156" i="6"/>
  <c r="AA155" i="6"/>
  <c r="AB108" i="5"/>
  <c r="AC107" i="5"/>
  <c r="W174" i="5"/>
  <c r="AE108" i="2"/>
  <c r="AF107" i="2"/>
  <c r="AD107" i="1"/>
  <c r="AE106" i="1"/>
  <c r="Y177" i="1"/>
  <c r="AC176" i="1"/>
  <c r="W164" i="3"/>
  <c r="AA163" i="3"/>
  <c r="AB109" i="11"/>
  <c r="AC108" i="11"/>
  <c r="AD108" i="11" s="1"/>
  <c r="AA108" i="7" l="1"/>
  <c r="AB107" i="7"/>
  <c r="W157" i="6"/>
  <c r="AA156" i="6"/>
  <c r="AB150" i="6"/>
  <c r="AC149" i="6"/>
  <c r="AB109" i="5"/>
  <c r="AC108" i="5"/>
  <c r="W175" i="5"/>
  <c r="AE109" i="2"/>
  <c r="AF108" i="2"/>
  <c r="AD108" i="1"/>
  <c r="AE107" i="1"/>
  <c r="Y178" i="1"/>
  <c r="AC177" i="1"/>
  <c r="W165" i="3"/>
  <c r="AA164" i="3"/>
  <c r="AB110" i="11"/>
  <c r="AC109" i="11"/>
  <c r="AD109" i="11" s="1"/>
  <c r="AA109" i="7" l="1"/>
  <c r="AB108" i="7"/>
  <c r="AB151" i="6"/>
  <c r="AC150" i="6"/>
  <c r="W158" i="6"/>
  <c r="AA157" i="6"/>
  <c r="AB110" i="5"/>
  <c r="AC109" i="5"/>
  <c r="W176" i="5"/>
  <c r="AE110" i="2"/>
  <c r="AF109" i="2"/>
  <c r="AD109" i="1"/>
  <c r="AE108" i="1"/>
  <c r="Y179" i="1"/>
  <c r="AC178" i="1"/>
  <c r="W166" i="3"/>
  <c r="AA165" i="3"/>
  <c r="AB111" i="11"/>
  <c r="AC110" i="11"/>
  <c r="AD110" i="11" s="1"/>
  <c r="AA110" i="7" l="1"/>
  <c r="AB109" i="7"/>
  <c r="W159" i="6"/>
  <c r="AA158" i="6"/>
  <c r="AB152" i="6"/>
  <c r="AC151" i="6"/>
  <c r="AB111" i="5"/>
  <c r="AC110" i="5"/>
  <c r="W177" i="5"/>
  <c r="AE111" i="2"/>
  <c r="AF110" i="2"/>
  <c r="AD110" i="1"/>
  <c r="AE109" i="1"/>
  <c r="Y180" i="1"/>
  <c r="AC179" i="1"/>
  <c r="W167" i="3"/>
  <c r="AA166" i="3"/>
  <c r="AB112" i="11"/>
  <c r="AC111" i="11"/>
  <c r="AD111" i="11" s="1"/>
  <c r="AA111" i="7" l="1"/>
  <c r="AB110" i="7"/>
  <c r="AB153" i="6"/>
  <c r="AC152" i="6"/>
  <c r="W160" i="6"/>
  <c r="AA159" i="6"/>
  <c r="AB112" i="5"/>
  <c r="AC111" i="5"/>
  <c r="W178" i="5"/>
  <c r="AE112" i="2"/>
  <c r="AF111" i="2"/>
  <c r="AD111" i="1"/>
  <c r="AE110" i="1"/>
  <c r="Y181" i="1"/>
  <c r="AC180" i="1"/>
  <c r="W168" i="3"/>
  <c r="AA167" i="3"/>
  <c r="AB113" i="11"/>
  <c r="AC112" i="11"/>
  <c r="AD112" i="11" s="1"/>
  <c r="AA112" i="7" l="1"/>
  <c r="AB111" i="7"/>
  <c r="AA160" i="6"/>
  <c r="W161" i="6"/>
  <c r="AB154" i="6"/>
  <c r="AC153" i="6"/>
  <c r="AB113" i="5"/>
  <c r="AC112" i="5"/>
  <c r="W179" i="5"/>
  <c r="AE113" i="2"/>
  <c r="AF112" i="2"/>
  <c r="AD112" i="1"/>
  <c r="AE111" i="1"/>
  <c r="Y182" i="1"/>
  <c r="AC181" i="1"/>
  <c r="W169" i="3"/>
  <c r="AA168" i="3"/>
  <c r="AB114" i="11"/>
  <c r="AC113" i="11"/>
  <c r="AD113" i="11" s="1"/>
  <c r="AA113" i="7" l="1"/>
  <c r="AB112" i="7"/>
  <c r="AB155" i="6"/>
  <c r="AC154" i="6"/>
  <c r="AA161" i="6"/>
  <c r="W162" i="6"/>
  <c r="AB114" i="5"/>
  <c r="AC113" i="5"/>
  <c r="W180" i="5"/>
  <c r="AE114" i="2"/>
  <c r="AF113" i="2"/>
  <c r="AD113" i="1"/>
  <c r="AE112" i="1"/>
  <c r="Y183" i="1"/>
  <c r="AC182" i="1"/>
  <c r="W170" i="3"/>
  <c r="AA169" i="3"/>
  <c r="AB115" i="11"/>
  <c r="AC114" i="11"/>
  <c r="AD114" i="11" s="1"/>
  <c r="AA114" i="7" l="1"/>
  <c r="AB113" i="7"/>
  <c r="AB156" i="6"/>
  <c r="AC155" i="6"/>
  <c r="W163" i="6"/>
  <c r="AA162" i="6"/>
  <c r="AB115" i="5"/>
  <c r="AC114" i="5"/>
  <c r="W181" i="5"/>
  <c r="AE115" i="2"/>
  <c r="AF114" i="2"/>
  <c r="AD114" i="1"/>
  <c r="AE113" i="1"/>
  <c r="Y184" i="1"/>
  <c r="AC183" i="1"/>
  <c r="W171" i="3"/>
  <c r="AA170" i="3"/>
  <c r="AB116" i="11"/>
  <c r="AC115" i="11"/>
  <c r="AD115" i="11" s="1"/>
  <c r="AA115" i="7" l="1"/>
  <c r="AB114" i="7"/>
  <c r="AA163" i="6"/>
  <c r="W164" i="6"/>
  <c r="AB157" i="6"/>
  <c r="AC156" i="6"/>
  <c r="AB116" i="5"/>
  <c r="AC115" i="5"/>
  <c r="W182" i="5"/>
  <c r="AE116" i="2"/>
  <c r="AF115" i="2"/>
  <c r="AD115" i="1"/>
  <c r="AE114" i="1"/>
  <c r="AC184" i="1"/>
  <c r="Y185" i="1"/>
  <c r="W172" i="3"/>
  <c r="AA171" i="3"/>
  <c r="AB117" i="11"/>
  <c r="AC116" i="11"/>
  <c r="AD116" i="11" s="1"/>
  <c r="AA116" i="7" l="1"/>
  <c r="AB115" i="7"/>
  <c r="AB158" i="6"/>
  <c r="AC157" i="6"/>
  <c r="AA164" i="6"/>
  <c r="W165" i="6"/>
  <c r="AB117" i="5"/>
  <c r="AC116" i="5"/>
  <c r="W183" i="5"/>
  <c r="AE117" i="2"/>
  <c r="AF116" i="2"/>
  <c r="AD116" i="1"/>
  <c r="AE115" i="1"/>
  <c r="Y186" i="1"/>
  <c r="AC185" i="1"/>
  <c r="W173" i="3"/>
  <c r="AA172" i="3"/>
  <c r="AB118" i="11"/>
  <c r="AC117" i="11"/>
  <c r="AD117" i="11" s="1"/>
  <c r="AA117" i="7" l="1"/>
  <c r="AB116" i="7"/>
  <c r="AA165" i="6"/>
  <c r="W166" i="6"/>
  <c r="AB159" i="6"/>
  <c r="AC158" i="6"/>
  <c r="AB118" i="5"/>
  <c r="AC117" i="5"/>
  <c r="W184" i="5"/>
  <c r="AE118" i="2"/>
  <c r="AF117" i="2"/>
  <c r="AD117" i="1"/>
  <c r="AE116" i="1"/>
  <c r="Y187" i="1"/>
  <c r="AC186" i="1"/>
  <c r="W174" i="3"/>
  <c r="AA173" i="3"/>
  <c r="AB119" i="11"/>
  <c r="AC118" i="11"/>
  <c r="AD118" i="11" s="1"/>
  <c r="AA118" i="7" l="1"/>
  <c r="AB117" i="7"/>
  <c r="AB160" i="6"/>
  <c r="AC159" i="6"/>
  <c r="W167" i="6"/>
  <c r="AA166" i="6"/>
  <c r="AB119" i="5"/>
  <c r="AC118" i="5"/>
  <c r="W185" i="5"/>
  <c r="AE119" i="2"/>
  <c r="AF118" i="2"/>
  <c r="AD118" i="1"/>
  <c r="AE117" i="1"/>
  <c r="Y188" i="1"/>
  <c r="AC187" i="1"/>
  <c r="W175" i="3"/>
  <c r="AA174" i="3"/>
  <c r="AB120" i="11"/>
  <c r="AC119" i="11"/>
  <c r="AD119" i="11" s="1"/>
  <c r="AA119" i="7" l="1"/>
  <c r="AB118" i="7"/>
  <c r="W168" i="6"/>
  <c r="AA167" i="6"/>
  <c r="AB161" i="6"/>
  <c r="AC160" i="6"/>
  <c r="AB120" i="5"/>
  <c r="AC119" i="5"/>
  <c r="W186" i="5"/>
  <c r="AE120" i="2"/>
  <c r="AF119" i="2"/>
  <c r="AD119" i="1"/>
  <c r="AE118" i="1"/>
  <c r="Y189" i="1"/>
  <c r="AC188" i="1"/>
  <c r="W176" i="3"/>
  <c r="AA175" i="3"/>
  <c r="AB121" i="11"/>
  <c r="AC120" i="11"/>
  <c r="AD120" i="11" s="1"/>
  <c r="AA120" i="7" l="1"/>
  <c r="AB119" i="7"/>
  <c r="AB162" i="6"/>
  <c r="AC161" i="6"/>
  <c r="W169" i="6"/>
  <c r="AA168" i="6"/>
  <c r="AB121" i="5"/>
  <c r="AC120" i="5"/>
  <c r="W187" i="5"/>
  <c r="AE121" i="2"/>
  <c r="AF120" i="2"/>
  <c r="AD120" i="1"/>
  <c r="AE119" i="1"/>
  <c r="Y190" i="1"/>
  <c r="AC189" i="1"/>
  <c r="W177" i="3"/>
  <c r="AA176" i="3"/>
  <c r="AB122" i="11"/>
  <c r="AC121" i="11"/>
  <c r="AD121" i="11" s="1"/>
  <c r="AA121" i="7" l="1"/>
  <c r="AB120" i="7"/>
  <c r="W170" i="6"/>
  <c r="AA169" i="6"/>
  <c r="AB163" i="6"/>
  <c r="AC162" i="6"/>
  <c r="AB122" i="5"/>
  <c r="AC121" i="5"/>
  <c r="W188" i="5"/>
  <c r="AE122" i="2"/>
  <c r="AF121" i="2"/>
  <c r="AD121" i="1"/>
  <c r="AE120" i="1"/>
  <c r="Y191" i="1"/>
  <c r="AC190" i="1"/>
  <c r="W178" i="3"/>
  <c r="AA177" i="3"/>
  <c r="AB123" i="11"/>
  <c r="AC122" i="11"/>
  <c r="AD122" i="11" s="1"/>
  <c r="AA122" i="7" l="1"/>
  <c r="AB121" i="7"/>
  <c r="AB164" i="6"/>
  <c r="AC163" i="6"/>
  <c r="W171" i="6"/>
  <c r="AA170" i="6"/>
  <c r="AB123" i="5"/>
  <c r="AC122" i="5"/>
  <c r="W189" i="5"/>
  <c r="AE123" i="2"/>
  <c r="AF122" i="2"/>
  <c r="AD122" i="1"/>
  <c r="AE121" i="1"/>
  <c r="Y192" i="1"/>
  <c r="AC191" i="1"/>
  <c r="W179" i="3"/>
  <c r="AA178" i="3"/>
  <c r="AB124" i="11"/>
  <c r="AC123" i="11"/>
  <c r="AD123" i="11" s="1"/>
  <c r="AA123" i="7" l="1"/>
  <c r="AB122" i="7"/>
  <c r="W172" i="6"/>
  <c r="AA171" i="6"/>
  <c r="AB165" i="6"/>
  <c r="AC164" i="6"/>
  <c r="AB124" i="5"/>
  <c r="AC123" i="5"/>
  <c r="W190" i="5"/>
  <c r="AE124" i="2"/>
  <c r="AF123" i="2"/>
  <c r="AD123" i="1"/>
  <c r="AE122" i="1"/>
  <c r="Y193" i="1"/>
  <c r="AC192" i="1"/>
  <c r="W180" i="3"/>
  <c r="AA179" i="3"/>
  <c r="AB125" i="11"/>
  <c r="AC124" i="11"/>
  <c r="AD124" i="11" s="1"/>
  <c r="AA124" i="7" l="1"/>
  <c r="AB123" i="7"/>
  <c r="AB166" i="6"/>
  <c r="AC165" i="6"/>
  <c r="W173" i="6"/>
  <c r="AA172" i="6"/>
  <c r="AB125" i="5"/>
  <c r="AC124" i="5"/>
  <c r="W191" i="5"/>
  <c r="AE125" i="2"/>
  <c r="AF124" i="2"/>
  <c r="AD124" i="1"/>
  <c r="AE123" i="1"/>
  <c r="Y194" i="1"/>
  <c r="AC193" i="1"/>
  <c r="W181" i="3"/>
  <c r="AA180" i="3"/>
  <c r="AB126" i="11"/>
  <c r="AC125" i="11"/>
  <c r="AD125" i="11" s="1"/>
  <c r="AA125" i="7" l="1"/>
  <c r="AB124" i="7"/>
  <c r="W174" i="6"/>
  <c r="AA173" i="6"/>
  <c r="AB167" i="6"/>
  <c r="AC166" i="6"/>
  <c r="AB126" i="5"/>
  <c r="AC125" i="5"/>
  <c r="W192" i="5"/>
  <c r="AE126" i="2"/>
  <c r="AF125" i="2"/>
  <c r="AD125" i="1"/>
  <c r="AE124" i="1"/>
  <c r="Y195" i="1"/>
  <c r="AC195" i="1" s="1"/>
  <c r="AC194" i="1"/>
  <c r="W182" i="3"/>
  <c r="AA181" i="3"/>
  <c r="AB127" i="11"/>
  <c r="AC126" i="11"/>
  <c r="AD126" i="11" s="1"/>
  <c r="AA126" i="7" l="1"/>
  <c r="AB125" i="7"/>
  <c r="AB168" i="6"/>
  <c r="AC167" i="6"/>
  <c r="W175" i="6"/>
  <c r="AA174" i="6"/>
  <c r="AB127" i="5"/>
  <c r="AC126" i="5"/>
  <c r="W193" i="5"/>
  <c r="AE127" i="2"/>
  <c r="AF126" i="2"/>
  <c r="AD126" i="1"/>
  <c r="AE125" i="1"/>
  <c r="W183" i="3"/>
  <c r="AA182" i="3"/>
  <c r="AB128" i="11"/>
  <c r="AC127" i="11"/>
  <c r="AD127" i="11" s="1"/>
  <c r="AA127" i="7" l="1"/>
  <c r="AB126" i="7"/>
  <c r="AA175" i="6"/>
  <c r="W176" i="6"/>
  <c r="AB169" i="6"/>
  <c r="AC168" i="6"/>
  <c r="AB128" i="5"/>
  <c r="AC127" i="5"/>
  <c r="W194" i="5"/>
  <c r="AE128" i="2"/>
  <c r="AF127" i="2"/>
  <c r="AD127" i="1"/>
  <c r="AE126" i="1"/>
  <c r="W184" i="3"/>
  <c r="AA183" i="3"/>
  <c r="AB129" i="11"/>
  <c r="AC128" i="11"/>
  <c r="AD128" i="11" s="1"/>
  <c r="AA128" i="7" l="1"/>
  <c r="AB128" i="7" s="1"/>
  <c r="AB127" i="7"/>
  <c r="AB170" i="6"/>
  <c r="AC169" i="6"/>
  <c r="W177" i="6"/>
  <c r="AA176" i="6"/>
  <c r="AB129" i="5"/>
  <c r="AC128" i="5"/>
  <c r="W195" i="5"/>
  <c r="AE129" i="2"/>
  <c r="AF128" i="2"/>
  <c r="AD128" i="1"/>
  <c r="AE127" i="1"/>
  <c r="W185" i="3"/>
  <c r="AA184" i="3"/>
  <c r="AB130" i="11"/>
  <c r="AC129" i="11"/>
  <c r="AD129" i="11" s="1"/>
  <c r="W178" i="6" l="1"/>
  <c r="AA177" i="6"/>
  <c r="AB171" i="6"/>
  <c r="AC170" i="6"/>
  <c r="AB130" i="5"/>
  <c r="AC129" i="5"/>
  <c r="W196" i="5"/>
  <c r="AE130" i="2"/>
  <c r="AF129" i="2"/>
  <c r="AD129" i="1"/>
  <c r="AE128" i="1"/>
  <c r="W186" i="3"/>
  <c r="AA185" i="3"/>
  <c r="AB131" i="11"/>
  <c r="AC130" i="11"/>
  <c r="AD130" i="11" s="1"/>
  <c r="AB172" i="6" l="1"/>
  <c r="AC171" i="6"/>
  <c r="W179" i="6"/>
  <c r="AA178" i="6"/>
  <c r="AB131" i="5"/>
  <c r="AC130" i="5"/>
  <c r="W197" i="5"/>
  <c r="AE131" i="2"/>
  <c r="AF130" i="2"/>
  <c r="AD130" i="1"/>
  <c r="AE129" i="1"/>
  <c r="W187" i="3"/>
  <c r="AA186" i="3"/>
  <c r="AB132" i="11"/>
  <c r="AC131" i="11"/>
  <c r="AD131" i="11" s="1"/>
  <c r="W180" i="6" l="1"/>
  <c r="AA179" i="6"/>
  <c r="AB173" i="6"/>
  <c r="AC172" i="6"/>
  <c r="AB132" i="5"/>
  <c r="AC131" i="5"/>
  <c r="W198" i="5"/>
  <c r="AE132" i="2"/>
  <c r="AF131" i="2"/>
  <c r="AD131" i="1"/>
  <c r="AE130" i="1"/>
  <c r="W188" i="3"/>
  <c r="AA187" i="3"/>
  <c r="AB133" i="11"/>
  <c r="AC132" i="11"/>
  <c r="AD132" i="11" s="1"/>
  <c r="AB174" i="6" l="1"/>
  <c r="AC173" i="6"/>
  <c r="W181" i="6"/>
  <c r="AA180" i="6"/>
  <c r="AB133" i="5"/>
  <c r="AC132" i="5"/>
  <c r="W199" i="5"/>
  <c r="AE133" i="2"/>
  <c r="AF132" i="2"/>
  <c r="AD132" i="1"/>
  <c r="AE131" i="1"/>
  <c r="W189" i="3"/>
  <c r="AA188" i="3"/>
  <c r="AB134" i="11"/>
  <c r="AC133" i="11"/>
  <c r="AD133" i="11" s="1"/>
  <c r="W182" i="6" l="1"/>
  <c r="AA181" i="6"/>
  <c r="AB175" i="6"/>
  <c r="AC174" i="6"/>
  <c r="AB134" i="5"/>
  <c r="AC133" i="5"/>
  <c r="W200" i="5"/>
  <c r="AE134" i="2"/>
  <c r="AF133" i="2"/>
  <c r="AD133" i="1"/>
  <c r="AE132" i="1"/>
  <c r="W190" i="3"/>
  <c r="AA189" i="3"/>
  <c r="AB135" i="11"/>
  <c r="AC134" i="11"/>
  <c r="AD134" i="11" s="1"/>
  <c r="AB176" i="6" l="1"/>
  <c r="AC175" i="6"/>
  <c r="W183" i="6"/>
  <c r="AA182" i="6"/>
  <c r="AB135" i="5"/>
  <c r="AC134" i="5"/>
  <c r="W201" i="5"/>
  <c r="AE135" i="2"/>
  <c r="AF134" i="2"/>
  <c r="AD134" i="1"/>
  <c r="AE133" i="1"/>
  <c r="W191" i="3"/>
  <c r="AA190" i="3"/>
  <c r="AB136" i="11"/>
  <c r="AC135" i="11"/>
  <c r="AD135" i="11" s="1"/>
  <c r="W184" i="6" l="1"/>
  <c r="AA183" i="6"/>
  <c r="AB177" i="6"/>
  <c r="AC176" i="6"/>
  <c r="AB136" i="5"/>
  <c r="AC135" i="5"/>
  <c r="W202" i="5"/>
  <c r="AE136" i="2"/>
  <c r="AF135" i="2"/>
  <c r="AD135" i="1"/>
  <c r="AE134" i="1"/>
  <c r="W192" i="3"/>
  <c r="AA192" i="3" s="1"/>
  <c r="AA191" i="3"/>
  <c r="AB137" i="11"/>
  <c r="AC136" i="11"/>
  <c r="AD136" i="11" s="1"/>
  <c r="AB178" i="6" l="1"/>
  <c r="AC177" i="6"/>
  <c r="W185" i="6"/>
  <c r="AA184" i="6"/>
  <c r="AB137" i="5"/>
  <c r="AC136" i="5"/>
  <c r="W203" i="5"/>
  <c r="AE137" i="2"/>
  <c r="AF136" i="2"/>
  <c r="AD136" i="1"/>
  <c r="AE135" i="1"/>
  <c r="AB138" i="11"/>
  <c r="AC137" i="11"/>
  <c r="AD137" i="11" s="1"/>
  <c r="W186" i="6" l="1"/>
  <c r="AA185" i="6"/>
  <c r="AB179" i="6"/>
  <c r="AC178" i="6"/>
  <c r="AB138" i="5"/>
  <c r="AC137" i="5"/>
  <c r="W204" i="5"/>
  <c r="AE138" i="2"/>
  <c r="AF137" i="2"/>
  <c r="AD137" i="1"/>
  <c r="AE136" i="1"/>
  <c r="AB139" i="11"/>
  <c r="AC138" i="11"/>
  <c r="AD138" i="11" s="1"/>
  <c r="AB180" i="6" l="1"/>
  <c r="AC179" i="6"/>
  <c r="W187" i="6"/>
  <c r="AA186" i="6"/>
  <c r="AB139" i="5"/>
  <c r="AC138" i="5"/>
  <c r="W205" i="5"/>
  <c r="AE139" i="2"/>
  <c r="AF138" i="2"/>
  <c r="AD138" i="1"/>
  <c r="AE137" i="1"/>
  <c r="AB140" i="11"/>
  <c r="AC139" i="11"/>
  <c r="AD139" i="11" s="1"/>
  <c r="W188" i="6" l="1"/>
  <c r="AA187" i="6"/>
  <c r="AB181" i="6"/>
  <c r="AC180" i="6"/>
  <c r="AB140" i="5"/>
  <c r="AC139" i="5"/>
  <c r="W206" i="5"/>
  <c r="AE140" i="2"/>
  <c r="AF139" i="2"/>
  <c r="AD139" i="1"/>
  <c r="AE138" i="1"/>
  <c r="AB141" i="11"/>
  <c r="AC140" i="11"/>
  <c r="AD140" i="11" s="1"/>
  <c r="AB182" i="6" l="1"/>
  <c r="AC181" i="6"/>
  <c r="W189" i="6"/>
  <c r="AA188" i="6"/>
  <c r="AB141" i="5"/>
  <c r="AC140" i="5"/>
  <c r="W207" i="5"/>
  <c r="AE141" i="2"/>
  <c r="AF140" i="2"/>
  <c r="AD140" i="1"/>
  <c r="AE139" i="1"/>
  <c r="AB142" i="11"/>
  <c r="AC141" i="11"/>
  <c r="AD141" i="11" s="1"/>
  <c r="W190" i="6" l="1"/>
  <c r="AA189" i="6"/>
  <c r="AB183" i="6"/>
  <c r="AC182" i="6"/>
  <c r="AB142" i="5"/>
  <c r="AC141" i="5"/>
  <c r="W208" i="5"/>
  <c r="AE142" i="2"/>
  <c r="AF141" i="2"/>
  <c r="AD141" i="1"/>
  <c r="AE140" i="1"/>
  <c r="AB143" i="11"/>
  <c r="AC142" i="11"/>
  <c r="AD142" i="11" s="1"/>
  <c r="AB184" i="6" l="1"/>
  <c r="AC183" i="6"/>
  <c r="W191" i="6"/>
  <c r="AA190" i="6"/>
  <c r="AB143" i="5"/>
  <c r="AC142" i="5"/>
  <c r="W209" i="5"/>
  <c r="AE143" i="2"/>
  <c r="AF142" i="2"/>
  <c r="AD142" i="1"/>
  <c r="AE141" i="1"/>
  <c r="AB144" i="11"/>
  <c r="AC143" i="11"/>
  <c r="AD143" i="11" s="1"/>
  <c r="W192" i="6" l="1"/>
  <c r="AA191" i="6"/>
  <c r="AB185" i="6"/>
  <c r="AC184" i="6"/>
  <c r="AB144" i="5"/>
  <c r="AC143" i="5"/>
  <c r="W210" i="5"/>
  <c r="AE144" i="2"/>
  <c r="AF143" i="2"/>
  <c r="AD143" i="1"/>
  <c r="AE142" i="1"/>
  <c r="AB145" i="11"/>
  <c r="AC144" i="11"/>
  <c r="AD144" i="11" s="1"/>
  <c r="AB186" i="6" l="1"/>
  <c r="AC185" i="6"/>
  <c r="W193" i="6"/>
  <c r="AA192" i="6"/>
  <c r="AB145" i="5"/>
  <c r="AC144" i="5"/>
  <c r="W211" i="5"/>
  <c r="AE145" i="2"/>
  <c r="AF144" i="2"/>
  <c r="AD144" i="1"/>
  <c r="AE143" i="1"/>
  <c r="AB146" i="11"/>
  <c r="AC145" i="11"/>
  <c r="AD145" i="11" s="1"/>
  <c r="W194" i="6" l="1"/>
  <c r="AA193" i="6"/>
  <c r="AB187" i="6"/>
  <c r="AC186" i="6"/>
  <c r="AB146" i="5"/>
  <c r="AC145" i="5"/>
  <c r="W212" i="5"/>
  <c r="AE146" i="2"/>
  <c r="AF145" i="2"/>
  <c r="AD145" i="1"/>
  <c r="AE144" i="1"/>
  <c r="AB147" i="11"/>
  <c r="AC146" i="11"/>
  <c r="AD146" i="11" s="1"/>
  <c r="AB188" i="6" l="1"/>
  <c r="AC187" i="6"/>
  <c r="W195" i="6"/>
  <c r="AA194" i="6"/>
  <c r="AB147" i="5"/>
  <c r="AC146" i="5"/>
  <c r="W213" i="5"/>
  <c r="AE147" i="2"/>
  <c r="AF146" i="2"/>
  <c r="AD146" i="1"/>
  <c r="AE145" i="1"/>
  <c r="AB148" i="11"/>
  <c r="AC147" i="11"/>
  <c r="AD147" i="11" s="1"/>
  <c r="W196" i="6" l="1"/>
  <c r="AA195" i="6"/>
  <c r="AB189" i="6"/>
  <c r="AC188" i="6"/>
  <c r="AB148" i="5"/>
  <c r="AC147" i="5"/>
  <c r="W214" i="5"/>
  <c r="AE148" i="2"/>
  <c r="AF147" i="2"/>
  <c r="AD147" i="1"/>
  <c r="AE146" i="1"/>
  <c r="AB149" i="11"/>
  <c r="AC148" i="11"/>
  <c r="AD148" i="11" s="1"/>
  <c r="AB190" i="6" l="1"/>
  <c r="AC189" i="6"/>
  <c r="W197" i="6"/>
  <c r="AA196" i="6"/>
  <c r="AB149" i="5"/>
  <c r="AC148" i="5"/>
  <c r="W215" i="5"/>
  <c r="AE149" i="2"/>
  <c r="AF148" i="2"/>
  <c r="AD148" i="1"/>
  <c r="AE147" i="1"/>
  <c r="AB150" i="11"/>
  <c r="AC149" i="11"/>
  <c r="AD149" i="11" s="1"/>
  <c r="W198" i="6" l="1"/>
  <c r="AA197" i="6"/>
  <c r="AB191" i="6"/>
  <c r="AC190" i="6"/>
  <c r="AB150" i="5"/>
  <c r="AC149" i="5"/>
  <c r="W216" i="5"/>
  <c r="AE150" i="2"/>
  <c r="AF149" i="2"/>
  <c r="AD149" i="1"/>
  <c r="AE148" i="1"/>
  <c r="AB151" i="11"/>
  <c r="AC150" i="11"/>
  <c r="AD150" i="11" s="1"/>
  <c r="AB192" i="6" l="1"/>
  <c r="AC191" i="6"/>
  <c r="W199" i="6"/>
  <c r="AA198" i="6"/>
  <c r="AB151" i="5"/>
  <c r="AC150" i="5"/>
  <c r="W217" i="5"/>
  <c r="AE151" i="2"/>
  <c r="AF150" i="2"/>
  <c r="AD150" i="1"/>
  <c r="AE149" i="1"/>
  <c r="AB152" i="11"/>
  <c r="AC151" i="11"/>
  <c r="AD151" i="11" s="1"/>
  <c r="W200" i="6" l="1"/>
  <c r="AA199" i="6"/>
  <c r="AB193" i="6"/>
  <c r="AC192" i="6"/>
  <c r="AB152" i="5"/>
  <c r="AC151" i="5"/>
  <c r="W218" i="5"/>
  <c r="AE152" i="2"/>
  <c r="AF151" i="2"/>
  <c r="AD151" i="1"/>
  <c r="AE150" i="1"/>
  <c r="AB153" i="11"/>
  <c r="AC152" i="11"/>
  <c r="AD152" i="11" s="1"/>
  <c r="AB194" i="6" l="1"/>
  <c r="AC193" i="6"/>
  <c r="W201" i="6"/>
  <c r="AA200" i="6"/>
  <c r="AB153" i="5"/>
  <c r="AC152" i="5"/>
  <c r="W219" i="5"/>
  <c r="AE153" i="2"/>
  <c r="AF152" i="2"/>
  <c r="AD152" i="1"/>
  <c r="AE151" i="1"/>
  <c r="AB154" i="11"/>
  <c r="AC153" i="11"/>
  <c r="AD153" i="11" s="1"/>
  <c r="W202" i="6" l="1"/>
  <c r="AA201" i="6"/>
  <c r="AB195" i="6"/>
  <c r="AC194" i="6"/>
  <c r="AB154" i="5"/>
  <c r="AC153" i="5"/>
  <c r="W220" i="5"/>
  <c r="AE154" i="2"/>
  <c r="AF153" i="2"/>
  <c r="AD153" i="1"/>
  <c r="AE152" i="1"/>
  <c r="AB155" i="11"/>
  <c r="AC154" i="11"/>
  <c r="AD154" i="11" s="1"/>
  <c r="AB196" i="6" l="1"/>
  <c r="AC195" i="6"/>
  <c r="W203" i="6"/>
  <c r="AA202" i="6"/>
  <c r="AB155" i="5"/>
  <c r="AC154" i="5"/>
  <c r="W221" i="5"/>
  <c r="AE155" i="2"/>
  <c r="AF154" i="2"/>
  <c r="AD154" i="1"/>
  <c r="AE153" i="1"/>
  <c r="AB156" i="11"/>
  <c r="AC155" i="11"/>
  <c r="AD155" i="11" s="1"/>
  <c r="W204" i="6" l="1"/>
  <c r="AA203" i="6"/>
  <c r="AB197" i="6"/>
  <c r="AC196" i="6"/>
  <c r="AB156" i="5"/>
  <c r="AC155" i="5"/>
  <c r="W222" i="5"/>
  <c r="AE156" i="2"/>
  <c r="AF155" i="2"/>
  <c r="AD155" i="1"/>
  <c r="AE154" i="1"/>
  <c r="AB157" i="11"/>
  <c r="AC156" i="11"/>
  <c r="AD156" i="11" s="1"/>
  <c r="AB198" i="6" l="1"/>
  <c r="AC197" i="6"/>
  <c r="W205" i="6"/>
  <c r="AA204" i="6"/>
  <c r="AB157" i="5"/>
  <c r="AC156" i="5"/>
  <c r="W223" i="5"/>
  <c r="AE157" i="2"/>
  <c r="AF157" i="2" s="1"/>
  <c r="AF156" i="2"/>
  <c r="AD156" i="1"/>
  <c r="AE155" i="1"/>
  <c r="AB158" i="11"/>
  <c r="AC157" i="11"/>
  <c r="AD157" i="11" s="1"/>
  <c r="W206" i="6" l="1"/>
  <c r="AA205" i="6"/>
  <c r="AB199" i="6"/>
  <c r="AC198" i="6"/>
  <c r="AB158" i="5"/>
  <c r="AC157" i="5"/>
  <c r="W224" i="5"/>
  <c r="AD157" i="1"/>
  <c r="AE156" i="1"/>
  <c r="AB159" i="11"/>
  <c r="AC158" i="11"/>
  <c r="AD158" i="11" s="1"/>
  <c r="AB200" i="6" l="1"/>
  <c r="AC199" i="6"/>
  <c r="W207" i="6"/>
  <c r="AA206" i="6"/>
  <c r="AB159" i="5"/>
  <c r="AC158" i="5"/>
  <c r="W225" i="5"/>
  <c r="AD158" i="1"/>
  <c r="AE157" i="1"/>
  <c r="AB160" i="11"/>
  <c r="AC159" i="11"/>
  <c r="AD159" i="11" s="1"/>
  <c r="W208" i="6" l="1"/>
  <c r="AA207" i="6"/>
  <c r="AB201" i="6"/>
  <c r="AC200" i="6"/>
  <c r="AB160" i="5"/>
  <c r="AC159" i="5"/>
  <c r="W226" i="5"/>
  <c r="AD159" i="1"/>
  <c r="AE158" i="1"/>
  <c r="AB161" i="11"/>
  <c r="AC160" i="11"/>
  <c r="AD160" i="11" s="1"/>
  <c r="AB202" i="6" l="1"/>
  <c r="AC201" i="6"/>
  <c r="W209" i="6"/>
  <c r="AA208" i="6"/>
  <c r="AB161" i="5"/>
  <c r="AC160" i="5"/>
  <c r="W227" i="5"/>
  <c r="AD160" i="1"/>
  <c r="AE159" i="1"/>
  <c r="AB162" i="11"/>
  <c r="AC161" i="11"/>
  <c r="AD161" i="11" s="1"/>
  <c r="W210" i="6" l="1"/>
  <c r="AA209" i="6"/>
  <c r="AB203" i="6"/>
  <c r="AC202" i="6"/>
  <c r="AB162" i="5"/>
  <c r="AC161" i="5"/>
  <c r="W228" i="5"/>
  <c r="AD161" i="1"/>
  <c r="AE160" i="1"/>
  <c r="AB163" i="11"/>
  <c r="AC162" i="11"/>
  <c r="AD162" i="11" s="1"/>
  <c r="W211" i="6" l="1"/>
  <c r="AA210" i="6"/>
  <c r="AB204" i="6"/>
  <c r="AC203" i="6"/>
  <c r="AB163" i="5"/>
  <c r="AC162" i="5"/>
  <c r="W229" i="5"/>
  <c r="AD162" i="1"/>
  <c r="AE161" i="1"/>
  <c r="AB164" i="11"/>
  <c r="AC163" i="11"/>
  <c r="AD163" i="11" s="1"/>
  <c r="AB205" i="6" l="1"/>
  <c r="AC204" i="6"/>
  <c r="W212" i="6"/>
  <c r="AA211" i="6"/>
  <c r="AB164" i="5"/>
  <c r="AC163" i="5"/>
  <c r="W230" i="5"/>
  <c r="AD163" i="1"/>
  <c r="AE162" i="1"/>
  <c r="AB165" i="11"/>
  <c r="AC164" i="11"/>
  <c r="AD164" i="11" s="1"/>
  <c r="W213" i="6" l="1"/>
  <c r="AA212" i="6"/>
  <c r="AB206" i="6"/>
  <c r="AC205" i="6"/>
  <c r="AB165" i="5"/>
  <c r="AC164" i="5"/>
  <c r="W231" i="5"/>
  <c r="AD164" i="1"/>
  <c r="AE163" i="1"/>
  <c r="AB166" i="11"/>
  <c r="AC165" i="11"/>
  <c r="AD165" i="11" s="1"/>
  <c r="W214" i="6" l="1"/>
  <c r="AA213" i="6"/>
  <c r="AB207" i="6"/>
  <c r="AC206" i="6"/>
  <c r="AB166" i="5"/>
  <c r="AC165" i="5"/>
  <c r="W232" i="5"/>
  <c r="AD165" i="1"/>
  <c r="AE164" i="1"/>
  <c r="AB167" i="11"/>
  <c r="AC166" i="11"/>
  <c r="AD166" i="11" s="1"/>
  <c r="AB208" i="6" l="1"/>
  <c r="AC207" i="6"/>
  <c r="W215" i="6"/>
  <c r="AA214" i="6"/>
  <c r="AB167" i="5"/>
  <c r="AC166" i="5"/>
  <c r="W233" i="5"/>
  <c r="AD166" i="1"/>
  <c r="AE165" i="1"/>
  <c r="AB168" i="11"/>
  <c r="AC167" i="11"/>
  <c r="AD167" i="11" s="1"/>
  <c r="W216" i="6" l="1"/>
  <c r="AA216" i="6" s="1"/>
  <c r="AA215" i="6"/>
  <c r="AB209" i="6"/>
  <c r="AC208" i="6"/>
  <c r="AB168" i="5"/>
  <c r="AC167" i="5"/>
  <c r="W234" i="5"/>
  <c r="AD167" i="1"/>
  <c r="AE166" i="1"/>
  <c r="AB169" i="11"/>
  <c r="AC168" i="11"/>
  <c r="AD168" i="11" s="1"/>
  <c r="AB210" i="6" l="1"/>
  <c r="AC209" i="6"/>
  <c r="AB169" i="5"/>
  <c r="AC168" i="5"/>
  <c r="W235" i="5"/>
  <c r="AD168" i="1"/>
  <c r="AE167" i="1"/>
  <c r="AB170" i="11"/>
  <c r="AC169" i="11"/>
  <c r="AD169" i="11" s="1"/>
  <c r="AB211" i="6" l="1"/>
  <c r="AC210" i="6"/>
  <c r="AB170" i="5"/>
  <c r="AC169" i="5"/>
  <c r="W236" i="5"/>
  <c r="AD169" i="1"/>
  <c r="AE168" i="1"/>
  <c r="AB171" i="11"/>
  <c r="AC170" i="11"/>
  <c r="AD170" i="11" s="1"/>
  <c r="AB212" i="6" l="1"/>
  <c r="AC211" i="6"/>
  <c r="AB171" i="5"/>
  <c r="AC170" i="5"/>
  <c r="W237" i="5"/>
  <c r="AD170" i="1"/>
  <c r="AE169" i="1"/>
  <c r="AB172" i="11"/>
  <c r="AC171" i="11"/>
  <c r="AD171" i="11" s="1"/>
  <c r="AB213" i="6" l="1"/>
  <c r="AC212" i="6"/>
  <c r="AB172" i="5"/>
  <c r="AC171" i="5"/>
  <c r="W238" i="5"/>
  <c r="AD171" i="1"/>
  <c r="AE170" i="1"/>
  <c r="AB173" i="11"/>
  <c r="AC172" i="11"/>
  <c r="AD172" i="11" s="1"/>
  <c r="AB214" i="6" l="1"/>
  <c r="AC213" i="6"/>
  <c r="AB173" i="5"/>
  <c r="AC172" i="5"/>
  <c r="W239" i="5"/>
  <c r="AD172" i="1"/>
  <c r="AE171" i="1"/>
  <c r="AB174" i="11"/>
  <c r="AC173" i="11"/>
  <c r="AD173" i="11" s="1"/>
  <c r="AB215" i="6" l="1"/>
  <c r="AC214" i="6"/>
  <c r="AB174" i="5"/>
  <c r="AC173" i="5"/>
  <c r="W240" i="5"/>
  <c r="AD173" i="1"/>
  <c r="AE172" i="1"/>
  <c r="AB175" i="11"/>
  <c r="AC174" i="11"/>
  <c r="AD174" i="11" s="1"/>
  <c r="AB216" i="6" l="1"/>
  <c r="AC216" i="6" s="1"/>
  <c r="AC215" i="6"/>
  <c r="AB175" i="5"/>
  <c r="AC174" i="5"/>
  <c r="W241" i="5"/>
  <c r="AD174" i="1"/>
  <c r="AE173" i="1"/>
  <c r="AB176" i="11"/>
  <c r="AC175" i="11"/>
  <c r="AD175" i="11" s="1"/>
  <c r="AB176" i="5" l="1"/>
  <c r="AC175" i="5"/>
  <c r="W242" i="5"/>
  <c r="AD175" i="1"/>
  <c r="AE174" i="1"/>
  <c r="AB177" i="11"/>
  <c r="AC176" i="11"/>
  <c r="AD176" i="11" s="1"/>
  <c r="AB177" i="5" l="1"/>
  <c r="AC176" i="5"/>
  <c r="W243" i="5"/>
  <c r="AD176" i="1"/>
  <c r="AE175" i="1"/>
  <c r="AB178" i="11"/>
  <c r="AC177" i="11"/>
  <c r="AD177" i="11" s="1"/>
  <c r="AB178" i="5" l="1"/>
  <c r="AC177" i="5"/>
  <c r="W244" i="5"/>
  <c r="AD177" i="1"/>
  <c r="AE176" i="1"/>
  <c r="AC178" i="11"/>
  <c r="AD178" i="11" s="1"/>
  <c r="AB179" i="5" l="1"/>
  <c r="AC178" i="5"/>
  <c r="W245" i="5"/>
  <c r="AD178" i="1"/>
  <c r="AE177" i="1"/>
  <c r="AB180" i="5" l="1"/>
  <c r="AC179" i="5"/>
  <c r="W246" i="5"/>
  <c r="AD179" i="1"/>
  <c r="AE178" i="1"/>
  <c r="AB181" i="5" l="1"/>
  <c r="AC180" i="5"/>
  <c r="W247" i="5"/>
  <c r="AD180" i="1"/>
  <c r="AE179" i="1"/>
  <c r="AB182" i="5" l="1"/>
  <c r="AC181" i="5"/>
  <c r="W248" i="5"/>
  <c r="AD181" i="1"/>
  <c r="AE180" i="1"/>
  <c r="AB183" i="5" l="1"/>
  <c r="AC182" i="5"/>
  <c r="W249" i="5"/>
  <c r="AD182" i="1"/>
  <c r="AE181" i="1"/>
  <c r="AB184" i="5" l="1"/>
  <c r="AC183" i="5"/>
  <c r="W250" i="5"/>
  <c r="AD183" i="1"/>
  <c r="AE182" i="1"/>
  <c r="AB185" i="5" l="1"/>
  <c r="AC184" i="5"/>
  <c r="W251" i="5"/>
  <c r="AD184" i="1"/>
  <c r="AE183" i="1"/>
  <c r="AB186" i="5" l="1"/>
  <c r="AC185" i="5"/>
  <c r="W252" i="5"/>
  <c r="AD185" i="1"/>
  <c r="AE184" i="1"/>
  <c r="AB187" i="5" l="1"/>
  <c r="AC186" i="5"/>
  <c r="W253" i="5"/>
  <c r="AD186" i="1"/>
  <c r="AE185" i="1"/>
  <c r="AB188" i="5" l="1"/>
  <c r="AC187" i="5"/>
  <c r="W254" i="5"/>
  <c r="AD187" i="1"/>
  <c r="AE186" i="1"/>
  <c r="AB189" i="5" l="1"/>
  <c r="AC188" i="5"/>
  <c r="W255" i="5"/>
  <c r="AD188" i="1"/>
  <c r="AE187" i="1"/>
  <c r="AB190" i="5" l="1"/>
  <c r="AC189" i="5"/>
  <c r="W256" i="5"/>
  <c r="AD189" i="1"/>
  <c r="AE188" i="1"/>
  <c r="AB191" i="5" l="1"/>
  <c r="AC190" i="5"/>
  <c r="W257" i="5"/>
  <c r="AD190" i="1"/>
  <c r="AE189" i="1"/>
  <c r="AB192" i="5" l="1"/>
  <c r="AC191" i="5"/>
  <c r="W258" i="5"/>
  <c r="AD191" i="1"/>
  <c r="AE190" i="1"/>
  <c r="AB193" i="5" l="1"/>
  <c r="AC192" i="5"/>
  <c r="W259" i="5"/>
  <c r="AD192" i="1"/>
  <c r="AE191" i="1"/>
  <c r="AB194" i="5" l="1"/>
  <c r="AC193" i="5"/>
  <c r="W260" i="5"/>
  <c r="AD193" i="1"/>
  <c r="AE192" i="1"/>
  <c r="AB195" i="5" l="1"/>
  <c r="AC194" i="5"/>
  <c r="W261" i="5"/>
  <c r="AD194" i="1"/>
  <c r="AE193" i="1"/>
  <c r="AB196" i="5" l="1"/>
  <c r="AC195" i="5"/>
  <c r="W262" i="5"/>
  <c r="AD195" i="1"/>
  <c r="AE195" i="1" s="1"/>
  <c r="AE194" i="1"/>
  <c r="AB197" i="5" l="1"/>
  <c r="AC196" i="5"/>
  <c r="W263" i="5"/>
  <c r="AB198" i="5" l="1"/>
  <c r="AC197" i="5"/>
  <c r="W264" i="5"/>
  <c r="AB199" i="5" l="1"/>
  <c r="AC198" i="5"/>
  <c r="W265" i="5"/>
  <c r="AB200" i="5" l="1"/>
  <c r="AC199" i="5"/>
  <c r="W266" i="5"/>
  <c r="AB201" i="5" l="1"/>
  <c r="AC200" i="5"/>
  <c r="W267" i="5"/>
  <c r="AB202" i="5" l="1"/>
  <c r="AC201" i="5"/>
  <c r="W268" i="5"/>
  <c r="AB203" i="5" l="1"/>
  <c r="AC202" i="5"/>
  <c r="W269" i="5"/>
  <c r="AB204" i="5" l="1"/>
  <c r="AC203" i="5"/>
  <c r="W270" i="5"/>
  <c r="AB205" i="5" l="1"/>
  <c r="AC204" i="5"/>
  <c r="W271" i="5"/>
  <c r="AB206" i="5" l="1"/>
  <c r="AC205" i="5"/>
  <c r="W272" i="5"/>
  <c r="AB207" i="5" l="1"/>
  <c r="AC206" i="5"/>
  <c r="W273" i="5"/>
  <c r="AB208" i="5" l="1"/>
  <c r="AC207" i="5"/>
  <c r="W274" i="5"/>
  <c r="AB209" i="5" l="1"/>
  <c r="AC208" i="5"/>
  <c r="W275" i="5"/>
  <c r="AB210" i="5" l="1"/>
  <c r="AC209" i="5"/>
  <c r="W276" i="5"/>
  <c r="AB211" i="5" l="1"/>
  <c r="AC210" i="5"/>
  <c r="W277" i="5"/>
  <c r="AB212" i="5" l="1"/>
  <c r="AC211" i="5"/>
  <c r="W278" i="5"/>
  <c r="AB213" i="5" l="1"/>
  <c r="AC212" i="5"/>
  <c r="W279" i="5"/>
  <c r="AB214" i="5" l="1"/>
  <c r="AC213" i="5"/>
  <c r="W280" i="5"/>
  <c r="AB215" i="5" l="1"/>
  <c r="AC214" i="5"/>
  <c r="W281" i="5"/>
  <c r="AB216" i="5" l="1"/>
  <c r="AC215" i="5"/>
  <c r="W282" i="5"/>
  <c r="AB217" i="5" l="1"/>
  <c r="AC216" i="5"/>
  <c r="W283" i="5"/>
  <c r="AB218" i="5" l="1"/>
  <c r="AC217" i="5"/>
  <c r="W284" i="5"/>
  <c r="AB219" i="5" l="1"/>
  <c r="AC218" i="5"/>
  <c r="W285" i="5"/>
  <c r="AB220" i="5" l="1"/>
  <c r="AC219" i="5"/>
  <c r="W286" i="5"/>
  <c r="AB221" i="5" l="1"/>
  <c r="AC220" i="5"/>
  <c r="W287" i="5"/>
  <c r="AB222" i="5" l="1"/>
  <c r="AC221" i="5"/>
  <c r="W288" i="5"/>
  <c r="AB223" i="5" l="1"/>
  <c r="AC222" i="5"/>
  <c r="W289" i="5"/>
  <c r="AB224" i="5" l="1"/>
  <c r="AC223" i="5"/>
  <c r="W290" i="5"/>
  <c r="AB225" i="5" l="1"/>
  <c r="AC224" i="5"/>
  <c r="W291" i="5"/>
  <c r="AB226" i="5" l="1"/>
  <c r="AC225" i="5"/>
  <c r="W292" i="5"/>
  <c r="AB227" i="5" l="1"/>
  <c r="AC226" i="5"/>
  <c r="W293" i="5"/>
  <c r="AB228" i="5" l="1"/>
  <c r="AC227" i="5"/>
  <c r="W294" i="5"/>
  <c r="AB229" i="5" l="1"/>
  <c r="AC228" i="5"/>
  <c r="W295" i="5"/>
  <c r="AB230" i="5" l="1"/>
  <c r="AC229" i="5"/>
  <c r="W296" i="5"/>
  <c r="AB231" i="5" l="1"/>
  <c r="AC230" i="5"/>
  <c r="W297" i="5"/>
  <c r="AB232" i="5" l="1"/>
  <c r="AC231" i="5"/>
  <c r="AB233" i="5" l="1"/>
  <c r="AC232" i="5"/>
  <c r="AB234" i="5" l="1"/>
  <c r="AC233" i="5"/>
  <c r="AB235" i="5" l="1"/>
  <c r="AC234" i="5"/>
  <c r="AB236" i="5" l="1"/>
  <c r="AC235" i="5"/>
  <c r="AB237" i="5" l="1"/>
  <c r="AC236" i="5"/>
  <c r="AB238" i="5" l="1"/>
  <c r="AC237" i="5"/>
  <c r="AB239" i="5" l="1"/>
  <c r="AC238" i="5"/>
  <c r="AB240" i="5" l="1"/>
  <c r="AC239" i="5"/>
  <c r="AB241" i="5" l="1"/>
  <c r="AC240" i="5"/>
  <c r="AB242" i="5" l="1"/>
  <c r="AC241" i="5"/>
  <c r="AB243" i="5" l="1"/>
  <c r="AC242" i="5"/>
  <c r="AB244" i="5" l="1"/>
  <c r="AC243" i="5"/>
  <c r="AB245" i="5" l="1"/>
  <c r="AC244" i="5"/>
  <c r="AB246" i="5" l="1"/>
  <c r="AC245" i="5"/>
  <c r="AB247" i="5" l="1"/>
  <c r="AC246" i="5"/>
  <c r="AB248" i="5" l="1"/>
  <c r="AC247" i="5"/>
  <c r="AB249" i="5" l="1"/>
  <c r="AC248" i="5"/>
  <c r="AB250" i="5" l="1"/>
  <c r="AC249" i="5"/>
  <c r="AB251" i="5" l="1"/>
  <c r="AC250" i="5"/>
  <c r="AB252" i="5" l="1"/>
  <c r="AC251" i="5"/>
  <c r="AB253" i="5" l="1"/>
  <c r="AC252" i="5"/>
  <c r="AB254" i="5" l="1"/>
  <c r="AC253" i="5"/>
  <c r="AB255" i="5" l="1"/>
  <c r="AC254" i="5"/>
  <c r="AB256" i="5" l="1"/>
  <c r="AC255" i="5"/>
  <c r="AB257" i="5" l="1"/>
  <c r="AC256" i="5"/>
  <c r="AB258" i="5" l="1"/>
  <c r="AC257" i="5"/>
  <c r="AB259" i="5" l="1"/>
  <c r="AC258" i="5"/>
  <c r="AB260" i="5" l="1"/>
  <c r="AC259" i="5"/>
  <c r="AB261" i="5" l="1"/>
  <c r="AC260" i="5"/>
  <c r="AB262" i="5" l="1"/>
  <c r="AC261" i="5"/>
  <c r="AB263" i="5" l="1"/>
  <c r="AC262" i="5"/>
  <c r="AB264" i="5" l="1"/>
  <c r="AC263" i="5"/>
  <c r="AB265" i="5" l="1"/>
  <c r="AC264" i="5"/>
  <c r="AB266" i="5" l="1"/>
  <c r="AC265" i="5"/>
  <c r="AB267" i="5" l="1"/>
  <c r="AC266" i="5"/>
  <c r="AB268" i="5" l="1"/>
  <c r="AC267" i="5"/>
  <c r="AB269" i="5" l="1"/>
  <c r="AC268" i="5"/>
  <c r="AB270" i="5" l="1"/>
  <c r="AC269" i="5"/>
  <c r="AB271" i="5" l="1"/>
  <c r="AC270" i="5"/>
  <c r="AB272" i="5" l="1"/>
  <c r="AC271" i="5"/>
  <c r="AB273" i="5" l="1"/>
  <c r="AC272" i="5"/>
  <c r="AB274" i="5" l="1"/>
  <c r="AC273" i="5"/>
  <c r="AB275" i="5" l="1"/>
  <c r="AC274" i="5"/>
  <c r="AB276" i="5" l="1"/>
  <c r="AC275" i="5"/>
  <c r="AB277" i="5" l="1"/>
  <c r="AC276" i="5"/>
  <c r="AB278" i="5" l="1"/>
  <c r="AC277" i="5"/>
  <c r="AB279" i="5" l="1"/>
  <c r="AC278" i="5"/>
  <c r="AB280" i="5" l="1"/>
  <c r="AC279" i="5"/>
  <c r="AB281" i="5" l="1"/>
  <c r="AC280" i="5"/>
  <c r="AB282" i="5" l="1"/>
  <c r="AC281" i="5"/>
  <c r="AB283" i="5" l="1"/>
  <c r="AC282" i="5"/>
  <c r="AB284" i="5" l="1"/>
  <c r="AC283" i="5"/>
  <c r="AB285" i="5" l="1"/>
  <c r="AC284" i="5"/>
  <c r="AB286" i="5" l="1"/>
  <c r="AC285" i="5"/>
  <c r="AB287" i="5" l="1"/>
  <c r="AC286" i="5"/>
  <c r="AB288" i="5" l="1"/>
  <c r="AC287" i="5"/>
  <c r="AB289" i="5" l="1"/>
  <c r="AC288" i="5"/>
  <c r="AB290" i="5" l="1"/>
  <c r="AC289" i="5"/>
  <c r="AB291" i="5" l="1"/>
  <c r="AC290" i="5"/>
  <c r="AB292" i="5" l="1"/>
  <c r="AC291" i="5"/>
  <c r="AB293" i="5" l="1"/>
  <c r="AC292" i="5"/>
  <c r="AB294" i="5" l="1"/>
  <c r="AC293" i="5"/>
  <c r="AB295" i="5" l="1"/>
  <c r="AC294" i="5"/>
  <c r="AB296" i="5" l="1"/>
  <c r="AC295" i="5"/>
  <c r="AB297" i="5" l="1"/>
  <c r="AC296" i="5"/>
  <c r="AB298" i="5" l="1"/>
  <c r="AC297" i="5"/>
  <c r="AB299" i="5" l="1"/>
  <c r="AC298" i="5"/>
  <c r="AB300" i="5" l="1"/>
  <c r="AC299" i="5"/>
  <c r="AB301" i="5" l="1"/>
  <c r="AC300" i="5"/>
  <c r="AB302" i="5" l="1"/>
  <c r="AC301" i="5"/>
  <c r="AB303" i="5" l="1"/>
  <c r="AC302" i="5"/>
  <c r="AB304" i="5" l="1"/>
  <c r="AC303" i="5"/>
  <c r="AB305" i="5" l="1"/>
  <c r="AC304" i="5"/>
  <c r="AB306" i="5" l="1"/>
  <c r="AC305" i="5"/>
  <c r="AB307" i="5" l="1"/>
  <c r="AC306" i="5"/>
  <c r="AB308" i="5" l="1"/>
  <c r="AC307" i="5"/>
  <c r="AB309" i="5" l="1"/>
  <c r="AC308" i="5"/>
  <c r="AB310" i="5" l="1"/>
  <c r="AC309" i="5"/>
  <c r="AB311" i="5" l="1"/>
  <c r="AC310" i="5"/>
  <c r="AB312" i="5" l="1"/>
  <c r="AC311" i="5"/>
  <c r="AB313" i="5" l="1"/>
  <c r="AC312" i="5"/>
  <c r="AB314" i="5" l="1"/>
  <c r="AC313" i="5"/>
  <c r="AB315" i="5" l="1"/>
  <c r="AC314" i="5"/>
  <c r="AB316" i="5" l="1"/>
  <c r="AC315" i="5"/>
  <c r="AB317" i="5" l="1"/>
  <c r="AC316" i="5"/>
  <c r="AB318" i="5" l="1"/>
  <c r="AC317" i="5"/>
  <c r="AB319" i="5" l="1"/>
  <c r="AC318" i="5"/>
  <c r="AB320" i="5" l="1"/>
  <c r="AC319" i="5"/>
  <c r="AB321" i="5" l="1"/>
  <c r="AC320" i="5"/>
  <c r="AB322" i="5" l="1"/>
  <c r="AC321" i="5"/>
  <c r="AB323" i="5" l="1"/>
  <c r="AC322" i="5"/>
  <c r="AB324" i="5" l="1"/>
  <c r="AC323" i="5"/>
  <c r="AB325" i="5" l="1"/>
  <c r="AC324" i="5"/>
  <c r="AB326" i="5" l="1"/>
  <c r="AC325" i="5"/>
  <c r="AB327" i="5" l="1"/>
  <c r="AC326" i="5"/>
  <c r="AB328" i="5" l="1"/>
  <c r="AC327" i="5"/>
  <c r="AB329" i="5" l="1"/>
  <c r="AC328" i="5"/>
  <c r="AB330" i="5" l="1"/>
  <c r="AC329" i="5"/>
  <c r="AB331" i="5" l="1"/>
  <c r="AC330" i="5"/>
  <c r="AB332" i="5" l="1"/>
  <c r="AC331" i="5"/>
  <c r="AB333" i="5" l="1"/>
  <c r="AC332" i="5"/>
  <c r="AB334" i="5" l="1"/>
  <c r="AC333" i="5"/>
  <c r="AB335" i="5" l="1"/>
  <c r="AC334" i="5"/>
  <c r="AB336" i="5" l="1"/>
  <c r="AC335" i="5"/>
  <c r="AB337" i="5" l="1"/>
  <c r="AC336" i="5"/>
  <c r="AB338" i="5" l="1"/>
  <c r="AC337" i="5"/>
  <c r="AB339" i="5" l="1"/>
  <c r="AC338" i="5"/>
  <c r="AB340" i="5" l="1"/>
  <c r="AC339" i="5"/>
  <c r="AB341" i="5" l="1"/>
  <c r="AC340" i="5"/>
  <c r="AB342" i="5" l="1"/>
  <c r="AC341" i="5"/>
  <c r="AB343" i="5" l="1"/>
  <c r="AC342" i="5"/>
  <c r="AB344" i="5" l="1"/>
  <c r="AC343" i="5"/>
  <c r="AB345" i="5" l="1"/>
  <c r="AC344" i="5"/>
  <c r="AB346" i="5" l="1"/>
  <c r="AC345" i="5"/>
  <c r="AB347" i="5" l="1"/>
  <c r="AC346" i="5"/>
  <c r="AB348" i="5" l="1"/>
  <c r="AC347" i="5"/>
  <c r="AB349" i="5" l="1"/>
  <c r="AC348" i="5"/>
  <c r="AB350" i="5" l="1"/>
  <c r="AC349" i="5"/>
  <c r="AB351" i="5" l="1"/>
  <c r="AC350" i="5"/>
  <c r="AB352" i="5" l="1"/>
  <c r="AC351" i="5"/>
  <c r="AB353" i="5" l="1"/>
  <c r="AC352" i="5"/>
  <c r="AB354" i="5" l="1"/>
  <c r="AC353" i="5"/>
  <c r="AB355" i="5" l="1"/>
  <c r="AC354" i="5"/>
  <c r="AB356" i="5" l="1"/>
  <c r="AC355" i="5"/>
  <c r="AB357" i="5" l="1"/>
  <c r="AC356" i="5"/>
  <c r="AB358" i="5" l="1"/>
  <c r="AC357" i="5"/>
  <c r="AB359" i="5" l="1"/>
  <c r="AC358" i="5"/>
  <c r="AB360" i="5" l="1"/>
  <c r="AC360" i="5" s="1"/>
  <c r="AC35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<sst xmlns="http://schemas.openxmlformats.org/spreadsheetml/2006/main" count="412" uniqueCount="200">
  <si>
    <t>Date</t>
  </si>
  <si>
    <t xml:space="preserve"> Ql, blpd</t>
  </si>
  <si>
    <t xml:space="preserve"> Qo, bopd</t>
  </si>
  <si>
    <t xml:space="preserve"> Qwp, bpd</t>
  </si>
  <si>
    <t xml:space="preserve"> Qg (Assoc. Gas), m3/d</t>
  </si>
  <si>
    <t xml:space="preserve"> Qg (Free. Gas), m3/d</t>
  </si>
  <si>
    <t xml:space="preserve">Monthly Oil, bbls   </t>
  </si>
  <si>
    <t>Monthly Oil, MMt</t>
  </si>
  <si>
    <t>Monthly Assoc. Gas, m3</t>
  </si>
  <si>
    <t>Monthly Water Prodn, bbls</t>
  </si>
  <si>
    <t>WC, %</t>
  </si>
  <si>
    <t xml:space="preserve"> GOR, v/v</t>
  </si>
  <si>
    <t xml:space="preserve"> Free gas, m3</t>
  </si>
  <si>
    <t>Qwi, bwpd</t>
  </si>
  <si>
    <t xml:space="preserve">  Count Well No.</t>
  </si>
  <si>
    <t>NP, MMt</t>
  </si>
  <si>
    <t>Cum. Assoc. Gas MMm3</t>
  </si>
  <si>
    <t>SBHP (PSI)</t>
  </si>
  <si>
    <t>Well</t>
  </si>
  <si>
    <t>Bubble point Press @ Res Press &amp; Temp (KSC)</t>
  </si>
  <si>
    <r>
      <t>Reservoir Temp (</t>
    </r>
    <r>
      <rPr>
        <sz val="11"/>
        <color theme="1"/>
        <rFont val="Calibri"/>
        <family val="2"/>
      </rPr>
      <t>°C)</t>
    </r>
  </si>
  <si>
    <t>FVF @ Pb (v/v)</t>
  </si>
  <si>
    <t>Rs @ Pb (v/v)</t>
  </si>
  <si>
    <t>°API</t>
  </si>
  <si>
    <t>Oil Density (gm/cc)</t>
  </si>
  <si>
    <t>Gas gravity</t>
  </si>
  <si>
    <t>Oil Viscosity @ Pb &amp; Res Temp (Cp)</t>
  </si>
  <si>
    <t>FVF @ Res Press (v/v)</t>
  </si>
  <si>
    <t>Avg. Depth, m</t>
  </si>
  <si>
    <t>Area, km2</t>
  </si>
  <si>
    <t>Avg thickness, m</t>
  </si>
  <si>
    <t>Eff. Porosity, %</t>
  </si>
  <si>
    <t>Avg Oil Saturation, %</t>
  </si>
  <si>
    <t>Other Parameters</t>
  </si>
  <si>
    <t>Initial</t>
  </si>
  <si>
    <t>Pressure Data</t>
  </si>
  <si>
    <t>A-1</t>
  </si>
  <si>
    <t>A-7</t>
  </si>
  <si>
    <t>A-8</t>
  </si>
  <si>
    <t>A-9</t>
  </si>
  <si>
    <t>Differential Liberation( Well_A-1)</t>
  </si>
  <si>
    <t>TIME</t>
  </si>
  <si>
    <t>WOR</t>
  </si>
  <si>
    <t>WOR'</t>
  </si>
  <si>
    <t>A-2</t>
  </si>
  <si>
    <t>A-3</t>
  </si>
  <si>
    <t>A-4</t>
  </si>
  <si>
    <t>A-5</t>
  </si>
  <si>
    <t>A-6</t>
  </si>
  <si>
    <t>Total</t>
  </si>
  <si>
    <t>Oil (bbl)</t>
  </si>
  <si>
    <t>Np</t>
  </si>
  <si>
    <t>TOTEL</t>
  </si>
  <si>
    <r>
      <t>GAS(M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</si>
  <si>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Gp</t>
  </si>
  <si>
    <t>Water(bbl)</t>
  </si>
  <si>
    <t>Wp</t>
  </si>
  <si>
    <r>
      <t>N=7758 A H (P.V) 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/ B</t>
    </r>
    <r>
      <rPr>
        <vertAlign val="subscript"/>
        <sz val="11"/>
        <color theme="1"/>
        <rFont val="Calibri"/>
        <family val="2"/>
        <scheme val="minor"/>
      </rPr>
      <t>0</t>
    </r>
  </si>
  <si>
    <t>acres</t>
  </si>
  <si>
    <t>ft</t>
  </si>
  <si>
    <t>API    =</t>
  </si>
  <si>
    <t xml:space="preserve"> </t>
  </si>
  <si>
    <t xml:space="preserve">    Yg   =</t>
  </si>
  <si>
    <t xml:space="preserve">    Yo  =</t>
  </si>
  <si>
    <t>X</t>
  </si>
  <si>
    <t>PRESSURE</t>
  </si>
  <si>
    <r>
      <t>Rs= Yg* ((( p/18.2) + 1.4) * 10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)</t>
    </r>
    <r>
      <rPr>
        <vertAlign val="superscript"/>
        <sz val="11"/>
        <color theme="1"/>
        <rFont val="Calibri"/>
        <family val="2"/>
        <scheme val="minor"/>
      </rPr>
      <t>1.2048</t>
    </r>
  </si>
  <si>
    <t>Bg =(0.02827 *zT) / P</t>
  </si>
  <si>
    <t xml:space="preserve">   Z      =</t>
  </si>
  <si>
    <t xml:space="preserve">Temp(T)   = </t>
  </si>
  <si>
    <t>days</t>
  </si>
  <si>
    <t>pressure</t>
  </si>
  <si>
    <t>y = -0.0742x + 2217.1</t>
  </si>
  <si>
    <t>Rp = Gp / Np</t>
  </si>
  <si>
    <t>x=0.0125*API - ( 0.00091* (T - 460) ) =</t>
  </si>
  <si>
    <t>API=(141.5/Yo) - 131.5</t>
  </si>
  <si>
    <t>(P/18.2) + 1.4</t>
  </si>
  <si>
    <r>
      <t>10</t>
    </r>
    <r>
      <rPr>
        <vertAlign val="superscript"/>
        <sz val="11"/>
        <color theme="1"/>
        <rFont val="Calibri"/>
        <family val="2"/>
        <scheme val="minor"/>
      </rPr>
      <t>X</t>
    </r>
  </si>
  <si>
    <t>Pb        =</t>
  </si>
  <si>
    <r>
      <t>Y=(((p/18.2) + 1.4 ) * 10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1.2048</t>
    </r>
  </si>
  <si>
    <t>Cw       =</t>
  </si>
  <si>
    <t>Cf         =</t>
  </si>
  <si>
    <t>Pi         =</t>
  </si>
  <si>
    <t>AVG So  =</t>
  </si>
  <si>
    <t>Sw = 1-So</t>
  </si>
  <si>
    <t>Rs=Y * Yo</t>
  </si>
  <si>
    <t>N (in MM)</t>
  </si>
  <si>
    <t xml:space="preserve"> { [(Bo - Boi) + (Rsi - Rs)Bg] + [Bo * (Pi - P) * [ ((Swi * Cw) + Cf) ]/ (1 - Swi)] }</t>
  </si>
  <si>
    <t>Weak water drive = 0.05 * (Np*Bo - Wp*Bw)</t>
  </si>
  <si>
    <t>X - axis</t>
  </si>
  <si>
    <t>Y - axis</t>
  </si>
  <si>
    <t>We=Np[Bo+(Rp-Rs)Bg] + Wp*Bw - N { [(Bo-Boi)+(Rsi-Rs)Bg] + [Boi*(Pi-P)* ( (Swc*Cw +Cf) / (1-Swc) )] }</t>
  </si>
  <si>
    <t>N=Np(Bo+(Rp - Rs)Bg) -  (We - Wp*Bw) / { [(Bo - Boi) + (Rsi - Rs)Bg] + [Bo * (Pi - P) * [ ((Swi * Cw) + Cf) ]/ (1 - Swi)] }</t>
  </si>
  <si>
    <t xml:space="preserve">Np(Bo+(Rp - Rs)Bg) -(We - Wp*Bw) </t>
  </si>
  <si>
    <t xml:space="preserve"> Eo = [(Bo - Boi) + (Rsi - Rs)Bg]</t>
  </si>
  <si>
    <t>Efw = [Bo * (Pi - P) * [ ((Swi * Cw) + Cf) ]/ (1 - Swi)]</t>
  </si>
  <si>
    <t>DDI</t>
  </si>
  <si>
    <t>EDI</t>
  </si>
  <si>
    <t>WDI</t>
  </si>
  <si>
    <t xml:space="preserve">Ew = (We - Wp*Bw) </t>
  </si>
  <si>
    <t xml:space="preserve">F = Np(Bo+(Rp - Rs)Bg) </t>
  </si>
  <si>
    <t>DRIVE INDEX</t>
  </si>
  <si>
    <r>
      <t>Bo=0.9759 + 0.000120 (Rs*(Yg/Yo)</t>
    </r>
    <r>
      <rPr>
        <vertAlign val="superscript"/>
        <sz val="11"/>
        <color theme="0"/>
        <rFont val="Calibri"/>
        <family val="2"/>
        <scheme val="minor"/>
      </rPr>
      <t>0.5</t>
    </r>
    <r>
      <rPr>
        <sz val="11"/>
        <color theme="0"/>
        <rFont val="Calibri"/>
        <family val="2"/>
        <scheme val="minor"/>
      </rPr>
      <t xml:space="preserve"> + 1.25(T-460))</t>
    </r>
    <r>
      <rPr>
        <vertAlign val="superscript"/>
        <sz val="11"/>
        <color theme="0"/>
        <rFont val="Calibri"/>
        <family val="2"/>
        <scheme val="minor"/>
      </rPr>
      <t>1.2</t>
    </r>
  </si>
  <si>
    <t>well A-1</t>
  </si>
  <si>
    <t>well a-2</t>
  </si>
  <si>
    <t>well A-3</t>
  </si>
  <si>
    <t>well A-7</t>
  </si>
  <si>
    <t>well A-5</t>
  </si>
  <si>
    <t>well A-8</t>
  </si>
  <si>
    <t>well A-9</t>
  </si>
  <si>
    <t>Qg(m3/day)</t>
  </si>
  <si>
    <t>TOTAL (Q)</t>
  </si>
  <si>
    <t>TOTAL (Qg )</t>
  </si>
  <si>
    <t>qi      =</t>
  </si>
  <si>
    <t xml:space="preserve"> (1/t)</t>
  </si>
  <si>
    <t>qi / qt</t>
  </si>
  <si>
    <t>Di = (1/t) In( qi / qt )</t>
  </si>
  <si>
    <t>t (years)</t>
  </si>
  <si>
    <t>qi     =</t>
  </si>
  <si>
    <t>qi       =</t>
  </si>
  <si>
    <t>qi    =</t>
  </si>
  <si>
    <t>qt = qi * EXP (- D t )</t>
  </si>
  <si>
    <t>t (DAYS)</t>
  </si>
  <si>
    <t>t (DAYs)</t>
  </si>
  <si>
    <t>Y ---&gt; qo</t>
  </si>
  <si>
    <t>x ----&gt; time</t>
  </si>
  <si>
    <t>Time ;</t>
  </si>
  <si>
    <t>y             =</t>
  </si>
  <si>
    <t>t (days)</t>
  </si>
  <si>
    <t>y = -13.628x + 990.02</t>
  </si>
  <si>
    <t>time;</t>
  </si>
  <si>
    <t>x = (990.20 - y) / 13.628</t>
  </si>
  <si>
    <t>x           =</t>
  </si>
  <si>
    <t>y ----&gt; qo =30 bopd</t>
  </si>
  <si>
    <t>T (MONTHS)</t>
  </si>
  <si>
    <t>Di   =</t>
  </si>
  <si>
    <t>0.026/ month</t>
  </si>
  <si>
    <r>
      <rPr>
        <b/>
        <sz val="11"/>
        <color theme="1"/>
        <rFont val="Calibri"/>
        <family val="2"/>
        <scheme val="minor"/>
      </rPr>
      <t>New(SEMI LOG);</t>
    </r>
    <r>
      <rPr>
        <sz val="11"/>
        <color theme="1"/>
        <rFont val="Calibri"/>
        <family val="2"/>
        <scheme val="minor"/>
      </rPr>
      <t xml:space="preserve"> Y = 1567.2e-0.026x</t>
    </r>
  </si>
  <si>
    <t>y = 1567.2e-0.026x</t>
  </si>
  <si>
    <t>x = In(1567.2 / Y) / 0.026 =</t>
  </si>
  <si>
    <t>T(MONTHS)</t>
  </si>
  <si>
    <t>Di     =</t>
  </si>
  <si>
    <t>y = 862.32e-0.01x</t>
  </si>
  <si>
    <t>y---&gt; qo =</t>
  </si>
  <si>
    <t>x---&gt; time</t>
  </si>
  <si>
    <t>x=In(862.32/y) / 0.01 =</t>
  </si>
  <si>
    <t>YEAR</t>
  </si>
  <si>
    <t>NEW(CARTISIAN);</t>
  </si>
  <si>
    <t>NEW( SEMI LOG);</t>
  </si>
  <si>
    <t>TIME(MONTHS)</t>
  </si>
  <si>
    <t>t(MONTHS)</t>
  </si>
  <si>
    <t>Qo(CUMMULATIVE)</t>
  </si>
  <si>
    <t>RECOVERY FACTOR = (Np / N)</t>
  </si>
  <si>
    <t>Rf</t>
  </si>
  <si>
    <r>
      <t>EXPONENTIAL RECOVERY(</t>
    </r>
    <r>
      <rPr>
        <sz val="11"/>
        <color theme="1"/>
        <rFont val="Calibri"/>
        <family val="2"/>
        <scheme val="minor"/>
      </rPr>
      <t xml:space="preserve"> after extrapolating</t>
    </r>
    <r>
      <rPr>
        <b/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</si>
  <si>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Production History Recovery(</t>
    </r>
    <r>
      <rPr>
        <sz val="11"/>
        <color theme="1"/>
        <rFont val="Calibri"/>
        <family val="2"/>
        <scheme val="minor"/>
      </rPr>
      <t>before extrapolating</t>
    </r>
    <r>
      <rPr>
        <b/>
        <sz val="11"/>
        <color theme="1"/>
        <rFont val="Calibri"/>
        <family val="2"/>
        <scheme val="minor"/>
      </rPr>
      <t>)</t>
    </r>
  </si>
  <si>
    <t>Qo(cummulative)</t>
  </si>
  <si>
    <t>Recory factor =(Np/N)</t>
  </si>
  <si>
    <r>
      <t>Qo(</t>
    </r>
    <r>
      <rPr>
        <sz val="11"/>
        <color theme="1"/>
        <rFont val="Calibri"/>
        <family val="2"/>
        <scheme val="minor"/>
      </rPr>
      <t>cummulative</t>
    </r>
    <r>
      <rPr>
        <b/>
        <sz val="11"/>
        <color theme="1"/>
        <rFont val="Calibri"/>
        <family val="2"/>
        <scheme val="minor"/>
      </rPr>
      <t>)</t>
    </r>
  </si>
  <si>
    <t>recovery factor(Np/N)</t>
  </si>
  <si>
    <t>NEW(CARTISIAN); y = 267251e-0.02x</t>
  </si>
  <si>
    <r>
      <t xml:space="preserve">NEW(CARTISIAN);  </t>
    </r>
    <r>
      <rPr>
        <sz val="11"/>
        <color theme="1"/>
        <rFont val="Calibri"/>
        <family val="2"/>
        <scheme val="minor"/>
      </rPr>
      <t>y = 37836e-0.026x</t>
    </r>
  </si>
  <si>
    <r>
      <t>NEW(CARTESIAN);</t>
    </r>
    <r>
      <rPr>
        <sz val="11"/>
        <color theme="1"/>
        <rFont val="Calibri"/>
        <family val="2"/>
        <scheme val="minor"/>
      </rPr>
      <t>y = 96383e-0.038x</t>
    </r>
  </si>
  <si>
    <t>New(cartisian); y = 60989e-0.029x</t>
  </si>
  <si>
    <t>0.029/month   =</t>
  </si>
  <si>
    <t>0.038/ month  =</t>
  </si>
  <si>
    <t>45% YEAR</t>
  </si>
  <si>
    <t>3.8%  MONTH</t>
  </si>
  <si>
    <t>0.026 / MONTH =</t>
  </si>
  <si>
    <t>2.6%  MONTH</t>
  </si>
  <si>
    <t>3.12% YEAR</t>
  </si>
  <si>
    <t>2.9%  MONTH</t>
  </si>
  <si>
    <t>3.48% YEAR</t>
  </si>
  <si>
    <t>Oil(BBL / MONTH)</t>
  </si>
  <si>
    <t>TOTAL ( Oil (BBL / MONTH )</t>
  </si>
  <si>
    <t>RECOVERY CALCULATION BEFORE EXTRAPOLATION</t>
  </si>
  <si>
    <t>RECOVERY FACTOR AFTER EXTRAPOLATION</t>
  </si>
  <si>
    <t>Rf = (Np *100)/N</t>
  </si>
  <si>
    <t>Rf = (Np/N)*100</t>
  </si>
  <si>
    <r>
      <t xml:space="preserve">RECOVERY FACTOR </t>
    </r>
    <r>
      <rPr>
        <sz val="48"/>
        <color theme="1"/>
        <rFont val="Calibri"/>
        <family val="2"/>
        <scheme val="minor"/>
      </rPr>
      <t>ATER extrapolation</t>
    </r>
  </si>
  <si>
    <t>Rf = (Np*100)/N</t>
  </si>
  <si>
    <r>
      <t xml:space="preserve">RECOVERY </t>
    </r>
    <r>
      <rPr>
        <sz val="48"/>
        <color theme="1"/>
        <rFont val="Calibri"/>
        <family val="2"/>
        <scheme val="minor"/>
      </rPr>
      <t>BEFORE extrapoletion</t>
    </r>
  </si>
  <si>
    <t>RECOVERY FACTOR after extrapoletion</t>
  </si>
  <si>
    <t>RECOVERY FACTOR before extrapoletion</t>
  </si>
  <si>
    <r>
      <t xml:space="preserve">Recovery factor </t>
    </r>
    <r>
      <rPr>
        <sz val="48"/>
        <color theme="1"/>
        <rFont val="Calibri"/>
        <family val="2"/>
        <scheme val="minor"/>
      </rPr>
      <t>after extrapoletion</t>
    </r>
  </si>
  <si>
    <t>NEW(CARTISIAN); y = 36934e-0.014x</t>
  </si>
  <si>
    <t>Qo( CUMMULATIVE )</t>
  </si>
  <si>
    <t>RECOVERY FACTOR before extrapolation</t>
  </si>
  <si>
    <t>0.014 / month</t>
  </si>
  <si>
    <t>year</t>
  </si>
  <si>
    <t>1.4% month</t>
  </si>
  <si>
    <t>1.68% year</t>
  </si>
  <si>
    <t>NEW(CARTISIAN);  y = 41400e-0.024x</t>
  </si>
  <si>
    <t>Qo(( cummulative)</t>
  </si>
  <si>
    <t>0.024 / month</t>
  </si>
  <si>
    <t>2.4% month</t>
  </si>
  <si>
    <t>2.88% year</t>
  </si>
  <si>
    <t>t (months)</t>
  </si>
  <si>
    <t>RECOVERY FACTOER after extrapolation</t>
  </si>
  <si>
    <t>DECLINE CURVE   {y = 43543e-0.041x}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</si>
</sst>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00"/>
    <numFmt numFmtId="166" formatCode="0.00000"/>
    <numFmt numFmtId="167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31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7" fontId="0" fillId="0" borderId="1" xfId="0" applyNumberFormat="1" applyBorder="1"/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6" xfId="0" applyBorder="1" applyAlignment="1">
      <alignment vertical="center"/>
    </xf>
    <xf numFmtId="2" fontId="2" fillId="0" borderId="6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1" fontId="2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vertical="top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/>
    <xf numFmtId="2" fontId="1" fillId="9" borderId="3" xfId="0" applyNumberFormat="1" applyFont="1" applyFill="1" applyBorder="1" applyAlignment="1">
      <alignment horizontal="center" vertical="center"/>
    </xf>
    <xf numFmtId="17" fontId="0" fillId="11" borderId="2" xfId="0" applyNumberFormat="1" applyFill="1" applyBorder="1" applyAlignment="1">
      <alignment horizontal="center" vertical="center"/>
    </xf>
    <xf numFmtId="17" fontId="0" fillId="11" borderId="1" xfId="0" applyNumberFormat="1" applyFill="1" applyBorder="1" applyAlignment="1">
      <alignment horizontal="center" vertical="center"/>
    </xf>
    <xf numFmtId="1" fontId="0" fillId="5" borderId="0" xfId="0" applyNumberFormat="1" applyFill="1"/>
    <xf numFmtId="1" fontId="0" fillId="14" borderId="0" xfId="0" applyNumberFormat="1" applyFill="1"/>
    <xf numFmtId="0" fontId="0" fillId="13" borderId="0" xfId="0" applyFill="1" applyAlignment="1">
      <alignment horizontal="center" vertical="center"/>
    </xf>
    <xf numFmtId="1" fontId="0" fillId="6" borderId="0" xfId="0" applyNumberFormat="1" applyFill="1"/>
    <xf numFmtId="0" fontId="0" fillId="20" borderId="0" xfId="0" applyFill="1"/>
    <xf numFmtId="0" fontId="5" fillId="22" borderId="0" xfId="0" applyFont="1" applyFill="1" applyAlignment="1">
      <alignment horizontal="center" vertical="center"/>
    </xf>
    <xf numFmtId="0" fontId="0" fillId="18" borderId="0" xfId="0" applyFill="1"/>
    <xf numFmtId="0" fontId="0" fillId="23" borderId="0" xfId="0" applyFill="1"/>
    <xf numFmtId="0" fontId="0" fillId="24" borderId="0" xfId="0" applyFill="1"/>
    <xf numFmtId="0" fontId="1" fillId="0" borderId="0" xfId="0" applyFont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" xfId="0" applyBorder="1" applyAlignment="1">
      <alignment vertical="center"/>
    </xf>
    <xf numFmtId="17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1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5" fillId="19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17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" fontId="1" fillId="0" borderId="0" xfId="0" applyNumberFormat="1" applyFont="1"/>
    <xf numFmtId="2" fontId="1" fillId="0" borderId="0" xfId="0" applyNumberFormat="1" applyFont="1"/>
    <xf numFmtId="0" fontId="0" fillId="0" borderId="0" xfId="0" applyNumberFormat="1"/>
    <xf numFmtId="0" fontId="1" fillId="0" borderId="0" xfId="0" applyNumberFormat="1" applyFont="1"/>
    <xf numFmtId="0" fontId="10" fillId="0" borderId="12" xfId="0" applyFont="1" applyBorder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6" xfId="0" applyFont="1" applyBorder="1" applyAlignment="1">
      <alignment vertical="center" textRotation="90"/>
    </xf>
    <xf numFmtId="0" fontId="1" fillId="0" borderId="2" xfId="0" applyFont="1" applyBorder="1" applyAlignment="1">
      <alignment vertical="center" textRotation="90"/>
    </xf>
    <xf numFmtId="0" fontId="1" fillId="0" borderId="1" xfId="0" applyFont="1" applyBorder="1" applyAlignment="1">
      <alignment vertical="center" textRotation="90"/>
    </xf>
    <xf numFmtId="0" fontId="1" fillId="0" borderId="2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 textRotation="90"/>
    </xf>
    <xf numFmtId="0" fontId="15" fillId="4" borderId="6" xfId="0" applyFont="1" applyFill="1" applyBorder="1" applyAlignment="1">
      <alignment horizontal="center" vertical="center" textRotation="90"/>
    </xf>
    <xf numFmtId="0" fontId="15" fillId="4" borderId="2" xfId="0" applyFont="1" applyFill="1" applyBorder="1" applyAlignment="1">
      <alignment horizontal="center" vertical="center" textRotation="90"/>
    </xf>
    <xf numFmtId="0" fontId="13" fillId="4" borderId="1" xfId="0" applyFont="1" applyFill="1" applyBorder="1" applyAlignment="1">
      <alignment horizontal="center" vertical="center" textRotation="90"/>
    </xf>
    <xf numFmtId="0" fontId="12" fillId="4" borderId="20" xfId="0" applyFont="1" applyFill="1" applyBorder="1" applyAlignment="1">
      <alignment horizontal="center" vertical="center" textRotation="90"/>
    </xf>
    <xf numFmtId="0" fontId="12" fillId="4" borderId="6" xfId="0" applyFont="1" applyFill="1" applyBorder="1" applyAlignment="1">
      <alignment horizontal="center" vertical="center" textRotation="90"/>
    </xf>
    <xf numFmtId="0" fontId="13" fillId="4" borderId="20" xfId="0" applyFont="1" applyFill="1" applyBorder="1" applyAlignment="1">
      <alignment horizontal="center" vertical="center" textRotation="90"/>
    </xf>
    <xf numFmtId="0" fontId="13" fillId="4" borderId="6" xfId="0" applyFont="1" applyFill="1" applyBorder="1" applyAlignment="1">
      <alignment horizontal="center" vertical="center" textRotation="90"/>
    </xf>
    <xf numFmtId="0" fontId="13" fillId="4" borderId="2" xfId="0" applyFont="1" applyFill="1" applyBorder="1" applyAlignment="1">
      <alignment horizontal="center" vertical="center" textRotation="90"/>
    </xf>
    <xf numFmtId="0" fontId="16" fillId="4" borderId="20" xfId="0" applyFont="1" applyFill="1" applyBorder="1" applyAlignment="1">
      <alignment horizontal="center" vertical="center" textRotation="90"/>
    </xf>
    <xf numFmtId="0" fontId="16" fillId="4" borderId="6" xfId="0" applyFont="1" applyFill="1" applyBorder="1" applyAlignment="1">
      <alignment horizontal="center" vertical="center" textRotation="90"/>
    </xf>
    <xf numFmtId="0" fontId="16" fillId="4" borderId="2" xfId="0" applyFont="1" applyFill="1" applyBorder="1" applyAlignment="1">
      <alignment horizontal="center" vertical="center" textRotation="90"/>
    </xf>
    <xf numFmtId="0" fontId="17" fillId="4" borderId="20" xfId="0" applyFont="1" applyFill="1" applyBorder="1" applyAlignment="1">
      <alignment horizontal="center" vertical="center" textRotation="90"/>
    </xf>
    <xf numFmtId="0" fontId="17" fillId="4" borderId="6" xfId="0" applyFont="1" applyFill="1" applyBorder="1" applyAlignment="1">
      <alignment horizontal="center" vertical="center" textRotation="90"/>
    </xf>
    <xf numFmtId="0" fontId="17" fillId="4" borderId="2" xfId="0" applyFont="1" applyFill="1" applyBorder="1" applyAlignment="1">
      <alignment horizontal="center" vertical="center" textRotation="90"/>
    </xf>
    <xf numFmtId="0" fontId="19" fillId="4" borderId="20" xfId="0" applyFont="1" applyFill="1" applyBorder="1" applyAlignment="1">
      <alignment horizontal="center" vertical="center" textRotation="90"/>
    </xf>
    <xf numFmtId="0" fontId="19" fillId="4" borderId="6" xfId="0" applyFont="1" applyFill="1" applyBorder="1" applyAlignment="1">
      <alignment horizontal="center" vertical="center" textRotation="90"/>
    </xf>
    <xf numFmtId="0" fontId="19" fillId="4" borderId="2" xfId="0" applyFont="1" applyFill="1" applyBorder="1" applyAlignment="1">
      <alignment horizontal="center" vertical="center" textRotation="90"/>
    </xf>
    <xf numFmtId="0" fontId="18" fillId="4" borderId="20" xfId="0" applyFont="1" applyFill="1" applyBorder="1" applyAlignment="1">
      <alignment horizontal="center" vertical="center" textRotation="90"/>
    </xf>
    <xf numFmtId="0" fontId="18" fillId="4" borderId="6" xfId="0" applyFont="1" applyFill="1" applyBorder="1" applyAlignment="1">
      <alignment horizontal="center" vertical="center" textRotation="90"/>
    </xf>
    <xf numFmtId="0" fontId="18" fillId="4" borderId="2" xfId="0" applyFont="1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 textRotation="90"/>
    </xf>
    <xf numFmtId="0" fontId="14" fillId="4" borderId="6" xfId="0" applyFont="1" applyFill="1" applyBorder="1" applyAlignment="1">
      <alignment horizontal="center" vertical="center" textRotation="90"/>
    </xf>
    <xf numFmtId="0" fontId="14" fillId="4" borderId="2" xfId="0" applyFont="1" applyFill="1" applyBorder="1" applyAlignment="1">
      <alignment horizontal="center" vertical="center" textRotation="90"/>
    </xf>
    <xf numFmtId="0" fontId="12" fillId="4" borderId="2" xfId="0" applyFont="1" applyFill="1" applyBorder="1" applyAlignment="1">
      <alignment horizontal="center" vertical="center" textRotation="90"/>
    </xf>
    <xf numFmtId="0" fontId="0" fillId="4" borderId="0" xfId="0" applyFill="1"/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31D"/>
      <color rgb="FFFF794F"/>
      <color rgb="FFFF7C8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Qo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'Structure-A_Prod_Data'!$R:$R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'Structure-A_Prod_Data'!$C:$C</c:f>
              <c:numCache>
                <c:formatCode>0</c:formatCode>
                <c:ptCount val="1048576"/>
                <c:pt idx="0" formatCode="0.00">
                  <c:v>0</c:v>
                </c:pt>
                <c:pt idx="1">
                  <c:v>515.61683333333326</c:v>
                </c:pt>
                <c:pt idx="2">
                  <c:v>1320.7742580645161</c:v>
                </c:pt>
                <c:pt idx="3">
                  <c:v>2221.5150645161293</c:v>
                </c:pt>
                <c:pt idx="4">
                  <c:v>3003.1211724137934</c:v>
                </c:pt>
                <c:pt idx="5">
                  <c:v>4350.1426451612906</c:v>
                </c:pt>
                <c:pt idx="6">
                  <c:v>4333.8428999999996</c:v>
                </c:pt>
                <c:pt idx="7">
                  <c:v>4452.3483548387103</c:v>
                </c:pt>
                <c:pt idx="8">
                  <c:v>4628.2003000000004</c:v>
                </c:pt>
                <c:pt idx="9">
                  <c:v>4233.7312081105165</c:v>
                </c:pt>
                <c:pt idx="10">
                  <c:v>4272.1095806451613</c:v>
                </c:pt>
                <c:pt idx="11">
                  <c:v>3869.2075333333332</c:v>
                </c:pt>
                <c:pt idx="12">
                  <c:v>3468.8251612903227</c:v>
                </c:pt>
                <c:pt idx="13">
                  <c:v>3548.8819666666668</c:v>
                </c:pt>
                <c:pt idx="14">
                  <c:v>2990.836870967742</c:v>
                </c:pt>
                <c:pt idx="15">
                  <c:v>2616.1179032258065</c:v>
                </c:pt>
                <c:pt idx="16">
                  <c:v>2322.1944642857143</c:v>
                </c:pt>
                <c:pt idx="17">
                  <c:v>3676.7469999999998</c:v>
                </c:pt>
                <c:pt idx="18">
                  <c:v>3336.5943333333335</c:v>
                </c:pt>
                <c:pt idx="19">
                  <c:v>4019.6219999999998</c:v>
                </c:pt>
                <c:pt idx="20">
                  <c:v>4170.0025666666661</c:v>
                </c:pt>
                <c:pt idx="21">
                  <c:v>4000.3766451612901</c:v>
                </c:pt>
                <c:pt idx="22">
                  <c:v>4076.8126451612907</c:v>
                </c:pt>
                <c:pt idx="23">
                  <c:v>3999.8370333333337</c:v>
                </c:pt>
                <c:pt idx="24">
                  <c:v>3876.0758387096776</c:v>
                </c:pt>
                <c:pt idx="25">
                  <c:v>3982.7827333333335</c:v>
                </c:pt>
                <c:pt idx="26">
                  <c:v>3943.0811935483871</c:v>
                </c:pt>
                <c:pt idx="27">
                  <c:v>3451.7051935483869</c:v>
                </c:pt>
                <c:pt idx="28">
                  <c:v>3339.2403571428572</c:v>
                </c:pt>
                <c:pt idx="29">
                  <c:v>3401.5382580645164</c:v>
                </c:pt>
                <c:pt idx="30">
                  <c:v>3821.0220333333327</c:v>
                </c:pt>
                <c:pt idx="31">
                  <c:v>3861.6134838709672</c:v>
                </c:pt>
                <c:pt idx="32">
                  <c:v>3517.777</c:v>
                </c:pt>
                <c:pt idx="33">
                  <c:v>3009.1139677419355</c:v>
                </c:pt>
                <c:pt idx="34">
                  <c:v>3102.8148387096762</c:v>
                </c:pt>
                <c:pt idx="35">
                  <c:v>3178.479066666664</c:v>
                </c:pt>
                <c:pt idx="36">
                  <c:v>3185.3740967741855</c:v>
                </c:pt>
                <c:pt idx="37">
                  <c:v>2904.8560666666663</c:v>
                </c:pt>
                <c:pt idx="38">
                  <c:v>2858.8003548387101</c:v>
                </c:pt>
                <c:pt idx="39">
                  <c:v>3088.0215806451579</c:v>
                </c:pt>
                <c:pt idx="40">
                  <c:v>3001.4606785714268</c:v>
                </c:pt>
                <c:pt idx="41">
                  <c:v>3076.0080645161247</c:v>
                </c:pt>
                <c:pt idx="42">
                  <c:v>3055.3868666666631</c:v>
                </c:pt>
                <c:pt idx="43">
                  <c:v>2903.2341935483869</c:v>
                </c:pt>
                <c:pt idx="44">
                  <c:v>3227.7025333333336</c:v>
                </c:pt>
                <c:pt idx="45">
                  <c:v>3359.1121290322581</c:v>
                </c:pt>
                <c:pt idx="46">
                  <c:v>3220.7871290322582</c:v>
                </c:pt>
                <c:pt idx="47">
                  <c:v>2848.7963666666665</c:v>
                </c:pt>
                <c:pt idx="48">
                  <c:v>2796.6186774193548</c:v>
                </c:pt>
                <c:pt idx="49">
                  <c:v>3319.3009333333334</c:v>
                </c:pt>
                <c:pt idx="50">
                  <c:v>3216.6563870967743</c:v>
                </c:pt>
                <c:pt idx="51">
                  <c:v>3049.5852903225805</c:v>
                </c:pt>
                <c:pt idx="52">
                  <c:v>3178.4492068965519</c:v>
                </c:pt>
                <c:pt idx="53">
                  <c:v>3093.9044193548389</c:v>
                </c:pt>
                <c:pt idx="54">
                  <c:v>3030.0601333333334</c:v>
                </c:pt>
                <c:pt idx="55">
                  <c:v>2879.4640322580653</c:v>
                </c:pt>
                <c:pt idx="56">
                  <c:v>2762.6414333333337</c:v>
                </c:pt>
                <c:pt idx="57">
                  <c:v>2755.7041290322582</c:v>
                </c:pt>
                <c:pt idx="58">
                  <c:v>2899.0525161290325</c:v>
                </c:pt>
                <c:pt idx="59">
                  <c:v>2788.7108666666663</c:v>
                </c:pt>
                <c:pt idx="60">
                  <c:v>2591.2834193548388</c:v>
                </c:pt>
                <c:pt idx="61">
                  <c:v>2585.6603</c:v>
                </c:pt>
                <c:pt idx="62">
                  <c:v>2586.2072258064513</c:v>
                </c:pt>
                <c:pt idx="63">
                  <c:v>2484.3105161290323</c:v>
                </c:pt>
                <c:pt idx="64">
                  <c:v>2451.2947857142858</c:v>
                </c:pt>
                <c:pt idx="65">
                  <c:v>2456.0648064516126</c:v>
                </c:pt>
                <c:pt idx="66">
                  <c:v>2228.5092</c:v>
                </c:pt>
                <c:pt idx="67">
                  <c:v>2304.2441935483871</c:v>
                </c:pt>
                <c:pt idx="68">
                  <c:v>2239.4250999999999</c:v>
                </c:pt>
                <c:pt idx="69">
                  <c:v>2188.2970000000005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B5-44FE-8F23-82E241B45252}"/>
            </c:ext>
          </c:extLst>
        </c:ser>
        <c:ser>
          <c:idx val="1"/>
          <c:order val="1"/>
          <c:tx>
            <c:v>Qw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'Structure-A_Prod_Data'!$R:$R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'Structure-A_Prod_Data'!$D:$D</c:f>
              <c:numCache>
                <c:formatCode>0</c:formatCode>
                <c:ptCount val="1048576"/>
                <c:pt idx="0" formatCode="0.00">
                  <c:v>0</c:v>
                </c:pt>
                <c:pt idx="1">
                  <c:v>0.9610814333333334</c:v>
                </c:pt>
                <c:pt idx="2">
                  <c:v>10.948918580645163</c:v>
                </c:pt>
                <c:pt idx="3">
                  <c:v>11.83192535483871</c:v>
                </c:pt>
                <c:pt idx="4">
                  <c:v>71.720637379310347</c:v>
                </c:pt>
                <c:pt idx="5">
                  <c:v>201.06116719354836</c:v>
                </c:pt>
                <c:pt idx="6">
                  <c:v>221.01958859999999</c:v>
                </c:pt>
                <c:pt idx="7">
                  <c:v>288.78541341935482</c:v>
                </c:pt>
                <c:pt idx="8">
                  <c:v>528.86735003333331</c:v>
                </c:pt>
                <c:pt idx="9">
                  <c:v>841.66816661290329</c:v>
                </c:pt>
                <c:pt idx="10">
                  <c:v>926.40374361290321</c:v>
                </c:pt>
                <c:pt idx="11">
                  <c:v>1142.2369049666665</c:v>
                </c:pt>
                <c:pt idx="12">
                  <c:v>1322.1480176774194</c:v>
                </c:pt>
                <c:pt idx="13">
                  <c:v>1134.0224263666667</c:v>
                </c:pt>
                <c:pt idx="14">
                  <c:v>967.48607974193544</c:v>
                </c:pt>
                <c:pt idx="15">
                  <c:v>796.2067097096774</c:v>
                </c:pt>
                <c:pt idx="16">
                  <c:v>407.66237957142852</c:v>
                </c:pt>
                <c:pt idx="17">
                  <c:v>397.56324374193548</c:v>
                </c:pt>
                <c:pt idx="18">
                  <c:v>134.4195254</c:v>
                </c:pt>
                <c:pt idx="19">
                  <c:v>94.804735096774209</c:v>
                </c:pt>
                <c:pt idx="20">
                  <c:v>194.42883003333333</c:v>
                </c:pt>
                <c:pt idx="21">
                  <c:v>306.54760590322576</c:v>
                </c:pt>
                <c:pt idx="22">
                  <c:v>258.92164603225808</c:v>
                </c:pt>
                <c:pt idx="23">
                  <c:v>336.70599273333335</c:v>
                </c:pt>
                <c:pt idx="24">
                  <c:v>794.80793935483871</c:v>
                </c:pt>
                <c:pt idx="25">
                  <c:v>1032.7843214</c:v>
                </c:pt>
                <c:pt idx="26">
                  <c:v>1029.7855340967742</c:v>
                </c:pt>
                <c:pt idx="27">
                  <c:v>1129.0215347096773</c:v>
                </c:pt>
                <c:pt idx="28">
                  <c:v>1524.1593868214286</c:v>
                </c:pt>
                <c:pt idx="29">
                  <c:v>1592.3186666451611</c:v>
                </c:pt>
                <c:pt idx="30">
                  <c:v>1355.5357641000001</c:v>
                </c:pt>
                <c:pt idx="31">
                  <c:v>1528.6979483548389</c:v>
                </c:pt>
                <c:pt idx="32">
                  <c:v>1574.2493021333332</c:v>
                </c:pt>
                <c:pt idx="33">
                  <c:v>1635.1081760000002</c:v>
                </c:pt>
                <c:pt idx="34">
                  <c:v>1993.319793193546</c:v>
                </c:pt>
                <c:pt idx="35">
                  <c:v>1678.7878746666656</c:v>
                </c:pt>
                <c:pt idx="36">
                  <c:v>1535.7877703870956</c:v>
                </c:pt>
                <c:pt idx="37">
                  <c:v>1245.8594731666667</c:v>
                </c:pt>
                <c:pt idx="38">
                  <c:v>1763.1453738064515</c:v>
                </c:pt>
                <c:pt idx="39">
                  <c:v>2024.2875219677403</c:v>
                </c:pt>
                <c:pt idx="40">
                  <c:v>2210.7952874642829</c:v>
                </c:pt>
                <c:pt idx="41">
                  <c:v>2468.9771936129</c:v>
                </c:pt>
                <c:pt idx="42">
                  <c:v>2262.1311823666638</c:v>
                </c:pt>
                <c:pt idx="43">
                  <c:v>2105.2011323225806</c:v>
                </c:pt>
                <c:pt idx="44">
                  <c:v>3204.3388195000007</c:v>
                </c:pt>
                <c:pt idx="45">
                  <c:v>2691.3642320322583</c:v>
                </c:pt>
                <c:pt idx="46">
                  <c:v>2692.117993483871</c:v>
                </c:pt>
                <c:pt idx="47">
                  <c:v>2283.6066563333334</c:v>
                </c:pt>
                <c:pt idx="48">
                  <c:v>2217.4332801935484</c:v>
                </c:pt>
                <c:pt idx="49">
                  <c:v>3049.2883307000002</c:v>
                </c:pt>
                <c:pt idx="50">
                  <c:v>3392.5627010000003</c:v>
                </c:pt>
                <c:pt idx="51">
                  <c:v>3630.3021266451615</c:v>
                </c:pt>
                <c:pt idx="52">
                  <c:v>3468.9838968620688</c:v>
                </c:pt>
                <c:pt idx="53">
                  <c:v>3688.7307166129035</c:v>
                </c:pt>
                <c:pt idx="54">
                  <c:v>3974.0895755000001</c:v>
                </c:pt>
                <c:pt idx="55">
                  <c:v>3266.8145846129028</c:v>
                </c:pt>
                <c:pt idx="56">
                  <c:v>3767.4470020333329</c:v>
                </c:pt>
                <c:pt idx="57">
                  <c:v>4549.0024885483872</c:v>
                </c:pt>
                <c:pt idx="58">
                  <c:v>4471.8611351290319</c:v>
                </c:pt>
                <c:pt idx="59">
                  <c:v>3975.6293186333337</c:v>
                </c:pt>
                <c:pt idx="60">
                  <c:v>3891.6345922258065</c:v>
                </c:pt>
                <c:pt idx="61">
                  <c:v>3922.1425365999999</c:v>
                </c:pt>
                <c:pt idx="62">
                  <c:v>3661.2739133870964</c:v>
                </c:pt>
                <c:pt idx="63">
                  <c:v>3947.1956419677417</c:v>
                </c:pt>
                <c:pt idx="64">
                  <c:v>4284.0971196071423</c:v>
                </c:pt>
                <c:pt idx="65">
                  <c:v>4962.9319946451615</c:v>
                </c:pt>
                <c:pt idx="66">
                  <c:v>4434.811135566667</c:v>
                </c:pt>
                <c:pt idx="67">
                  <c:v>4457.1726257741939</c:v>
                </c:pt>
                <c:pt idx="68">
                  <c:v>4903.1045668333336</c:v>
                </c:pt>
                <c:pt idx="69">
                  <c:v>4998.676116387097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B5-44FE-8F23-82E241B45252}"/>
            </c:ext>
          </c:extLst>
        </c:ser>
        <c:ser>
          <c:idx val="2"/>
          <c:order val="2"/>
          <c:tx>
            <c:v>Qg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strRef>
              <c:f>'Structure-A_Prod_Data'!$R:$R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'Structure-A_Prod_Data'!$E:$E</c:f>
              <c:numCache>
                <c:formatCode>0</c:formatCode>
                <c:ptCount val="1048576"/>
                <c:pt idx="0" formatCode="0.00">
                  <c:v>0</c:v>
                </c:pt>
                <c:pt idx="1">
                  <c:v>2427.7333333333331</c:v>
                </c:pt>
                <c:pt idx="2">
                  <c:v>4109.5161290322585</c:v>
                </c:pt>
                <c:pt idx="3">
                  <c:v>2463.9677419354839</c:v>
                </c:pt>
                <c:pt idx="4">
                  <c:v>18664.862068965514</c:v>
                </c:pt>
                <c:pt idx="5">
                  <c:v>37983.129032258061</c:v>
                </c:pt>
                <c:pt idx="6">
                  <c:v>37711.800000000003</c:v>
                </c:pt>
                <c:pt idx="7">
                  <c:v>38992.580645161288</c:v>
                </c:pt>
                <c:pt idx="8">
                  <c:v>40561.4</c:v>
                </c:pt>
                <c:pt idx="9">
                  <c:v>36586.129032258068</c:v>
                </c:pt>
                <c:pt idx="10">
                  <c:v>38776.93548387097</c:v>
                </c:pt>
                <c:pt idx="11">
                  <c:v>38640.633333333331</c:v>
                </c:pt>
                <c:pt idx="12">
                  <c:v>39782.93548387097</c:v>
                </c:pt>
                <c:pt idx="13">
                  <c:v>43526.833333333336</c:v>
                </c:pt>
                <c:pt idx="14">
                  <c:v>28478.096774193546</c:v>
                </c:pt>
                <c:pt idx="15">
                  <c:v>28179.645161290322</c:v>
                </c:pt>
                <c:pt idx="16">
                  <c:v>28708.96428571429</c:v>
                </c:pt>
                <c:pt idx="17">
                  <c:v>24903.096774193546</c:v>
                </c:pt>
                <c:pt idx="18">
                  <c:v>19135.133333333331</c:v>
                </c:pt>
                <c:pt idx="19">
                  <c:v>26418.548387096773</c:v>
                </c:pt>
                <c:pt idx="20">
                  <c:v>28423.933333333334</c:v>
                </c:pt>
                <c:pt idx="21">
                  <c:v>28223.741935483871</c:v>
                </c:pt>
                <c:pt idx="22">
                  <c:v>28660.161290322583</c:v>
                </c:pt>
                <c:pt idx="23">
                  <c:v>28568.9</c:v>
                </c:pt>
                <c:pt idx="24">
                  <c:v>30372.129032258061</c:v>
                </c:pt>
                <c:pt idx="25">
                  <c:v>24988.1</c:v>
                </c:pt>
                <c:pt idx="26">
                  <c:v>24474.064516129034</c:v>
                </c:pt>
                <c:pt idx="27">
                  <c:v>23145.290322580644</c:v>
                </c:pt>
                <c:pt idx="28">
                  <c:v>21932.535714285714</c:v>
                </c:pt>
                <c:pt idx="29">
                  <c:v>25188.709677419356</c:v>
                </c:pt>
                <c:pt idx="30">
                  <c:v>29630.233333333334</c:v>
                </c:pt>
                <c:pt idx="31">
                  <c:v>30295.838709677417</c:v>
                </c:pt>
                <c:pt idx="32">
                  <c:v>26858.733333333337</c:v>
                </c:pt>
                <c:pt idx="33">
                  <c:v>20856.806451612905</c:v>
                </c:pt>
                <c:pt idx="34">
                  <c:v>21461.935483870941</c:v>
                </c:pt>
                <c:pt idx="35">
                  <c:v>22216.933333333309</c:v>
                </c:pt>
                <c:pt idx="36">
                  <c:v>21743.645161290278</c:v>
                </c:pt>
                <c:pt idx="37">
                  <c:v>20819.466666666667</c:v>
                </c:pt>
                <c:pt idx="38">
                  <c:v>19349.870967741936</c:v>
                </c:pt>
                <c:pt idx="39">
                  <c:v>20697.419354838676</c:v>
                </c:pt>
                <c:pt idx="40">
                  <c:v>21019.107142857109</c:v>
                </c:pt>
                <c:pt idx="41">
                  <c:v>20633.6451612903</c:v>
                </c:pt>
                <c:pt idx="42">
                  <c:v>20907.233333333319</c:v>
                </c:pt>
                <c:pt idx="43">
                  <c:v>20072.16129032258</c:v>
                </c:pt>
                <c:pt idx="44">
                  <c:v>21242.766666666666</c:v>
                </c:pt>
                <c:pt idx="45">
                  <c:v>21667.806451612902</c:v>
                </c:pt>
                <c:pt idx="46">
                  <c:v>17576.741935483871</c:v>
                </c:pt>
                <c:pt idx="47">
                  <c:v>14753.2</c:v>
                </c:pt>
                <c:pt idx="48">
                  <c:v>18139.387096774193</c:v>
                </c:pt>
                <c:pt idx="49">
                  <c:v>25270.533333333333</c:v>
                </c:pt>
                <c:pt idx="50">
                  <c:v>35279.258064516129</c:v>
                </c:pt>
                <c:pt idx="51">
                  <c:v>32800.096774193553</c:v>
                </c:pt>
                <c:pt idx="52">
                  <c:v>31644.413793103449</c:v>
                </c:pt>
                <c:pt idx="53">
                  <c:v>24819.451612903227</c:v>
                </c:pt>
                <c:pt idx="54">
                  <c:v>21792.833333333332</c:v>
                </c:pt>
                <c:pt idx="55">
                  <c:v>21850.451612903224</c:v>
                </c:pt>
                <c:pt idx="56">
                  <c:v>22883.200000000001</c:v>
                </c:pt>
                <c:pt idx="57">
                  <c:v>21635.709677419356</c:v>
                </c:pt>
                <c:pt idx="58">
                  <c:v>20939.06451612903</c:v>
                </c:pt>
                <c:pt idx="59">
                  <c:v>19837.899999999998</c:v>
                </c:pt>
                <c:pt idx="60">
                  <c:v>20438.935483870966</c:v>
                </c:pt>
                <c:pt idx="61">
                  <c:v>19487.766666666666</c:v>
                </c:pt>
                <c:pt idx="62">
                  <c:v>16312.741935483869</c:v>
                </c:pt>
                <c:pt idx="63">
                  <c:v>15026.935483870968</c:v>
                </c:pt>
                <c:pt idx="64">
                  <c:v>15580.75</c:v>
                </c:pt>
                <c:pt idx="65">
                  <c:v>15612.903225806453</c:v>
                </c:pt>
                <c:pt idx="66">
                  <c:v>16102.6</c:v>
                </c:pt>
                <c:pt idx="67">
                  <c:v>14414.451612903224</c:v>
                </c:pt>
                <c:pt idx="68">
                  <c:v>11403.733333333332</c:v>
                </c:pt>
                <c:pt idx="69">
                  <c:v>13212.548387096775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B5-44FE-8F23-82E241B45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442304"/>
        <c:axId val="2068440864"/>
      </c:scatterChart>
      <c:valAx>
        <c:axId val="206844230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40864"/>
        <c:crosses val="autoZero"/>
        <c:crossBetween val="midCat"/>
      </c:valAx>
      <c:valAx>
        <c:axId val="20684408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  <a:r>
                  <a:rPr lang="en-IN" baseline="0"/>
                  <a:t> &amp; Qg &amp; Qw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4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</a:t>
            </a:r>
            <a:r>
              <a:rPr lang="en-IN" baseline="0"/>
              <a:t> line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PVT_Press!$B$4:$B$5</c:f>
              <c:numCache>
                <c:formatCode>mmm\-yy</c:formatCode>
                <c:ptCount val="2"/>
                <c:pt idx="0">
                  <c:v>43770</c:v>
                </c:pt>
                <c:pt idx="1">
                  <c:v>44593</c:v>
                </c:pt>
              </c:numCache>
            </c:numRef>
          </c:xVal>
          <c:yVal>
            <c:numRef>
              <c:f>PVT_Press!$C$4:$C$5</c:f>
              <c:numCache>
                <c:formatCode>General</c:formatCode>
                <c:ptCount val="2"/>
                <c:pt idx="0">
                  <c:v>2217</c:v>
                </c:pt>
                <c:pt idx="1">
                  <c:v>2156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8-417A-BFE5-1B89E9D39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314112"/>
        <c:axId val="396315552"/>
      </c:scatterChart>
      <c:valAx>
        <c:axId val="396314112"/>
        <c:scaling>
          <c:orientation val="minMax"/>
          <c:min val="437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15552"/>
        <c:crosses val="autoZero"/>
        <c:crossBetween val="midCat"/>
      </c:valAx>
      <c:valAx>
        <c:axId val="3963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PVT_Press!$C$9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PVT_Press!$B$10:$B$17</c:f>
              <c:numCache>
                <c:formatCode>General</c:formatCode>
                <c:ptCount val="8"/>
                <c:pt idx="0" formatCode="0.0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  <c:pt idx="7">
                  <c:v>823</c:v>
                </c:pt>
              </c:numCache>
            </c:numRef>
          </c:xVal>
          <c:yVal>
            <c:numRef>
              <c:f>PVT_Press!$C$10:$C$17</c:f>
              <c:numCache>
                <c:formatCode>General</c:formatCode>
                <c:ptCount val="8"/>
                <c:pt idx="0">
                  <c:v>2217</c:v>
                </c:pt>
                <c:pt idx="7">
                  <c:v>2156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B-4ABB-B598-B262FE7DB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47520"/>
        <c:axId val="61802160"/>
      </c:scatterChart>
      <c:valAx>
        <c:axId val="30914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160"/>
        <c:crosses val="autoZero"/>
        <c:crossBetween val="midCat"/>
      </c:valAx>
      <c:valAx>
        <c:axId val="618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4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WOR</a:t>
            </a:r>
            <a:r>
              <a:rPr lang="en-IN" baseline="0"/>
              <a:t> $ WOR' VS TIME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49074069487716726"/>
          <c:y val="3.6075349081330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28258967629047E-2"/>
          <c:y val="0.13004629629629633"/>
          <c:w val="0.8762384076990376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v>WOR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'Well_A-1'!$N$1:$N$70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'Well_A-1'!$O$1:$O$70</c:f>
              <c:numCache>
                <c:formatCode>General</c:formatCode>
                <c:ptCount val="70"/>
                <c:pt idx="0">
                  <c:v>0</c:v>
                </c:pt>
                <c:pt idx="1">
                  <c:v>1.8639450289475296E-3</c:v>
                </c:pt>
                <c:pt idx="2">
                  <c:v>1.7704375950834369E-3</c:v>
                </c:pt>
                <c:pt idx="3">
                  <c:v>5.3251509630872487E-3</c:v>
                </c:pt>
                <c:pt idx="4">
                  <c:v>1.2045152481179095E-2</c:v>
                </c:pt>
                <c:pt idx="5">
                  <c:v>1.8205992827551924E-2</c:v>
                </c:pt>
                <c:pt idx="6">
                  <c:v>2.0088336929982121E-2</c:v>
                </c:pt>
                <c:pt idx="7">
                  <c:v>1.6372571536241429E-2</c:v>
                </c:pt>
                <c:pt idx="8">
                  <c:v>1.5322841005113179E-2</c:v>
                </c:pt>
                <c:pt idx="9">
                  <c:v>1.922586165077764E-2</c:v>
                </c:pt>
                <c:pt idx="10">
                  <c:v>1.7044399490316931E-2</c:v>
                </c:pt>
                <c:pt idx="11">
                  <c:v>1.7559970602378881E-2</c:v>
                </c:pt>
                <c:pt idx="12">
                  <c:v>2.2672277162398214E-2</c:v>
                </c:pt>
                <c:pt idx="13">
                  <c:v>1.9206823531931885E-2</c:v>
                </c:pt>
                <c:pt idx="14">
                  <c:v>2.637779570121164E-2</c:v>
                </c:pt>
                <c:pt idx="15">
                  <c:v>3.3004380217009015E-2</c:v>
                </c:pt>
                <c:pt idx="16">
                  <c:v>1.1710243612059645E-2</c:v>
                </c:pt>
                <c:pt idx="17">
                  <c:v>7.5048666259772525E-3</c:v>
                </c:pt>
                <c:pt idx="18">
                  <c:v>0</c:v>
                </c:pt>
                <c:pt idx="19">
                  <c:v>3.1997186887453427E-2</c:v>
                </c:pt>
                <c:pt idx="20">
                  <c:v>6.3410452597524286E-2</c:v>
                </c:pt>
                <c:pt idx="21">
                  <c:v>0.10421584297388749</c:v>
                </c:pt>
                <c:pt idx="22">
                  <c:v>8.6115019075088978E-2</c:v>
                </c:pt>
                <c:pt idx="23">
                  <c:v>0.11411140689656996</c:v>
                </c:pt>
                <c:pt idx="24">
                  <c:v>0.4286150161498784</c:v>
                </c:pt>
                <c:pt idx="25">
                  <c:v>0.59591479642235878</c:v>
                </c:pt>
                <c:pt idx="26">
                  <c:v>0.59955860795975302</c:v>
                </c:pt>
                <c:pt idx="27">
                  <c:v>0.5760182877475668</c:v>
                </c:pt>
                <c:pt idx="28">
                  <c:v>1.5242165572667234</c:v>
                </c:pt>
                <c:pt idx="29">
                  <c:v>2.1307306209193575</c:v>
                </c:pt>
                <c:pt idx="30">
                  <c:v>2.3076215541236973</c:v>
                </c:pt>
                <c:pt idx="31">
                  <c:v>2.5762769890533841</c:v>
                </c:pt>
                <c:pt idx="32">
                  <c:v>2.8975542888833981</c:v>
                </c:pt>
                <c:pt idx="33">
                  <c:v>3.4445981855602166</c:v>
                </c:pt>
                <c:pt idx="34">
                  <c:v>4.0316290019235197</c:v>
                </c:pt>
                <c:pt idx="35">
                  <c:v>3.086464499531008</c:v>
                </c:pt>
                <c:pt idx="36">
                  <c:v>1.8701445524237343</c:v>
                </c:pt>
                <c:pt idx="37">
                  <c:v>1.7242197517497229</c:v>
                </c:pt>
                <c:pt idx="38">
                  <c:v>2.356422363654572</c:v>
                </c:pt>
                <c:pt idx="39">
                  <c:v>2.1386136384866608</c:v>
                </c:pt>
                <c:pt idx="40">
                  <c:v>2.2795343220587756</c:v>
                </c:pt>
                <c:pt idx="41">
                  <c:v>2.5310208304537762</c:v>
                </c:pt>
                <c:pt idx="42">
                  <c:v>2.4007640518750901</c:v>
                </c:pt>
                <c:pt idx="43">
                  <c:v>2.5466757546039767</c:v>
                </c:pt>
                <c:pt idx="44">
                  <c:v>3.5412447695213451</c:v>
                </c:pt>
                <c:pt idx="45">
                  <c:v>2.5866792081069425</c:v>
                </c:pt>
                <c:pt idx="46">
                  <c:v>2.4602557814093253</c:v>
                </c:pt>
                <c:pt idx="47">
                  <c:v>2.4173266315253836</c:v>
                </c:pt>
                <c:pt idx="48">
                  <c:v>2.4209662067396942</c:v>
                </c:pt>
                <c:pt idx="49">
                  <c:v>2.6050681645477165</c:v>
                </c:pt>
                <c:pt idx="50">
                  <c:v>2.6477207897855846</c:v>
                </c:pt>
                <c:pt idx="51">
                  <c:v>2.1366664884432676</c:v>
                </c:pt>
                <c:pt idx="52">
                  <c:v>1.9755513174225263</c:v>
                </c:pt>
                <c:pt idx="53">
                  <c:v>2.4355671921802307</c:v>
                </c:pt>
                <c:pt idx="54">
                  <c:v>3.3321412584292571</c:v>
                </c:pt>
                <c:pt idx="55">
                  <c:v>1.9873738556457534</c:v>
                </c:pt>
                <c:pt idx="56">
                  <c:v>2.0466568744512577</c:v>
                </c:pt>
                <c:pt idx="57">
                  <c:v>2.9394166627129321</c:v>
                </c:pt>
                <c:pt idx="58">
                  <c:v>2.888055321281382</c:v>
                </c:pt>
                <c:pt idx="59">
                  <c:v>3.0350885119804021</c:v>
                </c:pt>
                <c:pt idx="60">
                  <c:v>3.2951763707444961</c:v>
                </c:pt>
                <c:pt idx="61">
                  <c:v>3.3021840456832448</c:v>
                </c:pt>
                <c:pt idx="62">
                  <c:v>3.0013517803074881</c:v>
                </c:pt>
                <c:pt idx="63">
                  <c:v>3.2598538034615068</c:v>
                </c:pt>
                <c:pt idx="64">
                  <c:v>3.3100146127246446</c:v>
                </c:pt>
                <c:pt idx="65">
                  <c:v>3.7264538714658153</c:v>
                </c:pt>
                <c:pt idx="66">
                  <c:v>3.5975118441856075</c:v>
                </c:pt>
                <c:pt idx="67">
                  <c:v>3.4417204156220378</c:v>
                </c:pt>
                <c:pt idx="68">
                  <c:v>4.0604373562386895</c:v>
                </c:pt>
                <c:pt idx="69">
                  <c:v>4.0665545098968527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1-4015-876A-DF6FB4EDD122}"/>
            </c:ext>
          </c:extLst>
        </c:ser>
        <c:ser>
          <c:idx val="1"/>
          <c:order val="1"/>
          <c:tx>
            <c:v>WOR'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'Well_A-1'!$N:$N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'Well_A-1'!$P:$P</c:f>
              <c:numCache>
                <c:formatCode>General</c:formatCode>
                <c:ptCount val="1048576"/>
                <c:pt idx="0">
                  <c:v>0</c:v>
                </c:pt>
                <c:pt idx="3">
                  <c:v>9.169012685797789E-3</c:v>
                </c:pt>
                <c:pt idx="4">
                  <c:v>1.8806436189720228E-2</c:v>
                </c:pt>
                <c:pt idx="5">
                  <c:v>1.6019345755627527E-2</c:v>
                </c:pt>
                <c:pt idx="6">
                  <c:v>-4.4913003309058983E-3</c:v>
                </c:pt>
                <c:pt idx="7">
                  <c:v>-1.4123685407484326E-2</c:v>
                </c:pt>
                <c:pt idx="8">
                  <c:v>9.8711059157686968E-3</c:v>
                </c:pt>
                <c:pt idx="9">
                  <c:v>6.8360317457647748E-3</c:v>
                </c:pt>
                <c:pt idx="10">
                  <c:v>-7.3306429277816641E-3</c:v>
                </c:pt>
                <c:pt idx="11">
                  <c:v>2.7999053542989916E-2</c:v>
                </c:pt>
                <c:pt idx="12">
                  <c:v>9.0326835647534156E-3</c:v>
                </c:pt>
                <c:pt idx="13">
                  <c:v>2.2151106141690146E-2</c:v>
                </c:pt>
                <c:pt idx="14">
                  <c:v>8.9506946713038535E-2</c:v>
                </c:pt>
                <c:pt idx="15">
                  <c:v>-0.10083912430618129</c:v>
                </c:pt>
                <c:pt idx="16">
                  <c:v>-0.19702213866944415</c:v>
                </c:pt>
                <c:pt idx="17">
                  <c:v>-9.6640149969517891E-2</c:v>
                </c:pt>
                <c:pt idx="18">
                  <c:v>0.20714042018318882</c:v>
                </c:pt>
                <c:pt idx="19">
                  <c:v>0.56854556953300373</c:v>
                </c:pt>
                <c:pt idx="20">
                  <c:v>0.68307324359125332</c:v>
                </c:pt>
                <c:pt idx="21">
                  <c:v>0.22629755739976418</c:v>
                </c:pt>
                <c:pt idx="22">
                  <c:v>0.10190808939346915</c:v>
                </c:pt>
                <c:pt idx="23">
                  <c:v>3.7564758856560045</c:v>
                </c:pt>
                <c:pt idx="24">
                  <c:v>5.5293424810929785</c:v>
                </c:pt>
                <c:pt idx="25">
                  <c:v>2.0459294714167009</c:v>
                </c:pt>
                <c:pt idx="26">
                  <c:v>-0.24824731171782846</c:v>
                </c:pt>
                <c:pt idx="27">
                  <c:v>11.805725074184291</c:v>
                </c:pt>
                <c:pt idx="28">
                  <c:v>21.63808477549345</c:v>
                </c:pt>
                <c:pt idx="29">
                  <c:v>11.315018686866324</c:v>
                </c:pt>
                <c:pt idx="30">
                  <c:v>6.4359400749056883</c:v>
                </c:pt>
                <c:pt idx="31">
                  <c:v>8.8215260873680776</c:v>
                </c:pt>
                <c:pt idx="32">
                  <c:v>13.411589663024495</c:v>
                </c:pt>
                <c:pt idx="33">
                  <c:v>18.092793578235263</c:v>
                </c:pt>
                <c:pt idx="34">
                  <c:v>-5.7976117195532018</c:v>
                </c:pt>
                <c:pt idx="35">
                  <c:v>-36.646026632774465</c:v>
                </c:pt>
                <c:pt idx="36">
                  <c:v>-23.788118847294847</c:v>
                </c:pt>
                <c:pt idx="37">
                  <c:v>8.7308142933263166</c:v>
                </c:pt>
                <c:pt idx="38">
                  <c:v>7.6508299009600726</c:v>
                </c:pt>
                <c:pt idx="39">
                  <c:v>-1.4344866517228807</c:v>
                </c:pt>
                <c:pt idx="40">
                  <c:v>7.8897487992285793</c:v>
                </c:pt>
                <c:pt idx="41">
                  <c:v>2.5011577483881391</c:v>
                </c:pt>
                <c:pt idx="42">
                  <c:v>0.31983554036374062</c:v>
                </c:pt>
                <c:pt idx="43">
                  <c:v>23.880118845982636</c:v>
                </c:pt>
                <c:pt idx="44">
                  <c:v>0.85729552396838038</c:v>
                </c:pt>
                <c:pt idx="45">
                  <c:v>-23.715627849299153</c:v>
                </c:pt>
                <c:pt idx="46">
                  <c:v>-3.7387749191008579</c:v>
                </c:pt>
                <c:pt idx="47">
                  <c:v>-0.9012631699216469</c:v>
                </c:pt>
                <c:pt idx="48">
                  <c:v>4.402025608674486</c:v>
                </c:pt>
                <c:pt idx="49">
                  <c:v>5.4283101633123518</c:v>
                </c:pt>
                <c:pt idx="50">
                  <c:v>-11.451208330950994</c:v>
                </c:pt>
                <c:pt idx="51">
                  <c:v>-16.498394365483936</c:v>
                </c:pt>
                <c:pt idx="52">
                  <c:v>7.73060182073199</c:v>
                </c:pt>
                <c:pt idx="53">
                  <c:v>35.787079329456347</c:v>
                </c:pt>
                <c:pt idx="54">
                  <c:v>-11.846320647128261</c:v>
                </c:pt>
                <c:pt idx="55">
                  <c:v>-34.630344707783983</c:v>
                </c:pt>
                <c:pt idx="56">
                  <c:v>26.115856027744023</c:v>
                </c:pt>
                <c:pt idx="57">
                  <c:v>23.508370032829436</c:v>
                </c:pt>
                <c:pt idx="58">
                  <c:v>2.6769837591272521</c:v>
                </c:pt>
                <c:pt idx="59">
                  <c:v>11.78197872934024</c:v>
                </c:pt>
                <c:pt idx="60">
                  <c:v>7.8654265730960429</c:v>
                </c:pt>
                <c:pt idx="61">
                  <c:v>-8.7970611209115113</c:v>
                </c:pt>
                <c:pt idx="62">
                  <c:v>-1.2888747210486518</c:v>
                </c:pt>
                <c:pt idx="63">
                  <c:v>9.3984363485183167</c:v>
                </c:pt>
                <c:pt idx="64">
                  <c:v>15.163305724186801</c:v>
                </c:pt>
                <c:pt idx="65">
                  <c:v>9.493992401295932</c:v>
                </c:pt>
                <c:pt idx="66">
                  <c:v>-9.2297665288641646</c:v>
                </c:pt>
                <c:pt idx="67">
                  <c:v>15.241219960058508</c:v>
                </c:pt>
                <c:pt idx="68">
                  <c:v>20.879168029751536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31-4015-876A-DF6FB4EDD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19808"/>
        <c:axId val="156618368"/>
      </c:scatterChart>
      <c:valAx>
        <c:axId val="1566198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8368"/>
        <c:crosses val="autoZero"/>
        <c:crossBetween val="midCat"/>
      </c:valAx>
      <c:valAx>
        <c:axId val="1566183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071941408520218E-2"/>
          <c:y val="0.10063822496359118"/>
          <c:w val="0.86547117487983427"/>
          <c:h val="0.84930566264028096"/>
        </c:manualLayout>
      </c:layout>
      <c:scatterChart>
        <c:scatterStyle val="smooth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'Well_A-1'!$N:$N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'Well_A-1'!$O:$O</c:f>
              <c:numCache>
                <c:formatCode>General</c:formatCode>
                <c:ptCount val="1048576"/>
                <c:pt idx="0">
                  <c:v>0</c:v>
                </c:pt>
                <c:pt idx="1">
                  <c:v>1.8639450289475296E-3</c:v>
                </c:pt>
                <c:pt idx="2">
                  <c:v>1.7704375950834369E-3</c:v>
                </c:pt>
                <c:pt idx="3">
                  <c:v>5.3251509630872487E-3</c:v>
                </c:pt>
                <c:pt idx="4">
                  <c:v>1.2045152481179095E-2</c:v>
                </c:pt>
                <c:pt idx="5">
                  <c:v>1.8205992827551924E-2</c:v>
                </c:pt>
                <c:pt idx="6">
                  <c:v>2.0088336929982121E-2</c:v>
                </c:pt>
                <c:pt idx="7">
                  <c:v>1.6372571536241429E-2</c:v>
                </c:pt>
                <c:pt idx="8">
                  <c:v>1.5322841005113179E-2</c:v>
                </c:pt>
                <c:pt idx="9">
                  <c:v>1.922586165077764E-2</c:v>
                </c:pt>
                <c:pt idx="10">
                  <c:v>1.7044399490316931E-2</c:v>
                </c:pt>
                <c:pt idx="11">
                  <c:v>1.7559970602378881E-2</c:v>
                </c:pt>
                <c:pt idx="12">
                  <c:v>2.2672277162398214E-2</c:v>
                </c:pt>
                <c:pt idx="13">
                  <c:v>1.9206823531931885E-2</c:v>
                </c:pt>
                <c:pt idx="14">
                  <c:v>2.637779570121164E-2</c:v>
                </c:pt>
                <c:pt idx="15">
                  <c:v>3.3004380217009015E-2</c:v>
                </c:pt>
                <c:pt idx="16">
                  <c:v>1.1710243612059645E-2</c:v>
                </c:pt>
                <c:pt idx="17">
                  <c:v>7.5048666259772525E-3</c:v>
                </c:pt>
                <c:pt idx="18">
                  <c:v>0</c:v>
                </c:pt>
                <c:pt idx="19">
                  <c:v>3.1997186887453427E-2</c:v>
                </c:pt>
                <c:pt idx="20">
                  <c:v>6.3410452597524286E-2</c:v>
                </c:pt>
                <c:pt idx="21">
                  <c:v>0.10421584297388749</c:v>
                </c:pt>
                <c:pt idx="22">
                  <c:v>8.6115019075088978E-2</c:v>
                </c:pt>
                <c:pt idx="23">
                  <c:v>0.11411140689656996</c:v>
                </c:pt>
                <c:pt idx="24">
                  <c:v>0.4286150161498784</c:v>
                </c:pt>
                <c:pt idx="25">
                  <c:v>0.59591479642235878</c:v>
                </c:pt>
                <c:pt idx="26">
                  <c:v>0.59955860795975302</c:v>
                </c:pt>
                <c:pt idx="27">
                  <c:v>0.5760182877475668</c:v>
                </c:pt>
                <c:pt idx="28">
                  <c:v>1.5242165572667234</c:v>
                </c:pt>
                <c:pt idx="29">
                  <c:v>2.1307306209193575</c:v>
                </c:pt>
                <c:pt idx="30">
                  <c:v>2.3076215541236973</c:v>
                </c:pt>
                <c:pt idx="31">
                  <c:v>2.5762769890533841</c:v>
                </c:pt>
                <c:pt idx="32">
                  <c:v>2.8975542888833981</c:v>
                </c:pt>
                <c:pt idx="33">
                  <c:v>3.4445981855602166</c:v>
                </c:pt>
                <c:pt idx="34">
                  <c:v>4.0316290019235197</c:v>
                </c:pt>
                <c:pt idx="35">
                  <c:v>3.086464499531008</c:v>
                </c:pt>
                <c:pt idx="36">
                  <c:v>1.8701445524237343</c:v>
                </c:pt>
                <c:pt idx="37">
                  <c:v>1.7242197517497229</c:v>
                </c:pt>
                <c:pt idx="38">
                  <c:v>2.356422363654572</c:v>
                </c:pt>
                <c:pt idx="39">
                  <c:v>2.1386136384866608</c:v>
                </c:pt>
                <c:pt idx="40">
                  <c:v>2.2795343220587756</c:v>
                </c:pt>
                <c:pt idx="41">
                  <c:v>2.5310208304537762</c:v>
                </c:pt>
                <c:pt idx="42">
                  <c:v>2.4007640518750901</c:v>
                </c:pt>
                <c:pt idx="43">
                  <c:v>2.5466757546039767</c:v>
                </c:pt>
                <c:pt idx="44">
                  <c:v>3.5412447695213451</c:v>
                </c:pt>
                <c:pt idx="45">
                  <c:v>2.5866792081069425</c:v>
                </c:pt>
                <c:pt idx="46">
                  <c:v>2.4602557814093253</c:v>
                </c:pt>
                <c:pt idx="47">
                  <c:v>2.4173266315253836</c:v>
                </c:pt>
                <c:pt idx="48">
                  <c:v>2.4209662067396942</c:v>
                </c:pt>
                <c:pt idx="49">
                  <c:v>2.6050681645477165</c:v>
                </c:pt>
                <c:pt idx="50">
                  <c:v>2.6477207897855846</c:v>
                </c:pt>
                <c:pt idx="51">
                  <c:v>2.1366664884432676</c:v>
                </c:pt>
                <c:pt idx="52">
                  <c:v>1.9755513174225263</c:v>
                </c:pt>
                <c:pt idx="53">
                  <c:v>2.4355671921802307</c:v>
                </c:pt>
                <c:pt idx="54">
                  <c:v>3.3321412584292571</c:v>
                </c:pt>
                <c:pt idx="55">
                  <c:v>1.9873738556457534</c:v>
                </c:pt>
                <c:pt idx="56">
                  <c:v>2.0466568744512577</c:v>
                </c:pt>
                <c:pt idx="57">
                  <c:v>2.9394166627129321</c:v>
                </c:pt>
                <c:pt idx="58">
                  <c:v>2.888055321281382</c:v>
                </c:pt>
                <c:pt idx="59">
                  <c:v>3.0350885119804021</c:v>
                </c:pt>
                <c:pt idx="60">
                  <c:v>3.2951763707444961</c:v>
                </c:pt>
                <c:pt idx="61">
                  <c:v>3.3021840456832448</c:v>
                </c:pt>
                <c:pt idx="62">
                  <c:v>3.0013517803074881</c:v>
                </c:pt>
                <c:pt idx="63">
                  <c:v>3.2598538034615068</c:v>
                </c:pt>
                <c:pt idx="64">
                  <c:v>3.3100146127246446</c:v>
                </c:pt>
                <c:pt idx="65">
                  <c:v>3.7264538714658153</c:v>
                </c:pt>
                <c:pt idx="66">
                  <c:v>3.5975118441856075</c:v>
                </c:pt>
                <c:pt idx="67">
                  <c:v>3.4417204156220378</c:v>
                </c:pt>
                <c:pt idx="68">
                  <c:v>4.0604373562386895</c:v>
                </c:pt>
                <c:pt idx="69">
                  <c:v>4.0665545098968527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DF-4C59-92BF-9DB1AD5762AF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'Well_A-1'!$N:$N</c:f>
              <c:strCache>
                <c:ptCount val="70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  <c:pt idx="6">
                  <c:v>152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305</c:v>
                </c:pt>
                <c:pt idx="12">
                  <c:v>335</c:v>
                </c:pt>
                <c:pt idx="13">
                  <c:v>366</c:v>
                </c:pt>
                <c:pt idx="14">
                  <c:v>396</c:v>
                </c:pt>
                <c:pt idx="15">
                  <c:v>427</c:v>
                </c:pt>
                <c:pt idx="16">
                  <c:v>458</c:v>
                </c:pt>
                <c:pt idx="17">
                  <c:v>486</c:v>
                </c:pt>
                <c:pt idx="18">
                  <c:v>517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670</c:v>
                </c:pt>
                <c:pt idx="24">
                  <c:v>700</c:v>
                </c:pt>
                <c:pt idx="25">
                  <c:v>731</c:v>
                </c:pt>
                <c:pt idx="26">
                  <c:v>761</c:v>
                </c:pt>
                <c:pt idx="27">
                  <c:v>792</c:v>
                </c:pt>
                <c:pt idx="28">
                  <c:v>823</c:v>
                </c:pt>
                <c:pt idx="29">
                  <c:v>851</c:v>
                </c:pt>
                <c:pt idx="30">
                  <c:v>882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1035</c:v>
                </c:pt>
                <c:pt idx="36">
                  <c:v>1065</c:v>
                </c:pt>
                <c:pt idx="37">
                  <c:v>1096</c:v>
                </c:pt>
                <c:pt idx="38">
                  <c:v>1126</c:v>
                </c:pt>
                <c:pt idx="39">
                  <c:v>1157</c:v>
                </c:pt>
                <c:pt idx="40">
                  <c:v>1188</c:v>
                </c:pt>
                <c:pt idx="41">
                  <c:v>1216</c:v>
                </c:pt>
                <c:pt idx="42">
                  <c:v>1247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1400</c:v>
                </c:pt>
                <c:pt idx="48">
                  <c:v>1430</c:v>
                </c:pt>
                <c:pt idx="49">
                  <c:v>1461</c:v>
                </c:pt>
                <c:pt idx="50">
                  <c:v>1491</c:v>
                </c:pt>
                <c:pt idx="51">
                  <c:v>1522</c:v>
                </c:pt>
                <c:pt idx="52">
                  <c:v>1553</c:v>
                </c:pt>
                <c:pt idx="53">
                  <c:v>1582</c:v>
                </c:pt>
                <c:pt idx="54">
                  <c:v>1613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1766</c:v>
                </c:pt>
                <c:pt idx="60">
                  <c:v>1796</c:v>
                </c:pt>
                <c:pt idx="61">
                  <c:v>1827</c:v>
                </c:pt>
                <c:pt idx="62">
                  <c:v>1857</c:v>
                </c:pt>
                <c:pt idx="63">
                  <c:v>1888</c:v>
                </c:pt>
                <c:pt idx="64">
                  <c:v>1919</c:v>
                </c:pt>
                <c:pt idx="65">
                  <c:v>1947</c:v>
                </c:pt>
                <c:pt idx="66">
                  <c:v>1978</c:v>
                </c:pt>
                <c:pt idx="67">
                  <c:v>2008</c:v>
                </c:pt>
                <c:pt idx="68">
                  <c:v>2039</c:v>
                </c:pt>
                <c:pt idx="69">
                  <c:v>2069</c:v>
                </c:pt>
              </c:strCache>
            </c:strRef>
          </c:xVal>
          <c:yVal>
            <c:numRef>
              <c:f>'Well_A-1'!$R:$R</c:f>
              <c:numCache>
                <c:formatCode>General</c:formatCode>
                <c:ptCount val="1048576"/>
                <c:pt idx="0">
                  <c:v>0</c:v>
                </c:pt>
                <c:pt idx="2">
                  <c:v>-3.1169144621364235E-6</c:v>
                </c:pt>
                <c:pt idx="3">
                  <c:v>1.1466817316141328E-4</c:v>
                </c:pt>
                <c:pt idx="4">
                  <c:v>2.1677424251909181E-4</c:v>
                </c:pt>
                <c:pt idx="5">
                  <c:v>2.1244277056458029E-4</c:v>
                </c:pt>
                <c:pt idx="6">
                  <c:v>6.07207774977483E-5</c:v>
                </c:pt>
                <c:pt idx="7">
                  <c:v>-1.2385884645802308E-4</c:v>
                </c:pt>
                <c:pt idx="8">
                  <c:v>-3.386227519768547E-5</c:v>
                </c:pt>
                <c:pt idx="9">
                  <c:v>1.3010068818881539E-4</c:v>
                </c:pt>
                <c:pt idx="10">
                  <c:v>-7.0369747111635785E-5</c:v>
                </c:pt>
                <c:pt idx="11">
                  <c:v>1.6631326195546754E-5</c:v>
                </c:pt>
                <c:pt idx="12">
                  <c:v>1.7041021866731111E-4</c:v>
                </c:pt>
                <c:pt idx="13">
                  <c:v>-1.1178882678923641E-4</c:v>
                </c:pt>
                <c:pt idx="14">
                  <c:v>2.3903240564265849E-4</c:v>
                </c:pt>
                <c:pt idx="15">
                  <c:v>2.1376079083217339E-4</c:v>
                </c:pt>
                <c:pt idx="16">
                  <c:v>-6.8690763241772165E-4</c:v>
                </c:pt>
                <c:pt idx="17">
                  <c:v>-1.501920352172283E-4</c:v>
                </c:pt>
                <c:pt idx="18">
                  <c:v>-2.4209247180571782E-4</c:v>
                </c:pt>
                <c:pt idx="19">
                  <c:v>1.0665728962484476E-3</c:v>
                </c:pt>
                <c:pt idx="20">
                  <c:v>1.0133311519377696E-3</c:v>
                </c:pt>
                <c:pt idx="21">
                  <c:v>1.3601796792121067E-3</c:v>
                </c:pt>
                <c:pt idx="22">
                  <c:v>-5.8389754512253261E-4</c:v>
                </c:pt>
                <c:pt idx="23">
                  <c:v>9.0310928456390253E-4</c:v>
                </c:pt>
                <c:pt idx="24">
                  <c:v>1.0483453641776948E-2</c:v>
                </c:pt>
                <c:pt idx="25">
                  <c:v>5.3967671055638834E-3</c:v>
                </c:pt>
                <c:pt idx="26">
                  <c:v>1.2146038457980791E-4</c:v>
                </c:pt>
                <c:pt idx="27">
                  <c:v>-7.5936516813503922E-4</c:v>
                </c:pt>
                <c:pt idx="28">
                  <c:v>3.058704095223086E-2</c:v>
                </c:pt>
                <c:pt idx="29">
                  <c:v>2.1661216559022645E-2</c:v>
                </c:pt>
                <c:pt idx="30">
                  <c:v>5.7061591356238643E-3</c:v>
                </c:pt>
                <c:pt idx="31">
                  <c:v>8.9551811643228934E-3</c:v>
                </c:pt>
                <c:pt idx="32">
                  <c:v>1.0363783865484321E-2</c:v>
                </c:pt>
                <c:pt idx="33">
                  <c:v>1.823479655589395E-2</c:v>
                </c:pt>
                <c:pt idx="34">
                  <c:v>1.8936477947203326E-2</c:v>
                </c:pt>
                <c:pt idx="35">
                  <c:v>-3.0489177496532637E-2</c:v>
                </c:pt>
                <c:pt idx="36">
                  <c:v>-4.0543998236909122E-2</c:v>
                </c:pt>
                <c:pt idx="37">
                  <c:v>-4.7072516346455314E-3</c:v>
                </c:pt>
                <c:pt idx="38">
                  <c:v>2.1073420396828305E-2</c:v>
                </c:pt>
                <c:pt idx="39">
                  <c:v>-7.0260879086422989E-3</c:v>
                </c:pt>
                <c:pt idx="40">
                  <c:v>4.5458285023262856E-3</c:v>
                </c:pt>
                <c:pt idx="41">
                  <c:v>8.9816610141071652E-3</c:v>
                </c:pt>
                <c:pt idx="42">
                  <c:v>-4.2018315670543909E-3</c:v>
                </c:pt>
                <c:pt idx="43">
                  <c:v>4.8637234242962183E-3</c:v>
                </c:pt>
                <c:pt idx="44">
                  <c:v>3.2082871448947371E-2</c:v>
                </c:pt>
                <c:pt idx="45">
                  <c:v>-3.1818852047146753E-2</c:v>
                </c:pt>
                <c:pt idx="46">
                  <c:v>-4.0781750547618451E-3</c:v>
                </c:pt>
                <c:pt idx="47">
                  <c:v>-1.3848112865787645E-3</c:v>
                </c:pt>
                <c:pt idx="48">
                  <c:v>1.2131917381035251E-4</c:v>
                </c:pt>
                <c:pt idx="49">
                  <c:v>5.9387728325168481E-3</c:v>
                </c:pt>
                <c:pt idx="50">
                  <c:v>1.421754174595602E-3</c:v>
                </c:pt>
                <c:pt idx="51">
                  <c:v>-1.6485622623945709E-2</c:v>
                </c:pt>
                <c:pt idx="52">
                  <c:v>-5.1972635813142334E-3</c:v>
                </c:pt>
                <c:pt idx="53">
                  <c:v>1.5862616370955322E-2</c:v>
                </c:pt>
                <c:pt idx="54">
                  <c:v>2.892174407254924E-2</c:v>
                </c:pt>
                <c:pt idx="55">
                  <c:v>-4.4825580092783458E-2</c:v>
                </c:pt>
                <c:pt idx="56">
                  <c:v>1.9123554453388464E-3</c:v>
                </c:pt>
                <c:pt idx="57">
                  <c:v>2.9758659608722482E-2</c:v>
                </c:pt>
                <c:pt idx="58">
                  <c:v>-1.6568174655338752E-3</c:v>
                </c:pt>
                <c:pt idx="59">
                  <c:v>4.7430061515812937E-3</c:v>
                </c:pt>
                <c:pt idx="60">
                  <c:v>8.6695952921364665E-3</c:v>
                </c:pt>
                <c:pt idx="61">
                  <c:v>2.2605403028221464E-4</c:v>
                </c:pt>
                <c:pt idx="62">
                  <c:v>-1.002774217919189E-2</c:v>
                </c:pt>
                <c:pt idx="63">
                  <c:v>8.3387749404522163E-3</c:v>
                </c:pt>
                <c:pt idx="64">
                  <c:v>1.6180906213915426E-3</c:v>
                </c:pt>
                <c:pt idx="65">
                  <c:v>1.4872830669327526E-2</c:v>
                </c:pt>
                <c:pt idx="66">
                  <c:v>-4.1594202348454118E-3</c:v>
                </c:pt>
                <c:pt idx="67">
                  <c:v>-5.1930476187856582E-3</c:v>
                </c:pt>
                <c:pt idx="68">
                  <c:v>1.9958610987633928E-2</c:v>
                </c:pt>
                <c:pt idx="69">
                  <c:v>2.0390512193877442E-4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DF-4C59-92BF-9DB1AD576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054912"/>
        <c:axId val="315390112"/>
      </c:scatterChart>
      <c:valAx>
        <c:axId val="342054912"/>
        <c:scaling>
          <c:logBase val="10"/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390112"/>
        <c:crosses val="autoZero"/>
        <c:crossBetween val="midCat"/>
      </c:valAx>
      <c:valAx>
        <c:axId val="3153901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5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FLOW</a:t>
            </a:r>
            <a:r>
              <a:rPr lang="en-US" baseline="0"/>
              <a:t> RATE V/S TIME (SEMI 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73596309029785"/>
          <c:y val="0.24296165565645289"/>
          <c:w val="0.86862012203234129"/>
          <c:h val="0.70545330021973018"/>
        </c:manualLayout>
      </c:layout>
      <c:scatterChart>
        <c:scatterStyle val="lineMarker"/>
        <c:varyColors val="0"/>
        <c:ser>
          <c:idx val="2"/>
          <c:order val="0"/>
          <c:tx>
            <c:strRef>
              <c:f>'Well_A-1'!$X$1:$X$3</c:f>
              <c:strCache>
                <c:ptCount val="3"/>
                <c:pt idx="0">
                  <c:v>qi / qt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'Well_A-1'!$T$4:$U$72</c:f>
              <c:multiLvlStrCache>
                <c:ptCount val="8"/>
                <c:lvl>
                  <c:pt idx="0">
                    <c:v>15469</c:v>
                  </c:pt>
                  <c:pt idx="3">
                    <c:v>3.401197382</c:v>
                  </c:pt>
                  <c:pt idx="7">
                    <c:v>989.9504256</c:v>
                  </c:pt>
                </c:lvl>
                <c:lvl>
                  <c:pt idx="0">
                    <c:v>qi      =</c:v>
                  </c:pt>
                  <c:pt idx="4">
                    <c:v>x ----&gt; time</c:v>
                  </c:pt>
                  <c:pt idx="7">
                    <c:v>x           =</c:v>
                  </c:pt>
                </c:lvl>
              </c:multiLvlStrCache>
            </c:multiLvlStrRef>
          </c:xVal>
          <c:yVal>
            <c:numRef>
              <c:f>'Well_A-1'!$X$4:$X$72</c:f>
            </c:numRef>
          </c:yVal>
          <c:smooth val="0"/>
          <c:extLst>
            <c:ext xmlns:c16="http://schemas.microsoft.com/office/drawing/2014/chart" uri="{C3380CC4-5D6E-409C-BE32-E72D297353CC}">
              <c16:uniqueId val="{00000002-7D0E-4D96-8453-4DF25ADFEE7B}"/>
            </c:ext>
          </c:extLst>
        </c:ser>
        <c:ser>
          <c:idx val="1"/>
          <c:order val="1"/>
          <c:tx>
            <c:v>PRODUCTION HISTORY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D0E-4D96-8453-4DF25ADFE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'Well_A-1'!$Y:$Y</c:f>
              <c:strCache>
                <c:ptCount val="195"/>
                <c:pt idx="0">
                  <c:v>T(MONTHS)</c:v>
                </c:pt>
                <c:pt idx="1">
                  <c:v>0</c:v>
                </c:pt>
                <c:pt idx="2">
                  <c:v>1</c:v>
                </c:pt>
                <c:pt idx="3">
                  <c:v>2.033333333</c:v>
                </c:pt>
                <c:pt idx="4">
                  <c:v>3.066666667</c:v>
                </c:pt>
                <c:pt idx="5">
                  <c:v>4.033333333</c:v>
                </c:pt>
                <c:pt idx="6">
                  <c:v>5.066666667</c:v>
                </c:pt>
                <c:pt idx="7">
                  <c:v>6.066666667</c:v>
                </c:pt>
                <c:pt idx="8">
                  <c:v>7.1</c:v>
                </c:pt>
                <c:pt idx="9">
                  <c:v>8.1</c:v>
                </c:pt>
                <c:pt idx="10">
                  <c:v>9.133333333</c:v>
                </c:pt>
                <c:pt idx="11">
                  <c:v>10.16666667</c:v>
                </c:pt>
                <c:pt idx="12">
                  <c:v>11.16666667</c:v>
                </c:pt>
                <c:pt idx="13">
                  <c:v>12.2</c:v>
                </c:pt>
                <c:pt idx="14">
                  <c:v>13.2</c:v>
                </c:pt>
                <c:pt idx="15">
                  <c:v>14.23333333</c:v>
                </c:pt>
                <c:pt idx="16">
                  <c:v>15.26666667</c:v>
                </c:pt>
                <c:pt idx="17">
                  <c:v>16.2</c:v>
                </c:pt>
                <c:pt idx="18">
                  <c:v>17.23333333</c:v>
                </c:pt>
                <c:pt idx="19">
                  <c:v>18.23333333</c:v>
                </c:pt>
                <c:pt idx="20">
                  <c:v>19.26666667</c:v>
                </c:pt>
                <c:pt idx="21">
                  <c:v>20.26666667</c:v>
                </c:pt>
                <c:pt idx="22">
                  <c:v>21.3</c:v>
                </c:pt>
                <c:pt idx="23">
                  <c:v>22.33333333</c:v>
                </c:pt>
                <c:pt idx="24">
                  <c:v>23.33333333</c:v>
                </c:pt>
                <c:pt idx="25">
                  <c:v>24.36666667</c:v>
                </c:pt>
                <c:pt idx="26">
                  <c:v>25.36666667</c:v>
                </c:pt>
                <c:pt idx="27">
                  <c:v>26.4</c:v>
                </c:pt>
                <c:pt idx="28">
                  <c:v>27.43333333</c:v>
                </c:pt>
                <c:pt idx="29">
                  <c:v>28.36666667</c:v>
                </c:pt>
                <c:pt idx="30">
                  <c:v>29.4</c:v>
                </c:pt>
                <c:pt idx="31">
                  <c:v>30.4</c:v>
                </c:pt>
                <c:pt idx="32">
                  <c:v>31.43333333</c:v>
                </c:pt>
                <c:pt idx="33">
                  <c:v>32.43333333</c:v>
                </c:pt>
                <c:pt idx="34">
                  <c:v>33.46666667</c:v>
                </c:pt>
                <c:pt idx="35">
                  <c:v>34.5</c:v>
                </c:pt>
                <c:pt idx="36">
                  <c:v>35.5</c:v>
                </c:pt>
                <c:pt idx="37">
                  <c:v>36.53333333</c:v>
                </c:pt>
                <c:pt idx="38">
                  <c:v>37.53333333</c:v>
                </c:pt>
                <c:pt idx="39">
                  <c:v>38.56666667</c:v>
                </c:pt>
                <c:pt idx="40">
                  <c:v>39.6</c:v>
                </c:pt>
                <c:pt idx="41">
                  <c:v>40.53333333</c:v>
                </c:pt>
                <c:pt idx="42">
                  <c:v>41.56666667</c:v>
                </c:pt>
                <c:pt idx="43">
                  <c:v>42.56666667</c:v>
                </c:pt>
                <c:pt idx="44">
                  <c:v>43.6</c:v>
                </c:pt>
                <c:pt idx="45">
                  <c:v>44.6</c:v>
                </c:pt>
                <c:pt idx="46">
                  <c:v>45.63333333</c:v>
                </c:pt>
                <c:pt idx="47">
                  <c:v>46.66666667</c:v>
                </c:pt>
                <c:pt idx="48">
                  <c:v>47.66666667</c:v>
                </c:pt>
                <c:pt idx="49">
                  <c:v>48.7</c:v>
                </c:pt>
                <c:pt idx="50">
                  <c:v>49.7</c:v>
                </c:pt>
                <c:pt idx="51">
                  <c:v>50.73333333</c:v>
                </c:pt>
                <c:pt idx="52">
                  <c:v>51.76666667</c:v>
                </c:pt>
                <c:pt idx="53">
                  <c:v>52.73333333</c:v>
                </c:pt>
                <c:pt idx="54">
                  <c:v>53.76666667</c:v>
                </c:pt>
                <c:pt idx="55">
                  <c:v>54.76666667</c:v>
                </c:pt>
                <c:pt idx="56">
                  <c:v>55.8</c:v>
                </c:pt>
                <c:pt idx="57">
                  <c:v>56.8</c:v>
                </c:pt>
                <c:pt idx="58">
                  <c:v>57.83333333</c:v>
                </c:pt>
                <c:pt idx="59">
                  <c:v>58.86666667</c:v>
                </c:pt>
                <c:pt idx="60">
                  <c:v>59.86666667</c:v>
                </c:pt>
                <c:pt idx="61">
                  <c:v>60.9</c:v>
                </c:pt>
                <c:pt idx="62">
                  <c:v>61.9</c:v>
                </c:pt>
                <c:pt idx="63">
                  <c:v>62.93333333</c:v>
                </c:pt>
                <c:pt idx="64">
                  <c:v>63.96666667</c:v>
                </c:pt>
                <c:pt idx="65">
                  <c:v>64.9</c:v>
                </c:pt>
                <c:pt idx="66">
                  <c:v>65.93333333</c:v>
                </c:pt>
                <c:pt idx="67">
                  <c:v>66.93333333</c:v>
                </c:pt>
                <c:pt idx="68">
                  <c:v>67.96666667</c:v>
                </c:pt>
                <c:pt idx="69">
                  <c:v>68.96666667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</c:strCache>
            </c:strRef>
          </c:xVal>
          <c:yVal>
            <c:numRef>
              <c:f>'Well_A-1'!$C:$C</c:f>
              <c:numCache>
                <c:formatCode>0</c:formatCode>
                <c:ptCount val="1048576"/>
                <c:pt idx="0" formatCode="0.00">
                  <c:v>0</c:v>
                </c:pt>
                <c:pt idx="1">
                  <c:v>515.61683333333326</c:v>
                </c:pt>
                <c:pt idx="2">
                  <c:v>780.21458064516128</c:v>
                </c:pt>
                <c:pt idx="3">
                  <c:v>1101.8982903225808</c:v>
                </c:pt>
                <c:pt idx="4">
                  <c:v>1132.9617586206898</c:v>
                </c:pt>
                <c:pt idx="5">
                  <c:v>1229.0939999999998</c:v>
                </c:pt>
                <c:pt idx="6">
                  <c:v>1224.4886333333334</c:v>
                </c:pt>
                <c:pt idx="7">
                  <c:v>1166.2191612903227</c:v>
                </c:pt>
                <c:pt idx="8">
                  <c:v>1149.5912666666666</c:v>
                </c:pt>
                <c:pt idx="9">
                  <c:v>1106.5478263490129</c:v>
                </c:pt>
                <c:pt idx="10">
                  <c:v>1153.7846774193547</c:v>
                </c:pt>
                <c:pt idx="11">
                  <c:v>1107.6179666666665</c:v>
                </c:pt>
                <c:pt idx="12">
                  <c:v>993.00254838709679</c:v>
                </c:pt>
                <c:pt idx="13">
                  <c:v>986.56923333333339</c:v>
                </c:pt>
                <c:pt idx="14">
                  <c:v>924.44203225806461</c:v>
                </c:pt>
                <c:pt idx="15">
                  <c:v>1011.4906129032257</c:v>
                </c:pt>
                <c:pt idx="16">
                  <c:v>991.25400000000002</c:v>
                </c:pt>
                <c:pt idx="17">
                  <c:v>925.44741935483864</c:v>
                </c:pt>
                <c:pt idx="18">
                  <c:v>34.420633333333328</c:v>
                </c:pt>
                <c:pt idx="19">
                  <c:v>938.47374193548387</c:v>
                </c:pt>
                <c:pt idx="20">
                  <c:v>971.19399999999996</c:v>
                </c:pt>
                <c:pt idx="21">
                  <c:v>931.68806451612909</c:v>
                </c:pt>
                <c:pt idx="22">
                  <c:v>927.38754838709679</c:v>
                </c:pt>
                <c:pt idx="23">
                  <c:v>906.90106666666668</c:v>
                </c:pt>
                <c:pt idx="24">
                  <c:v>838.58616129032248</c:v>
                </c:pt>
                <c:pt idx="25">
                  <c:v>859.1955333333334</c:v>
                </c:pt>
                <c:pt idx="26">
                  <c:v>857.02935483870965</c:v>
                </c:pt>
                <c:pt idx="27">
                  <c:v>766.59822580645152</c:v>
                </c:pt>
                <c:pt idx="28">
                  <c:v>411.28035714285716</c:v>
                </c:pt>
                <c:pt idx="29">
                  <c:v>272.28770967741934</c:v>
                </c:pt>
                <c:pt idx="30">
                  <c:v>157.65583333333333</c:v>
                </c:pt>
                <c:pt idx="31">
                  <c:v>155.03687096774195</c:v>
                </c:pt>
                <c:pt idx="32">
                  <c:v>149.05783333333332</c:v>
                </c:pt>
                <c:pt idx="33">
                  <c:v>131.18774193548387</c:v>
                </c:pt>
                <c:pt idx="34">
                  <c:v>141.793709677419</c:v>
                </c:pt>
                <c:pt idx="35">
                  <c:v>149.14309999999901</c:v>
                </c:pt>
                <c:pt idx="36">
                  <c:v>165.28125806451601</c:v>
                </c:pt>
                <c:pt idx="37">
                  <c:v>155.41036666666665</c:v>
                </c:pt>
                <c:pt idx="38">
                  <c:v>166.52970967741936</c:v>
                </c:pt>
                <c:pt idx="39">
                  <c:v>209.958967741935</c:v>
                </c:pt>
                <c:pt idx="40">
                  <c:v>213.50960714285699</c:v>
                </c:pt>
                <c:pt idx="41">
                  <c:v>215.17967741935399</c:v>
                </c:pt>
                <c:pt idx="42">
                  <c:v>203.65846666666599</c:v>
                </c:pt>
                <c:pt idx="43">
                  <c:v>175.28848387096775</c:v>
                </c:pt>
                <c:pt idx="44">
                  <c:v>198.06823333333332</c:v>
                </c:pt>
                <c:pt idx="45">
                  <c:v>229.56667741935485</c:v>
                </c:pt>
                <c:pt idx="46">
                  <c:v>226.82548387096776</c:v>
                </c:pt>
                <c:pt idx="47">
                  <c:v>258.94836666666669</c:v>
                </c:pt>
                <c:pt idx="48">
                  <c:v>287.91387096774196</c:v>
                </c:pt>
                <c:pt idx="49">
                  <c:v>275.65013333333337</c:v>
                </c:pt>
                <c:pt idx="50">
                  <c:v>295.7389032258065</c:v>
                </c:pt>
                <c:pt idx="51">
                  <c:v>342.44806451612902</c:v>
                </c:pt>
                <c:pt idx="52">
                  <c:v>356.76900000000001</c:v>
                </c:pt>
                <c:pt idx="53">
                  <c:v>318.87087096774189</c:v>
                </c:pt>
                <c:pt idx="54">
                  <c:v>270.7534</c:v>
                </c:pt>
                <c:pt idx="55">
                  <c:v>327.67106451612904</c:v>
                </c:pt>
                <c:pt idx="56">
                  <c:v>334.1350333333333</c:v>
                </c:pt>
                <c:pt idx="57">
                  <c:v>282.84129032258062</c:v>
                </c:pt>
                <c:pt idx="58">
                  <c:v>282.65445161290324</c:v>
                </c:pt>
                <c:pt idx="59">
                  <c:v>248.30273333333335</c:v>
                </c:pt>
                <c:pt idx="60">
                  <c:v>227.09109677419355</c:v>
                </c:pt>
                <c:pt idx="61">
                  <c:v>228.61189999999999</c:v>
                </c:pt>
                <c:pt idx="62">
                  <c:v>234.64232258064516</c:v>
                </c:pt>
                <c:pt idx="63">
                  <c:v>223.71387096774194</c:v>
                </c:pt>
                <c:pt idx="64">
                  <c:v>238.23903571428573</c:v>
                </c:pt>
                <c:pt idx="65">
                  <c:v>245.31593548387096</c:v>
                </c:pt>
                <c:pt idx="66">
                  <c:v>224.97536666666667</c:v>
                </c:pt>
                <c:pt idx="67">
                  <c:v>231.4323548387097</c:v>
                </c:pt>
                <c:pt idx="68">
                  <c:v>215.41783333333333</c:v>
                </c:pt>
                <c:pt idx="69">
                  <c:v>224.87925806451611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0E-4D96-8453-4DF25ADFE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440880"/>
        <c:axId val="1333442320"/>
      </c:scatterChart>
      <c:valAx>
        <c:axId val="133344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42320"/>
        <c:crosses val="autoZero"/>
        <c:crossBetween val="midCat"/>
      </c:valAx>
      <c:valAx>
        <c:axId val="13334423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FLOW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4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5184316169571025E-2"/>
          <c:y val="0.89176866739040284"/>
          <c:w val="0.89999987414701388"/>
          <c:h val="4.7099607514259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FLOW RATE V/S TIME (CARTISEAN)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PRODUCTION HISTORY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'Well_A-1'!$Y$2:$Y$70</c:f>
              <c:numCache>
                <c:formatCode>General</c:formatCode>
                <c:ptCount val="69"/>
                <c:pt idx="0">
                  <c:v>0</c:v>
                </c:pt>
                <c:pt idx="1">
                  <c:v>1</c:v>
                </c:pt>
                <c:pt idx="2">
                  <c:v>2.0333333333333332</c:v>
                </c:pt>
                <c:pt idx="3">
                  <c:v>3.0666666666666669</c:v>
                </c:pt>
                <c:pt idx="4">
                  <c:v>4.0333333333333332</c:v>
                </c:pt>
                <c:pt idx="5">
                  <c:v>5.0666666666666664</c:v>
                </c:pt>
                <c:pt idx="6">
                  <c:v>6.0666666666666664</c:v>
                </c:pt>
                <c:pt idx="7">
                  <c:v>7.1</c:v>
                </c:pt>
                <c:pt idx="8">
                  <c:v>8.1</c:v>
                </c:pt>
                <c:pt idx="9">
                  <c:v>9.1333333333333329</c:v>
                </c:pt>
                <c:pt idx="10">
                  <c:v>10.166666666666666</c:v>
                </c:pt>
                <c:pt idx="11">
                  <c:v>11.166666666666666</c:v>
                </c:pt>
                <c:pt idx="12">
                  <c:v>12.2</c:v>
                </c:pt>
                <c:pt idx="13">
                  <c:v>13.2</c:v>
                </c:pt>
                <c:pt idx="14">
                  <c:v>14.233333333333333</c:v>
                </c:pt>
                <c:pt idx="15">
                  <c:v>15.266666666666667</c:v>
                </c:pt>
                <c:pt idx="16">
                  <c:v>16.2</c:v>
                </c:pt>
                <c:pt idx="17">
                  <c:v>17.233333333333334</c:v>
                </c:pt>
                <c:pt idx="18">
                  <c:v>18.233333333333334</c:v>
                </c:pt>
                <c:pt idx="19">
                  <c:v>19.266666666666666</c:v>
                </c:pt>
                <c:pt idx="20">
                  <c:v>20.266666666666666</c:v>
                </c:pt>
                <c:pt idx="21">
                  <c:v>21.3</c:v>
                </c:pt>
                <c:pt idx="22">
                  <c:v>22.333333333333332</c:v>
                </c:pt>
                <c:pt idx="23">
                  <c:v>23.333333333333332</c:v>
                </c:pt>
                <c:pt idx="24">
                  <c:v>24.366666666666667</c:v>
                </c:pt>
                <c:pt idx="25">
                  <c:v>25.366666666666667</c:v>
                </c:pt>
                <c:pt idx="26">
                  <c:v>26.4</c:v>
                </c:pt>
                <c:pt idx="27">
                  <c:v>27.433333333333334</c:v>
                </c:pt>
                <c:pt idx="28">
                  <c:v>28.366666666666667</c:v>
                </c:pt>
                <c:pt idx="29">
                  <c:v>29.4</c:v>
                </c:pt>
                <c:pt idx="30">
                  <c:v>30.4</c:v>
                </c:pt>
                <c:pt idx="31">
                  <c:v>31.433333333333334</c:v>
                </c:pt>
                <c:pt idx="32">
                  <c:v>32.43333333333333</c:v>
                </c:pt>
                <c:pt idx="33">
                  <c:v>33.466666666666669</c:v>
                </c:pt>
                <c:pt idx="34">
                  <c:v>34.5</c:v>
                </c:pt>
                <c:pt idx="35">
                  <c:v>35.5</c:v>
                </c:pt>
                <c:pt idx="36">
                  <c:v>36.533333333333331</c:v>
                </c:pt>
                <c:pt idx="37">
                  <c:v>37.533333333333331</c:v>
                </c:pt>
                <c:pt idx="38">
                  <c:v>38.56666666666667</c:v>
                </c:pt>
                <c:pt idx="39">
                  <c:v>39.6</c:v>
                </c:pt>
                <c:pt idx="40">
                  <c:v>40.533333333333331</c:v>
                </c:pt>
                <c:pt idx="41">
                  <c:v>41.56666666666667</c:v>
                </c:pt>
                <c:pt idx="42">
                  <c:v>42.56666666666667</c:v>
                </c:pt>
                <c:pt idx="43">
                  <c:v>43.6</c:v>
                </c:pt>
                <c:pt idx="44">
                  <c:v>44.6</c:v>
                </c:pt>
                <c:pt idx="45">
                  <c:v>45.633333333333333</c:v>
                </c:pt>
                <c:pt idx="46">
                  <c:v>46.666666666666664</c:v>
                </c:pt>
                <c:pt idx="47">
                  <c:v>47.666666666666664</c:v>
                </c:pt>
                <c:pt idx="48">
                  <c:v>48.7</c:v>
                </c:pt>
                <c:pt idx="49">
                  <c:v>49.7</c:v>
                </c:pt>
                <c:pt idx="50">
                  <c:v>50.733333333333334</c:v>
                </c:pt>
                <c:pt idx="51">
                  <c:v>51.766666666666666</c:v>
                </c:pt>
                <c:pt idx="52">
                  <c:v>52.733333333333334</c:v>
                </c:pt>
                <c:pt idx="53">
                  <c:v>53.766666666666666</c:v>
                </c:pt>
                <c:pt idx="54">
                  <c:v>54.766666666666666</c:v>
                </c:pt>
                <c:pt idx="55">
                  <c:v>55.8</c:v>
                </c:pt>
                <c:pt idx="56">
                  <c:v>56.8</c:v>
                </c:pt>
                <c:pt idx="57">
                  <c:v>57.833333333333336</c:v>
                </c:pt>
                <c:pt idx="58">
                  <c:v>58.866666666666667</c:v>
                </c:pt>
                <c:pt idx="59">
                  <c:v>59.866666666666667</c:v>
                </c:pt>
                <c:pt idx="60">
                  <c:v>60.9</c:v>
                </c:pt>
                <c:pt idx="61">
                  <c:v>61.9</c:v>
                </c:pt>
                <c:pt idx="62">
                  <c:v>62.93333333333333</c:v>
                </c:pt>
                <c:pt idx="63">
                  <c:v>63.966666666666669</c:v>
                </c:pt>
                <c:pt idx="64">
                  <c:v>64.900000000000006</c:v>
                </c:pt>
                <c:pt idx="65">
                  <c:v>65.933333333333337</c:v>
                </c:pt>
                <c:pt idx="66">
                  <c:v>66.933333333333337</c:v>
                </c:pt>
                <c:pt idx="67">
                  <c:v>67.966666666666669</c:v>
                </c:pt>
                <c:pt idx="68">
                  <c:v>68.966666666666669</c:v>
                </c:pt>
              </c:numCache>
            </c:numRef>
          </c:xVal>
          <c:yVal>
            <c:numRef>
              <c:f>'Well_A-1'!$G$2:$G$70</c:f>
              <c:numCache>
                <c:formatCode>0</c:formatCode>
                <c:ptCount val="69"/>
                <c:pt idx="0">
                  <c:v>15468.504999999999</c:v>
                </c:pt>
                <c:pt idx="1">
                  <c:v>24186.651999999998</c:v>
                </c:pt>
                <c:pt idx="2">
                  <c:v>34158.847000000002</c:v>
                </c:pt>
                <c:pt idx="3">
                  <c:v>32855.891000000003</c:v>
                </c:pt>
                <c:pt idx="4">
                  <c:v>38101.913999999997</c:v>
                </c:pt>
                <c:pt idx="5">
                  <c:v>36734.659</c:v>
                </c:pt>
                <c:pt idx="6">
                  <c:v>36152.794000000002</c:v>
                </c:pt>
                <c:pt idx="7">
                  <c:v>34487.737999999998</c:v>
                </c:pt>
                <c:pt idx="8">
                  <c:v>34302.982616819398</c:v>
                </c:pt>
                <c:pt idx="9">
                  <c:v>35767.324999999997</c:v>
                </c:pt>
                <c:pt idx="10">
                  <c:v>33228.538999999997</c:v>
                </c:pt>
                <c:pt idx="11">
                  <c:v>30783.079000000002</c:v>
                </c:pt>
                <c:pt idx="12">
                  <c:v>29597.077000000001</c:v>
                </c:pt>
                <c:pt idx="13">
                  <c:v>28657.703000000001</c:v>
                </c:pt>
                <c:pt idx="14">
                  <c:v>31356.208999999999</c:v>
                </c:pt>
                <c:pt idx="15">
                  <c:v>27755.112000000001</c:v>
                </c:pt>
                <c:pt idx="16">
                  <c:v>28688.87</c:v>
                </c:pt>
                <c:pt idx="17">
                  <c:v>1032.6189999999999</c:v>
                </c:pt>
                <c:pt idx="18">
                  <c:v>29092.686000000002</c:v>
                </c:pt>
                <c:pt idx="19">
                  <c:v>29135.82</c:v>
                </c:pt>
                <c:pt idx="20">
                  <c:v>28882.33</c:v>
                </c:pt>
                <c:pt idx="21">
                  <c:v>28749.013999999999</c:v>
                </c:pt>
                <c:pt idx="22">
                  <c:v>27207.031999999999</c:v>
                </c:pt>
                <c:pt idx="23">
                  <c:v>25996.170999999998</c:v>
                </c:pt>
                <c:pt idx="24">
                  <c:v>25775.866000000002</c:v>
                </c:pt>
                <c:pt idx="25">
                  <c:v>26567.91</c:v>
                </c:pt>
                <c:pt idx="26">
                  <c:v>23764.544999999998</c:v>
                </c:pt>
                <c:pt idx="27">
                  <c:v>11515.85</c:v>
                </c:pt>
                <c:pt idx="28">
                  <c:v>8440.9189999999999</c:v>
                </c:pt>
                <c:pt idx="29">
                  <c:v>4729.6750000000002</c:v>
                </c:pt>
                <c:pt idx="30">
                  <c:v>4806.143</c:v>
                </c:pt>
                <c:pt idx="31">
                  <c:v>4471.7349999999997</c:v>
                </c:pt>
                <c:pt idx="32">
                  <c:v>4066.82</c:v>
                </c:pt>
                <c:pt idx="33">
                  <c:v>4395.6049999999996</c:v>
                </c:pt>
                <c:pt idx="34">
                  <c:v>4474.2929999999997</c:v>
                </c:pt>
                <c:pt idx="35">
                  <c:v>5123.7190000000001</c:v>
                </c:pt>
                <c:pt idx="36">
                  <c:v>4662.3109999999997</c:v>
                </c:pt>
                <c:pt idx="37">
                  <c:v>5162.4210000000003</c:v>
                </c:pt>
                <c:pt idx="38">
                  <c:v>6508.7280000000001</c:v>
                </c:pt>
                <c:pt idx="39">
                  <c:v>5978.2690000000002</c:v>
                </c:pt>
                <c:pt idx="40">
                  <c:v>6670.57</c:v>
                </c:pt>
                <c:pt idx="41">
                  <c:v>6109.7539999999999</c:v>
                </c:pt>
                <c:pt idx="42">
                  <c:v>5433.9430000000002</c:v>
                </c:pt>
                <c:pt idx="43">
                  <c:v>5942.0469999999996</c:v>
                </c:pt>
                <c:pt idx="44">
                  <c:v>7116.567</c:v>
                </c:pt>
                <c:pt idx="45">
                  <c:v>7031.59</c:v>
                </c:pt>
                <c:pt idx="46">
                  <c:v>7768.451</c:v>
                </c:pt>
                <c:pt idx="47">
                  <c:v>8925.33</c:v>
                </c:pt>
                <c:pt idx="48">
                  <c:v>8269.5040000000008</c:v>
                </c:pt>
                <c:pt idx="49">
                  <c:v>9167.9060000000009</c:v>
                </c:pt>
                <c:pt idx="50">
                  <c:v>10615.89</c:v>
                </c:pt>
                <c:pt idx="51">
                  <c:v>10346.300999999999</c:v>
                </c:pt>
                <c:pt idx="52">
                  <c:v>9884.9969999999994</c:v>
                </c:pt>
                <c:pt idx="53">
                  <c:v>8122.6019999999999</c:v>
                </c:pt>
                <c:pt idx="54">
                  <c:v>10157.803</c:v>
                </c:pt>
                <c:pt idx="55">
                  <c:v>10024.050999999999</c:v>
                </c:pt>
                <c:pt idx="56">
                  <c:v>8768.08</c:v>
                </c:pt>
                <c:pt idx="57">
                  <c:v>8762.2880000000005</c:v>
                </c:pt>
                <c:pt idx="58">
                  <c:v>7449.0820000000003</c:v>
                </c:pt>
                <c:pt idx="59">
                  <c:v>7039.8239999999996</c:v>
                </c:pt>
                <c:pt idx="60">
                  <c:v>6858.357</c:v>
                </c:pt>
                <c:pt idx="61">
                  <c:v>7273.9120000000003</c:v>
                </c:pt>
                <c:pt idx="62">
                  <c:v>6935.13</c:v>
                </c:pt>
                <c:pt idx="63">
                  <c:v>6670.6930000000002</c:v>
                </c:pt>
                <c:pt idx="64">
                  <c:v>7604.7939999999999</c:v>
                </c:pt>
                <c:pt idx="65">
                  <c:v>6749.2610000000004</c:v>
                </c:pt>
                <c:pt idx="66">
                  <c:v>7174.4030000000002</c:v>
                </c:pt>
                <c:pt idx="67">
                  <c:v>6462.5349999999999</c:v>
                </c:pt>
                <c:pt idx="68">
                  <c:v>6971.2569999999996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A3-41F8-A344-96C8C675CC3B}"/>
            </c:ext>
          </c:extLst>
        </c:ser>
        <c:ser>
          <c:idx val="0"/>
          <c:order val="1"/>
          <c:tx>
            <c:v>new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2.8889598142890029E-2"/>
                  <c:y val="-0.1191408438389938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 = 37836e-0.026x</a:t>
                    </a:r>
                    <a:br>
                      <a:rPr lang="en-US"/>
                    </a:br>
                    <a:r>
                      <a:rPr lang="en-US"/>
                      <a:t>R² = 0.6834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'Well_A-1'!$Y$56:$Y$70</c:f>
              <c:numCache>
                <c:formatCode>General</c:formatCode>
                <c:ptCount val="15"/>
                <c:pt idx="0">
                  <c:v>54.766666666666666</c:v>
                </c:pt>
                <c:pt idx="1">
                  <c:v>55.8</c:v>
                </c:pt>
                <c:pt idx="2">
                  <c:v>56.8</c:v>
                </c:pt>
                <c:pt idx="3">
                  <c:v>57.833333333333336</c:v>
                </c:pt>
                <c:pt idx="4">
                  <c:v>58.866666666666667</c:v>
                </c:pt>
                <c:pt idx="5">
                  <c:v>59.866666666666667</c:v>
                </c:pt>
                <c:pt idx="6">
                  <c:v>60.9</c:v>
                </c:pt>
                <c:pt idx="7">
                  <c:v>61.9</c:v>
                </c:pt>
                <c:pt idx="8">
                  <c:v>62.93333333333333</c:v>
                </c:pt>
                <c:pt idx="9">
                  <c:v>63.966666666666669</c:v>
                </c:pt>
                <c:pt idx="10">
                  <c:v>64.900000000000006</c:v>
                </c:pt>
                <c:pt idx="11">
                  <c:v>65.933333333333337</c:v>
                </c:pt>
                <c:pt idx="12">
                  <c:v>66.933333333333337</c:v>
                </c:pt>
                <c:pt idx="13">
                  <c:v>67.966666666666669</c:v>
                </c:pt>
                <c:pt idx="14">
                  <c:v>68.966666666666669</c:v>
                </c:pt>
              </c:numCache>
            </c:numRef>
          </c:xVal>
          <c:yVal>
            <c:numRef>
              <c:f>'Well_A-1'!$G$56:$G$70</c:f>
              <c:numCache>
                <c:formatCode>0</c:formatCode>
                <c:ptCount val="15"/>
                <c:pt idx="0">
                  <c:v>10157.803</c:v>
                </c:pt>
                <c:pt idx="1">
                  <c:v>10024.050999999999</c:v>
                </c:pt>
                <c:pt idx="2">
                  <c:v>8768.08</c:v>
                </c:pt>
                <c:pt idx="3">
                  <c:v>8762.2880000000005</c:v>
                </c:pt>
                <c:pt idx="4">
                  <c:v>7449.0820000000003</c:v>
                </c:pt>
                <c:pt idx="5">
                  <c:v>7039.8239999999996</c:v>
                </c:pt>
                <c:pt idx="6">
                  <c:v>6858.357</c:v>
                </c:pt>
                <c:pt idx="7">
                  <c:v>7273.9120000000003</c:v>
                </c:pt>
                <c:pt idx="8">
                  <c:v>6935.13</c:v>
                </c:pt>
                <c:pt idx="9">
                  <c:v>6670.6930000000002</c:v>
                </c:pt>
                <c:pt idx="10">
                  <c:v>7604.7939999999999</c:v>
                </c:pt>
                <c:pt idx="11">
                  <c:v>6749.2610000000004</c:v>
                </c:pt>
                <c:pt idx="12">
                  <c:v>7174.4030000000002</c:v>
                </c:pt>
                <c:pt idx="13">
                  <c:v>6462.5349999999999</c:v>
                </c:pt>
                <c:pt idx="14">
                  <c:v>6971.2569999999996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D7-4A03-B13A-372D139F654C}"/>
            </c:ext>
          </c:extLst>
        </c:ser>
        <c:ser>
          <c:idx val="2"/>
          <c:order val="2"/>
          <c:tx>
            <c:v>EXPONENTIAL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'Well_A-1'!$Y$71:$Y$276</c:f>
              <c:numCache>
                <c:formatCode>General</c:formatCode>
                <c:ptCount val="206"/>
                <c:pt idx="0">
                  <c:v>69</c:v>
                </c:pt>
                <c:pt idx="1">
                  <c:v>70</c:v>
                </c:pt>
                <c:pt idx="2">
                  <c:v>71</c:v>
                </c:pt>
                <c:pt idx="3">
                  <c:v>72</c:v>
                </c:pt>
                <c:pt idx="4">
                  <c:v>73</c:v>
                </c:pt>
                <c:pt idx="5">
                  <c:v>74</c:v>
                </c:pt>
                <c:pt idx="6">
                  <c:v>75</c:v>
                </c:pt>
                <c:pt idx="7">
                  <c:v>76</c:v>
                </c:pt>
                <c:pt idx="8">
                  <c:v>77</c:v>
                </c:pt>
                <c:pt idx="9">
                  <c:v>78</c:v>
                </c:pt>
                <c:pt idx="10">
                  <c:v>79</c:v>
                </c:pt>
                <c:pt idx="11">
                  <c:v>80</c:v>
                </c:pt>
                <c:pt idx="12">
                  <c:v>81</c:v>
                </c:pt>
                <c:pt idx="13">
                  <c:v>82</c:v>
                </c:pt>
                <c:pt idx="14">
                  <c:v>83</c:v>
                </c:pt>
                <c:pt idx="15">
                  <c:v>84</c:v>
                </c:pt>
                <c:pt idx="16">
                  <c:v>85</c:v>
                </c:pt>
                <c:pt idx="17">
                  <c:v>86</c:v>
                </c:pt>
                <c:pt idx="18">
                  <c:v>87</c:v>
                </c:pt>
                <c:pt idx="19">
                  <c:v>88</c:v>
                </c:pt>
                <c:pt idx="20">
                  <c:v>89</c:v>
                </c:pt>
                <c:pt idx="21">
                  <c:v>90</c:v>
                </c:pt>
                <c:pt idx="22">
                  <c:v>91</c:v>
                </c:pt>
                <c:pt idx="23">
                  <c:v>92</c:v>
                </c:pt>
                <c:pt idx="24">
                  <c:v>93</c:v>
                </c:pt>
                <c:pt idx="25">
                  <c:v>94</c:v>
                </c:pt>
                <c:pt idx="26">
                  <c:v>95</c:v>
                </c:pt>
                <c:pt idx="27">
                  <c:v>96</c:v>
                </c:pt>
                <c:pt idx="28">
                  <c:v>97</c:v>
                </c:pt>
                <c:pt idx="29">
                  <c:v>98</c:v>
                </c:pt>
                <c:pt idx="30">
                  <c:v>99</c:v>
                </c:pt>
                <c:pt idx="31">
                  <c:v>100</c:v>
                </c:pt>
                <c:pt idx="32">
                  <c:v>101</c:v>
                </c:pt>
                <c:pt idx="33">
                  <c:v>102</c:v>
                </c:pt>
                <c:pt idx="34">
                  <c:v>103</c:v>
                </c:pt>
                <c:pt idx="35">
                  <c:v>104</c:v>
                </c:pt>
                <c:pt idx="36">
                  <c:v>105</c:v>
                </c:pt>
                <c:pt idx="37">
                  <c:v>106</c:v>
                </c:pt>
                <c:pt idx="38">
                  <c:v>107</c:v>
                </c:pt>
                <c:pt idx="39">
                  <c:v>108</c:v>
                </c:pt>
                <c:pt idx="40">
                  <c:v>109</c:v>
                </c:pt>
                <c:pt idx="41">
                  <c:v>110</c:v>
                </c:pt>
                <c:pt idx="42">
                  <c:v>111</c:v>
                </c:pt>
                <c:pt idx="43">
                  <c:v>112</c:v>
                </c:pt>
                <c:pt idx="44">
                  <c:v>113</c:v>
                </c:pt>
                <c:pt idx="45">
                  <c:v>114</c:v>
                </c:pt>
                <c:pt idx="46">
                  <c:v>115</c:v>
                </c:pt>
                <c:pt idx="47">
                  <c:v>116</c:v>
                </c:pt>
                <c:pt idx="48">
                  <c:v>117</c:v>
                </c:pt>
                <c:pt idx="49">
                  <c:v>118</c:v>
                </c:pt>
                <c:pt idx="50">
                  <c:v>119</c:v>
                </c:pt>
                <c:pt idx="51">
                  <c:v>120</c:v>
                </c:pt>
                <c:pt idx="52">
                  <c:v>121</c:v>
                </c:pt>
                <c:pt idx="53">
                  <c:v>122</c:v>
                </c:pt>
                <c:pt idx="54">
                  <c:v>123</c:v>
                </c:pt>
                <c:pt idx="55">
                  <c:v>124</c:v>
                </c:pt>
                <c:pt idx="56">
                  <c:v>125</c:v>
                </c:pt>
                <c:pt idx="57">
                  <c:v>126</c:v>
                </c:pt>
                <c:pt idx="58">
                  <c:v>127</c:v>
                </c:pt>
                <c:pt idx="59">
                  <c:v>128</c:v>
                </c:pt>
                <c:pt idx="60">
                  <c:v>129</c:v>
                </c:pt>
                <c:pt idx="61">
                  <c:v>130</c:v>
                </c:pt>
                <c:pt idx="62">
                  <c:v>131</c:v>
                </c:pt>
                <c:pt idx="63">
                  <c:v>132</c:v>
                </c:pt>
                <c:pt idx="64">
                  <c:v>133</c:v>
                </c:pt>
                <c:pt idx="65">
                  <c:v>134</c:v>
                </c:pt>
                <c:pt idx="66">
                  <c:v>135</c:v>
                </c:pt>
                <c:pt idx="67">
                  <c:v>136</c:v>
                </c:pt>
                <c:pt idx="68">
                  <c:v>137</c:v>
                </c:pt>
                <c:pt idx="69">
                  <c:v>138</c:v>
                </c:pt>
                <c:pt idx="70">
                  <c:v>139</c:v>
                </c:pt>
                <c:pt idx="71">
                  <c:v>140</c:v>
                </c:pt>
                <c:pt idx="72">
                  <c:v>141</c:v>
                </c:pt>
                <c:pt idx="73">
                  <c:v>142</c:v>
                </c:pt>
                <c:pt idx="74">
                  <c:v>143</c:v>
                </c:pt>
                <c:pt idx="75">
                  <c:v>144</c:v>
                </c:pt>
                <c:pt idx="76">
                  <c:v>145</c:v>
                </c:pt>
                <c:pt idx="77">
                  <c:v>146</c:v>
                </c:pt>
                <c:pt idx="78">
                  <c:v>147</c:v>
                </c:pt>
                <c:pt idx="79">
                  <c:v>148</c:v>
                </c:pt>
                <c:pt idx="80">
                  <c:v>149</c:v>
                </c:pt>
                <c:pt idx="81">
                  <c:v>150</c:v>
                </c:pt>
                <c:pt idx="82">
                  <c:v>151</c:v>
                </c:pt>
                <c:pt idx="83">
                  <c:v>152</c:v>
                </c:pt>
                <c:pt idx="84">
                  <c:v>153</c:v>
                </c:pt>
                <c:pt idx="85">
                  <c:v>154</c:v>
                </c:pt>
                <c:pt idx="86">
                  <c:v>155</c:v>
                </c:pt>
                <c:pt idx="87">
                  <c:v>156</c:v>
                </c:pt>
                <c:pt idx="88">
                  <c:v>157</c:v>
                </c:pt>
                <c:pt idx="89">
                  <c:v>158</c:v>
                </c:pt>
                <c:pt idx="90">
                  <c:v>159</c:v>
                </c:pt>
                <c:pt idx="91">
                  <c:v>160</c:v>
                </c:pt>
                <c:pt idx="92">
                  <c:v>161</c:v>
                </c:pt>
                <c:pt idx="93">
                  <c:v>162</c:v>
                </c:pt>
                <c:pt idx="94">
                  <c:v>163</c:v>
                </c:pt>
                <c:pt idx="95">
                  <c:v>164</c:v>
                </c:pt>
                <c:pt idx="96">
                  <c:v>165</c:v>
                </c:pt>
                <c:pt idx="97">
                  <c:v>166</c:v>
                </c:pt>
                <c:pt idx="98">
                  <c:v>167</c:v>
                </c:pt>
                <c:pt idx="99">
                  <c:v>168</c:v>
                </c:pt>
                <c:pt idx="100">
                  <c:v>169</c:v>
                </c:pt>
                <c:pt idx="101">
                  <c:v>170</c:v>
                </c:pt>
                <c:pt idx="102">
                  <c:v>171</c:v>
                </c:pt>
                <c:pt idx="103">
                  <c:v>172</c:v>
                </c:pt>
                <c:pt idx="104">
                  <c:v>173</c:v>
                </c:pt>
                <c:pt idx="105">
                  <c:v>174</c:v>
                </c:pt>
                <c:pt idx="106">
                  <c:v>175</c:v>
                </c:pt>
                <c:pt idx="107">
                  <c:v>176</c:v>
                </c:pt>
                <c:pt idx="108">
                  <c:v>177</c:v>
                </c:pt>
                <c:pt idx="109">
                  <c:v>178</c:v>
                </c:pt>
                <c:pt idx="110">
                  <c:v>179</c:v>
                </c:pt>
                <c:pt idx="111">
                  <c:v>180</c:v>
                </c:pt>
                <c:pt idx="112">
                  <c:v>181</c:v>
                </c:pt>
                <c:pt idx="113">
                  <c:v>182</c:v>
                </c:pt>
                <c:pt idx="114">
                  <c:v>183</c:v>
                </c:pt>
                <c:pt idx="115">
                  <c:v>184</c:v>
                </c:pt>
                <c:pt idx="116">
                  <c:v>185</c:v>
                </c:pt>
                <c:pt idx="117">
                  <c:v>186</c:v>
                </c:pt>
                <c:pt idx="118">
                  <c:v>187</c:v>
                </c:pt>
                <c:pt idx="119">
                  <c:v>188</c:v>
                </c:pt>
                <c:pt idx="120">
                  <c:v>189</c:v>
                </c:pt>
                <c:pt idx="121">
                  <c:v>190</c:v>
                </c:pt>
                <c:pt idx="122">
                  <c:v>191</c:v>
                </c:pt>
                <c:pt idx="123">
                  <c:v>192</c:v>
                </c:pt>
                <c:pt idx="124">
                  <c:v>193</c:v>
                </c:pt>
              </c:numCache>
            </c:numRef>
          </c:xVal>
          <c:yVal>
            <c:numRef>
              <c:f>'Well_A-1'!$AC$71:$AC$276</c:f>
              <c:numCache>
                <c:formatCode>General</c:formatCode>
                <c:ptCount val="206"/>
                <c:pt idx="0">
                  <c:v>6291.8870291287758</c:v>
                </c:pt>
                <c:pt idx="1">
                  <c:v>6130.406312334314</c:v>
                </c:pt>
                <c:pt idx="2">
                  <c:v>5973.0699836662961</c:v>
                </c:pt>
                <c:pt idx="3">
                  <c:v>5819.7716777748319</c:v>
                </c:pt>
                <c:pt idx="4">
                  <c:v>5670.4077591672012</c:v>
                </c:pt>
                <c:pt idx="5">
                  <c:v>5524.8772521463225</c:v>
                </c:pt>
                <c:pt idx="6">
                  <c:v>5383.081772547328</c:v>
                </c:pt>
                <c:pt idx="7">
                  <c:v>5244.9254612261257</c:v>
                </c:pt>
                <c:pt idx="8">
                  <c:v>5110.314919254969</c:v>
                </c:pt>
                <c:pt idx="9">
                  <c:v>4979.1591447812179</c:v>
                </c:pt>
                <c:pt idx="10">
                  <c:v>4851.3694715066331</c:v>
                </c:pt>
                <c:pt idx="11">
                  <c:v>4726.8595087455642</c:v>
                </c:pt>
                <c:pt idx="12">
                  <c:v>4605.5450830215786</c:v>
                </c:pt>
                <c:pt idx="13">
                  <c:v>4487.3441811629646</c:v>
                </c:pt>
                <c:pt idx="14">
                  <c:v>4372.1768948587178</c:v>
                </c:pt>
                <c:pt idx="15">
                  <c:v>4259.9653666374725</c:v>
                </c:pt>
                <c:pt idx="16">
                  <c:v>4150.6337372328899</c:v>
                </c:pt>
                <c:pt idx="17">
                  <c:v>4044.1080942999065</c:v>
                </c:pt>
                <c:pt idx="18">
                  <c:v>3940.3164224471666</c:v>
                </c:pt>
                <c:pt idx="19">
                  <c:v>3839.1885545518876</c:v>
                </c:pt>
                <c:pt idx="20">
                  <c:v>3740.6561243241977</c:v>
                </c:pt>
                <c:pt idx="21">
                  <c:v>3644.6525200889346</c:v>
                </c:pt>
                <c:pt idx="22">
                  <c:v>3551.1128397536049</c:v>
                </c:pt>
                <c:pt idx="23">
                  <c:v>3459.9738469321096</c:v>
                </c:pt>
                <c:pt idx="24">
                  <c:v>3371.173928194527</c:v>
                </c:pt>
                <c:pt idx="25">
                  <c:v>3284.6530514140932</c:v>
                </c:pt>
                <c:pt idx="26">
                  <c:v>3200.3527251832033</c:v>
                </c:pt>
                <c:pt idx="27">
                  <c:v>3118.2159592709804</c:v>
                </c:pt>
                <c:pt idx="28">
                  <c:v>3038.1872260957234</c:v>
                </c:pt>
                <c:pt idx="29">
                  <c:v>2960.2124231861335</c:v>
                </c:pt>
                <c:pt idx="30">
                  <c:v>2884.2388366059949</c:v>
                </c:pt>
                <c:pt idx="31">
                  <c:v>2810.2151053175367</c:v>
                </c:pt>
                <c:pt idx="32">
                  <c:v>2738.0911864594232</c:v>
                </c:pt>
                <c:pt idx="33">
                  <c:v>2667.8183215158692</c:v>
                </c:pt>
                <c:pt idx="34">
                  <c:v>2599.349003354027</c:v>
                </c:pt>
                <c:pt idx="35">
                  <c:v>2532.6369441073598</c:v>
                </c:pt>
                <c:pt idx="36">
                  <c:v>2467.6370438832732</c:v>
                </c:pt>
                <c:pt idx="37">
                  <c:v>2404.3053602738787</c:v>
                </c:pt>
                <c:pt idx="38">
                  <c:v>2342.5990786492453</c:v>
                </c:pt>
                <c:pt idx="39">
                  <c:v>2282.4764832130868</c:v>
                </c:pt>
                <c:pt idx="40">
                  <c:v>2223.8969288012854</c:v>
                </c:pt>
                <c:pt idx="41">
                  <c:v>2166.8208134042229</c:v>
                </c:pt>
                <c:pt idx="42">
                  <c:v>2111.2095513943073</c:v>
                </c:pt>
                <c:pt idx="43">
                  <c:v>2057.025547440619</c:v>
                </c:pt>
                <c:pt idx="44">
                  <c:v>2004.2321710930428</c:v>
                </c:pt>
                <c:pt idx="45">
                  <c:v>1952.7937320186775</c:v>
                </c:pt>
                <c:pt idx="46">
                  <c:v>1902.6754558738226</c:v>
                </c:pt>
                <c:pt idx="47">
                  <c:v>1853.8434607951885</c:v>
                </c:pt>
                <c:pt idx="48">
                  <c:v>1806.2647344944744</c:v>
                </c:pt>
                <c:pt idx="49">
                  <c:v>1759.907111940797</c:v>
                </c:pt>
                <c:pt idx="50">
                  <c:v>1714.739253615912</c:v>
                </c:pt>
                <c:pt idx="51">
                  <c:v>1670.7306243274998</c:v>
                </c:pt>
                <c:pt idx="52">
                  <c:v>1627.851472566216</c:v>
                </c:pt>
                <c:pt idx="53">
                  <c:v>1586.0728103925389</c:v>
                </c:pt>
                <c:pt idx="54">
                  <c:v>1545.3663938398149</c:v>
                </c:pt>
                <c:pt idx="55">
                  <c:v>1505.7047038202661</c:v>
                </c:pt>
                <c:pt idx="56">
                  <c:v>1467.0609275210338</c:v>
                </c:pt>
                <c:pt idx="57">
                  <c:v>1429.4089402777017</c:v>
                </c:pt>
                <c:pt idx="58">
                  <c:v>1392.7232879130217</c:v>
                </c:pt>
                <c:pt idx="59">
                  <c:v>1356.9791695289261</c:v>
                </c:pt>
                <c:pt idx="60">
                  <c:v>1322.1524207401728</c:v>
                </c:pt>
                <c:pt idx="61">
                  <c:v>1288.2194973383007</c:v>
                </c:pt>
                <c:pt idx="62">
                  <c:v>1255.1574593748517</c:v>
                </c:pt>
                <c:pt idx="63">
                  <c:v>1222.9439556530858</c:v>
                </c:pt>
                <c:pt idx="64">
                  <c:v>1191.5572086177281</c:v>
                </c:pt>
                <c:pt idx="65">
                  <c:v>1160.9759996325049</c:v>
                </c:pt>
                <c:pt idx="66">
                  <c:v>1131.1796546355442</c:v>
                </c:pt>
                <c:pt idx="67">
                  <c:v>1102.1480301629169</c:v>
                </c:pt>
                <c:pt idx="68">
                  <c:v>1073.8614997308925</c:v>
                </c:pt>
                <c:pt idx="69">
                  <c:v>1046.3009405676851</c:v>
                </c:pt>
                <c:pt idx="70">
                  <c:v>1019.447720685734</c:v>
                </c:pt>
                <c:pt idx="71">
                  <c:v>993.28368628577005</c:v>
                </c:pt>
                <c:pt idx="72">
                  <c:v>967.7911494841544</c:v>
                </c:pt>
                <c:pt idx="73">
                  <c:v>942.95287635519821</c:v>
                </c:pt>
                <c:pt idx="74">
                  <c:v>918.75207528036981</c:v>
                </c:pt>
                <c:pt idx="75">
                  <c:v>895.17238559652378</c:v>
                </c:pt>
                <c:pt idx="76">
                  <c:v>872.19786653546669</c:v>
                </c:pt>
                <c:pt idx="77">
                  <c:v>849.81298644739411</c:v>
                </c:pt>
                <c:pt idx="78">
                  <c:v>828.00261230090075</c:v>
                </c:pt>
                <c:pt idx="79">
                  <c:v>806.75199945247653</c:v>
                </c:pt>
                <c:pt idx="80">
                  <c:v>786.0467816785665</c:v>
                </c:pt>
                <c:pt idx="81">
                  <c:v>765.872961463455</c:v>
                </c:pt>
                <c:pt idx="82">
                  <c:v>746.21690053641373</c:v>
                </c:pt>
                <c:pt idx="83">
                  <c:v>727.06531065170964</c:v>
                </c:pt>
                <c:pt idx="84">
                  <c:v>708.40524460524682</c:v>
                </c:pt>
                <c:pt idx="85">
                  <c:v>690.22408748176133</c:v>
                </c:pt>
                <c:pt idx="86">
                  <c:v>672.50954812665861</c:v>
                </c:pt>
                <c:pt idx="87">
                  <c:v>655.24965083672771</c:v>
                </c:pt>
                <c:pt idx="88">
                  <c:v>638.43272726410487</c:v>
                </c:pt>
                <c:pt idx="89">
                  <c:v>622.04740852802991</c:v>
                </c:pt>
                <c:pt idx="90">
                  <c:v>606.08261752904843</c:v>
                </c:pt>
                <c:pt idx="91">
                  <c:v>590.52756146047034</c:v>
                </c:pt>
                <c:pt idx="92">
                  <c:v>575.37172451202377</c:v>
                </c:pt>
                <c:pt idx="93">
                  <c:v>560.60486076076336</c:v>
                </c:pt>
                <c:pt idx="94">
                  <c:v>546.216987244439</c:v>
                </c:pt>
                <c:pt idx="95">
                  <c:v>532.19837721263116</c:v>
                </c:pt>
                <c:pt idx="96">
                  <c:v>518.53955355110008</c:v>
                </c:pt>
                <c:pt idx="97">
                  <c:v>505.23128237489203</c:v>
                </c:pt>
                <c:pt idx="98">
                  <c:v>492.26456678588386</c:v>
                </c:pt>
                <c:pt idx="99">
                  <c:v>479.6306407905364</c:v>
                </c:pt>
                <c:pt idx="100">
                  <c:v>467.32096337374884</c:v>
                </c:pt>
                <c:pt idx="101">
                  <c:v>455.32721272480876</c:v>
                </c:pt>
                <c:pt idx="102">
                  <c:v>443.64128061152866</c:v>
                </c:pt>
                <c:pt idx="103">
                  <c:v>432.25526689877415</c:v>
                </c:pt>
                <c:pt idx="104">
                  <c:v>421.16147420767072</c:v>
                </c:pt>
                <c:pt idx="105">
                  <c:v>410.35240271188394</c:v>
                </c:pt>
                <c:pt idx="106">
                  <c:v>399.82074506744902</c:v>
                </c:pt>
                <c:pt idx="107">
                  <c:v>389.55938147272997</c:v>
                </c:pt>
                <c:pt idx="108">
                  <c:v>379.56137485516138</c:v>
                </c:pt>
                <c:pt idx="109">
                  <c:v>369.81996618152357</c:v>
                </c:pt>
                <c:pt idx="110">
                  <c:v>360.32856988857941</c:v>
                </c:pt>
                <c:pt idx="111">
                  <c:v>351.08076943098166</c:v>
                </c:pt>
                <c:pt idx="112">
                  <c:v>342.07031294344421</c:v>
                </c:pt>
                <c:pt idx="113">
                  <c:v>333.29110901424343</c:v>
                </c:pt>
                <c:pt idx="114">
                  <c:v>324.73722256719236</c:v>
                </c:pt>
                <c:pt idx="115">
                  <c:v>316.40287084930179</c:v>
                </c:pt>
                <c:pt idx="116">
                  <c:v>308.28241952142008</c:v>
                </c:pt>
                <c:pt idx="117">
                  <c:v>300.37037884920494</c:v>
                </c:pt>
                <c:pt idx="118">
                  <c:v>292.66139999185384</c:v>
                </c:pt>
                <c:pt idx="119">
                  <c:v>285.15027138608502</c:v>
                </c:pt>
                <c:pt idx="120">
                  <c:v>277.83191522292037</c:v>
                </c:pt>
                <c:pt idx="121">
                  <c:v>270.70138401489464</c:v>
                </c:pt>
                <c:pt idx="122">
                  <c:v>263.75385725136465</c:v>
                </c:pt>
                <c:pt idx="123">
                  <c:v>256.98463813966174</c:v>
                </c:pt>
                <c:pt idx="124">
                  <c:v>250.38915042987938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D7-4A03-B13A-372D139F6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743104"/>
        <c:axId val="1243744544"/>
      </c:scatterChart>
      <c:valAx>
        <c:axId val="124374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44544"/>
        <c:crosses val="autoZero"/>
        <c:crossBetween val="midCat"/>
      </c:valAx>
      <c:valAx>
        <c:axId val="12437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FLOW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43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99759405074366E-2"/>
          <c:y val="9.7856204372393452E-2"/>
          <c:w val="0.88073862642169731"/>
          <c:h val="0.83653142014611082"/>
        </c:manualLayout>
      </c:layout>
      <c:scatterChart>
        <c:scatterStyle val="smoothMarker"/>
        <c:varyColors val="0"/>
        <c:ser>
          <c:idx val="1"/>
          <c:order val="1"/>
          <c:tx>
            <c:v>WOR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'Well_A-2'!$O$1:$O$67</c:f>
              <c:strCache>
                <c:ptCount val="67"/>
                <c:pt idx="0">
                  <c:v>TIME</c:v>
                </c:pt>
                <c:pt idx="1">
                  <c:v>0</c:v>
                </c:pt>
                <c:pt idx="2">
                  <c:v>29</c:v>
                </c:pt>
                <c:pt idx="3">
                  <c:v>60</c:v>
                </c:pt>
                <c:pt idx="4">
                  <c:v>90</c:v>
                </c:pt>
                <c:pt idx="5">
                  <c:v>121</c:v>
                </c:pt>
                <c:pt idx="6">
                  <c:v>151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304</c:v>
                </c:pt>
                <c:pt idx="12">
                  <c:v>335</c:v>
                </c:pt>
                <c:pt idx="13">
                  <c:v>366</c:v>
                </c:pt>
                <c:pt idx="14">
                  <c:v>394</c:v>
                </c:pt>
                <c:pt idx="15">
                  <c:v>425</c:v>
                </c:pt>
                <c:pt idx="16">
                  <c:v>455</c:v>
                </c:pt>
                <c:pt idx="17">
                  <c:v>486</c:v>
                </c:pt>
                <c:pt idx="18">
                  <c:v>516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669</c:v>
                </c:pt>
                <c:pt idx="24">
                  <c:v>700</c:v>
                </c:pt>
                <c:pt idx="25">
                  <c:v>731</c:v>
                </c:pt>
                <c:pt idx="26">
                  <c:v>759</c:v>
                </c:pt>
                <c:pt idx="27">
                  <c:v>790</c:v>
                </c:pt>
                <c:pt idx="28">
                  <c:v>820</c:v>
                </c:pt>
                <c:pt idx="29">
                  <c:v>851</c:v>
                </c:pt>
                <c:pt idx="30">
                  <c:v>881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1034</c:v>
                </c:pt>
                <c:pt idx="36">
                  <c:v>1065</c:v>
                </c:pt>
                <c:pt idx="37">
                  <c:v>1096</c:v>
                </c:pt>
                <c:pt idx="38">
                  <c:v>1124</c:v>
                </c:pt>
                <c:pt idx="39">
                  <c:v>1155</c:v>
                </c:pt>
                <c:pt idx="40">
                  <c:v>1185</c:v>
                </c:pt>
                <c:pt idx="41">
                  <c:v>1216</c:v>
                </c:pt>
                <c:pt idx="42">
                  <c:v>1246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1399</c:v>
                </c:pt>
                <c:pt idx="48">
                  <c:v>1430</c:v>
                </c:pt>
                <c:pt idx="49">
                  <c:v>1461</c:v>
                </c:pt>
                <c:pt idx="50">
                  <c:v>1490</c:v>
                </c:pt>
                <c:pt idx="51">
                  <c:v>1521</c:v>
                </c:pt>
                <c:pt idx="52">
                  <c:v>1551</c:v>
                </c:pt>
                <c:pt idx="53">
                  <c:v>1582</c:v>
                </c:pt>
                <c:pt idx="54">
                  <c:v>1612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1765</c:v>
                </c:pt>
                <c:pt idx="60">
                  <c:v>1796</c:v>
                </c:pt>
                <c:pt idx="61">
                  <c:v>1827</c:v>
                </c:pt>
                <c:pt idx="62">
                  <c:v>1855</c:v>
                </c:pt>
                <c:pt idx="63">
                  <c:v>1886</c:v>
                </c:pt>
                <c:pt idx="64">
                  <c:v>1916</c:v>
                </c:pt>
                <c:pt idx="65">
                  <c:v>1947</c:v>
                </c:pt>
                <c:pt idx="66">
                  <c:v>1977</c:v>
                </c:pt>
              </c:strCache>
            </c:strRef>
          </c:xVal>
          <c:yVal>
            <c:numRef>
              <c:f>'Well_A-2'!$P$1:$P$67</c:f>
              <c:numCache>
                <c:formatCode>General</c:formatCode>
                <c:ptCount val="67"/>
                <c:pt idx="0">
                  <c:v>0</c:v>
                </c:pt>
                <c:pt idx="1">
                  <c:v>0.15188282025819264</c:v>
                </c:pt>
                <c:pt idx="2">
                  <c:v>0.13777018798224974</c:v>
                </c:pt>
                <c:pt idx="3">
                  <c:v>0.15201591674288797</c:v>
                </c:pt>
                <c:pt idx="4">
                  <c:v>6.5892240409383934E-2</c:v>
                </c:pt>
                <c:pt idx="5">
                  <c:v>3.1302428875332362E-2</c:v>
                </c:pt>
                <c:pt idx="6">
                  <c:v>2.6565382584598993E-2</c:v>
                </c:pt>
                <c:pt idx="7">
                  <c:v>2.6458247594675445E-2</c:v>
                </c:pt>
                <c:pt idx="8">
                  <c:v>3.4036939721796687E-2</c:v>
                </c:pt>
                <c:pt idx="9">
                  <c:v>4.3945553186914801E-2</c:v>
                </c:pt>
                <c:pt idx="10">
                  <c:v>3.2662424549256081E-2</c:v>
                </c:pt>
                <c:pt idx="11">
                  <c:v>2.8646218067295882E-2</c:v>
                </c:pt>
                <c:pt idx="12">
                  <c:v>2.9972986384727521E-2</c:v>
                </c:pt>
                <c:pt idx="13">
                  <c:v>1.5240559853063284E-2</c:v>
                </c:pt>
                <c:pt idx="14">
                  <c:v>8.4329468766797103E-2</c:v>
                </c:pt>
                <c:pt idx="15">
                  <c:v>2.5104397000723783E-2</c:v>
                </c:pt>
                <c:pt idx="16">
                  <c:v>1.0336498028504212E-2</c:v>
                </c:pt>
                <c:pt idx="17">
                  <c:v>2.0345550942040987E-2</c:v>
                </c:pt>
                <c:pt idx="18">
                  <c:v>3.3438195897401879E-2</c:v>
                </c:pt>
                <c:pt idx="19">
                  <c:v>2.7641194782051903E-2</c:v>
                </c:pt>
                <c:pt idx="20">
                  <c:v>3.6615092988417114E-2</c:v>
                </c:pt>
                <c:pt idx="21">
                  <c:v>3.5009788679613081E-2</c:v>
                </c:pt>
                <c:pt idx="22">
                  <c:v>3.8005541067242916E-2</c:v>
                </c:pt>
                <c:pt idx="23">
                  <c:v>3.5577344930639063E-2</c:v>
                </c:pt>
                <c:pt idx="24">
                  <c:v>4.9047706702869266E-2</c:v>
                </c:pt>
                <c:pt idx="25">
                  <c:v>0.28432474412408693</c:v>
                </c:pt>
                <c:pt idx="26">
                  <c:v>0.40174919530161357</c:v>
                </c:pt>
                <c:pt idx="27">
                  <c:v>0.37076453936706227</c:v>
                </c:pt>
                <c:pt idx="28">
                  <c:v>0.46368258722240963</c:v>
                </c:pt>
                <c:pt idx="29">
                  <c:v>0.55152765021711825</c:v>
                </c:pt>
                <c:pt idx="30">
                  <c:v>0.79364633539769236</c:v>
                </c:pt>
                <c:pt idx="31">
                  <c:v>0.91483973917463313</c:v>
                </c:pt>
                <c:pt idx="32">
                  <c:v>0.78020227813997312</c:v>
                </c:pt>
                <c:pt idx="33">
                  <c:v>0.83342454881114258</c:v>
                </c:pt>
                <c:pt idx="34">
                  <c:v>0.75290977396797398</c:v>
                </c:pt>
                <c:pt idx="35">
                  <c:v>1.0369613737030299</c:v>
                </c:pt>
                <c:pt idx="36">
                  <c:v>1.0727870621811155</c:v>
                </c:pt>
                <c:pt idx="37">
                  <c:v>1.200991609579368</c:v>
                </c:pt>
                <c:pt idx="38">
                  <c:v>1.314559305985231</c:v>
                </c:pt>
                <c:pt idx="39">
                  <c:v>1.220438122595249</c:v>
                </c:pt>
                <c:pt idx="40">
                  <c:v>1.2212714921139869</c:v>
                </c:pt>
                <c:pt idx="41">
                  <c:v>1.6551883593359709</c:v>
                </c:pt>
                <c:pt idx="42">
                  <c:v>1.2920256316190015</c:v>
                </c:pt>
                <c:pt idx="43">
                  <c:v>1.3690906169792181</c:v>
                </c:pt>
                <c:pt idx="44">
                  <c:v>1.0904920744041393</c:v>
                </c:pt>
                <c:pt idx="45">
                  <c:v>1.2744743959469313</c:v>
                </c:pt>
                <c:pt idx="46">
                  <c:v>1.2150284248722816</c:v>
                </c:pt>
                <c:pt idx="47">
                  <c:v>0.9741470842234321</c:v>
                </c:pt>
                <c:pt idx="48">
                  <c:v>1.4404065770983467</c:v>
                </c:pt>
                <c:pt idx="49">
                  <c:v>1.3683135346121711</c:v>
                </c:pt>
                <c:pt idx="50">
                  <c:v>1.6019461266952981</c:v>
                </c:pt>
                <c:pt idx="51">
                  <c:v>1.7575395939210596</c:v>
                </c:pt>
                <c:pt idx="52">
                  <c:v>1.4489964586974073</c:v>
                </c:pt>
                <c:pt idx="53">
                  <c:v>1.9332744992736088</c:v>
                </c:pt>
                <c:pt idx="54">
                  <c:v>2.6602629241028395</c:v>
                </c:pt>
                <c:pt idx="55">
                  <c:v>2.5247042791570369</c:v>
                </c:pt>
                <c:pt idx="56">
                  <c:v>2.4004376689418656</c:v>
                </c:pt>
                <c:pt idx="57">
                  <c:v>2.4814883417780225</c:v>
                </c:pt>
                <c:pt idx="58">
                  <c:v>2.4939383278635332</c:v>
                </c:pt>
                <c:pt idx="59">
                  <c:v>2.3115944499164089</c:v>
                </c:pt>
                <c:pt idx="60">
                  <c:v>2.7757079749770499</c:v>
                </c:pt>
                <c:pt idx="61">
                  <c:v>2.8552281523200023</c:v>
                </c:pt>
                <c:pt idx="62">
                  <c:v>2.9678253846681208</c:v>
                </c:pt>
                <c:pt idx="63">
                  <c:v>2.8932507287567883</c:v>
                </c:pt>
                <c:pt idx="64">
                  <c:v>2.9297936983210215</c:v>
                </c:pt>
                <c:pt idx="65">
                  <c:v>3.5552217671551709</c:v>
                </c:pt>
                <c:pt idx="66">
                  <c:v>3.6888216956458466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A2-405A-98E9-87874E578D53}"/>
            </c:ext>
          </c:extLst>
        </c:ser>
        <c:ser>
          <c:idx val="2"/>
          <c:order val="2"/>
          <c:tx>
            <c:v>WOR'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strRef>
              <c:f>'Well_A-2'!$O$1:$O$67</c:f>
              <c:strCache>
                <c:ptCount val="67"/>
                <c:pt idx="0">
                  <c:v>TIME</c:v>
                </c:pt>
                <c:pt idx="1">
                  <c:v>0</c:v>
                </c:pt>
                <c:pt idx="2">
                  <c:v>29</c:v>
                </c:pt>
                <c:pt idx="3">
                  <c:v>60</c:v>
                </c:pt>
                <c:pt idx="4">
                  <c:v>90</c:v>
                </c:pt>
                <c:pt idx="5">
                  <c:v>121</c:v>
                </c:pt>
                <c:pt idx="6">
                  <c:v>151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304</c:v>
                </c:pt>
                <c:pt idx="12">
                  <c:v>335</c:v>
                </c:pt>
                <c:pt idx="13">
                  <c:v>366</c:v>
                </c:pt>
                <c:pt idx="14">
                  <c:v>394</c:v>
                </c:pt>
                <c:pt idx="15">
                  <c:v>425</c:v>
                </c:pt>
                <c:pt idx="16">
                  <c:v>455</c:v>
                </c:pt>
                <c:pt idx="17">
                  <c:v>486</c:v>
                </c:pt>
                <c:pt idx="18">
                  <c:v>516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  <c:pt idx="23">
                  <c:v>669</c:v>
                </c:pt>
                <c:pt idx="24">
                  <c:v>700</c:v>
                </c:pt>
                <c:pt idx="25">
                  <c:v>731</c:v>
                </c:pt>
                <c:pt idx="26">
                  <c:v>759</c:v>
                </c:pt>
                <c:pt idx="27">
                  <c:v>790</c:v>
                </c:pt>
                <c:pt idx="28">
                  <c:v>820</c:v>
                </c:pt>
                <c:pt idx="29">
                  <c:v>851</c:v>
                </c:pt>
                <c:pt idx="30">
                  <c:v>881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1034</c:v>
                </c:pt>
                <c:pt idx="36">
                  <c:v>1065</c:v>
                </c:pt>
                <c:pt idx="37">
                  <c:v>1096</c:v>
                </c:pt>
                <c:pt idx="38">
                  <c:v>1124</c:v>
                </c:pt>
                <c:pt idx="39">
                  <c:v>1155</c:v>
                </c:pt>
                <c:pt idx="40">
                  <c:v>1185</c:v>
                </c:pt>
                <c:pt idx="41">
                  <c:v>1216</c:v>
                </c:pt>
                <c:pt idx="42">
                  <c:v>1246</c:v>
                </c:pt>
                <c:pt idx="43">
                  <c:v>1277</c:v>
                </c:pt>
                <c:pt idx="44">
                  <c:v>1308</c:v>
                </c:pt>
                <c:pt idx="45">
                  <c:v>1338</c:v>
                </c:pt>
                <c:pt idx="46">
                  <c:v>1369</c:v>
                </c:pt>
                <c:pt idx="47">
                  <c:v>1399</c:v>
                </c:pt>
                <c:pt idx="48">
                  <c:v>1430</c:v>
                </c:pt>
                <c:pt idx="49">
                  <c:v>1461</c:v>
                </c:pt>
                <c:pt idx="50">
                  <c:v>1490</c:v>
                </c:pt>
                <c:pt idx="51">
                  <c:v>1521</c:v>
                </c:pt>
                <c:pt idx="52">
                  <c:v>1551</c:v>
                </c:pt>
                <c:pt idx="53">
                  <c:v>1582</c:v>
                </c:pt>
                <c:pt idx="54">
                  <c:v>1612</c:v>
                </c:pt>
                <c:pt idx="55">
                  <c:v>1643</c:v>
                </c:pt>
                <c:pt idx="56">
                  <c:v>1674</c:v>
                </c:pt>
                <c:pt idx="57">
                  <c:v>1704</c:v>
                </c:pt>
                <c:pt idx="58">
                  <c:v>1735</c:v>
                </c:pt>
                <c:pt idx="59">
                  <c:v>1765</c:v>
                </c:pt>
                <c:pt idx="60">
                  <c:v>1796</c:v>
                </c:pt>
                <c:pt idx="61">
                  <c:v>1827</c:v>
                </c:pt>
                <c:pt idx="62">
                  <c:v>1855</c:v>
                </c:pt>
                <c:pt idx="63">
                  <c:v>1886</c:v>
                </c:pt>
                <c:pt idx="64">
                  <c:v>1916</c:v>
                </c:pt>
                <c:pt idx="65">
                  <c:v>1947</c:v>
                </c:pt>
                <c:pt idx="66">
                  <c:v>1977</c:v>
                </c:pt>
              </c:strCache>
            </c:strRef>
          </c:xVal>
          <c:yVal>
            <c:numRef>
              <c:f>'Well_A-2'!$Q$1:$Q$67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-6.3467610736700777E-2</c:v>
                </c:pt>
                <c:pt idx="3">
                  <c:v>-0.17209235027165704</c:v>
                </c:pt>
                <c:pt idx="4">
                  <c:v>-7.5998309413554982E-2</c:v>
                </c:pt>
                <c:pt idx="5">
                  <c:v>-1.1866706845774282E-2</c:v>
                </c:pt>
                <c:pt idx="6">
                  <c:v>2.1718864440724767E-2</c:v>
                </c:pt>
                <c:pt idx="7">
                  <c:v>6.0498245447595252E-2</c:v>
                </c:pt>
                <c:pt idx="8">
                  <c:v>-5.4579785904925911E-3</c:v>
                </c:pt>
                <c:pt idx="9">
                  <c:v>-6.8310893130753197E-2</c:v>
                </c:pt>
                <c:pt idx="10">
                  <c:v>-1.3380127919757687E-2</c:v>
                </c:pt>
                <c:pt idx="11">
                  <c:v>-7.2226570229201495E-2</c:v>
                </c:pt>
                <c:pt idx="12">
                  <c:v>0.33507801688577032</c:v>
                </c:pt>
                <c:pt idx="13">
                  <c:v>6.5998340667930297E-2</c:v>
                </c:pt>
                <c:pt idx="14">
                  <c:v>-0.51403101691491682</c:v>
                </c:pt>
                <c:pt idx="15">
                  <c:v>-3.5482145819423841E-2</c:v>
                </c:pt>
                <c:pt idx="16">
                  <c:v>0.18362465513066201</c:v>
                </c:pt>
                <c:pt idx="17">
                  <c:v>6.1701901428414176E-2</c:v>
                </c:pt>
                <c:pt idx="18">
                  <c:v>2.7998397788235777E-2</c:v>
                </c:pt>
                <c:pt idx="19">
                  <c:v>6.9695139830486391E-2</c:v>
                </c:pt>
                <c:pt idx="20">
                  <c:v>1.3858666019472219E-2</c:v>
                </c:pt>
                <c:pt idx="21">
                  <c:v>5.9362109573199099E-3</c:v>
                </c:pt>
                <c:pt idx="22">
                  <c:v>0.12110840668589018</c:v>
                </c:pt>
                <c:pt idx="23">
                  <c:v>2.8066014240828467</c:v>
                </c:pt>
                <c:pt idx="24">
                  <c:v>4.3585665102649047</c:v>
                </c:pt>
                <c:pt idx="25">
                  <c:v>1.1136352482995542</c:v>
                </c:pt>
                <c:pt idx="26">
                  <c:v>0.80118161193211557</c:v>
                </c:pt>
                <c:pt idx="27">
                  <c:v>2.4302916930012128</c:v>
                </c:pt>
                <c:pt idx="28">
                  <c:v>4.5985872989367014</c:v>
                </c:pt>
                <c:pt idx="29">
                  <c:v>5.2480617063766317</c:v>
                </c:pt>
                <c:pt idx="30">
                  <c:v>-0.19768155865159714</c:v>
                </c:pt>
                <c:pt idx="31">
                  <c:v>-1.2574921928484437</c:v>
                </c:pt>
                <c:pt idx="32">
                  <c:v>-0.43541897067202778</c:v>
                </c:pt>
                <c:pt idx="33">
                  <c:v>3.3473163119293168</c:v>
                </c:pt>
                <c:pt idx="34">
                  <c:v>5.4232319949334995</c:v>
                </c:pt>
                <c:pt idx="35">
                  <c:v>2.8168202038085122</c:v>
                </c:pt>
                <c:pt idx="36">
                  <c:v>4.4839937247589514</c:v>
                </c:pt>
                <c:pt idx="37">
                  <c:v>0.37088198964473668</c:v>
                </c:pt>
                <c:pt idx="38">
                  <c:v>-1.7651757472829483</c:v>
                </c:pt>
                <c:pt idx="39">
                  <c:v>8.4472568992763684</c:v>
                </c:pt>
                <c:pt idx="40">
                  <c:v>1.4095672723826016</c:v>
                </c:pt>
                <c:pt idx="41">
                  <c:v>-5.8450762932854445</c:v>
                </c:pt>
                <c:pt idx="42">
                  <c:v>-4.1501256493161645</c:v>
                </c:pt>
                <c:pt idx="43">
                  <c:v>-2.0276765049739653</c:v>
                </c:pt>
                <c:pt idx="44">
                  <c:v>2.7321811543803589</c:v>
                </c:pt>
                <c:pt idx="45">
                  <c:v>-6.7365551971658055</c:v>
                </c:pt>
                <c:pt idx="46">
                  <c:v>5.1699472344594373</c:v>
                </c:pt>
                <c:pt idx="47">
                  <c:v>9.0898341294791969</c:v>
                </c:pt>
                <c:pt idx="48">
                  <c:v>3.930242426922137</c:v>
                </c:pt>
                <c:pt idx="49">
                  <c:v>9.6709621811754243</c:v>
                </c:pt>
                <c:pt idx="50">
                  <c:v>-3.8119471317379312</c:v>
                </c:pt>
                <c:pt idx="51">
                  <c:v>4.4691406490904004</c:v>
                </c:pt>
                <c:pt idx="52">
                  <c:v>31.399678680557976</c:v>
                </c:pt>
                <c:pt idx="53">
                  <c:v>15.632242252715017</c:v>
                </c:pt>
                <c:pt idx="54">
                  <c:v>-6.8845521236344744</c:v>
                </c:pt>
                <c:pt idx="55">
                  <c:v>-1.185473163933797</c:v>
                </c:pt>
                <c:pt idx="56">
                  <c:v>2.6123747869096268</c:v>
                </c:pt>
                <c:pt idx="57">
                  <c:v>-4.8303373825437408</c:v>
                </c:pt>
                <c:pt idx="58">
                  <c:v>8.1543413027725062</c:v>
                </c:pt>
                <c:pt idx="59">
                  <c:v>15.746276768974454</c:v>
                </c:pt>
                <c:pt idx="60">
                  <c:v>5.9437254340746266</c:v>
                </c:pt>
                <c:pt idx="61">
                  <c:v>1.1963215528910218</c:v>
                </c:pt>
                <c:pt idx="62">
                  <c:v>-1.1754506491932413</c:v>
                </c:pt>
                <c:pt idx="63">
                  <c:v>20.796071854769661</c:v>
                </c:pt>
                <c:pt idx="64">
                  <c:v>24.218476613457959</c:v>
                </c:pt>
                <c:pt idx="65">
                  <c:v>0</c:v>
                </c:pt>
                <c:pt idx="6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A2-405A-98E9-87874E578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603024"/>
        <c:axId val="3086020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'Well_A-2'!$O$67:$P$67</c15:sqref>
                        </c15:formulaRef>
                      </c:ext>
                    </c:extLst>
                    <c:strCache>
                      <c:ptCount val="1"/>
                      <c:pt idx="0">
                        <c:v>1977 3.688821696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'Well_A-2'!$Q$1:$Q$66</c15:sqref>
                        </c15:formulaRef>
                      </c:ext>
                    </c:extLst>
                    <c:strCache>
                      <c:ptCount val="66"/>
                      <c:pt idx="0">
                        <c:v>WOR'</c:v>
                      </c:pt>
                      <c:pt idx="1">
                        <c:v> </c:v>
                      </c:pt>
                      <c:pt idx="2">
                        <c:v>-0.063467611</c:v>
                      </c:pt>
                      <c:pt idx="3">
                        <c:v>-0.17209235</c:v>
                      </c:pt>
                      <c:pt idx="4">
                        <c:v>-0.075998309</c:v>
                      </c:pt>
                      <c:pt idx="5">
                        <c:v>-0.011866707</c:v>
                      </c:pt>
                      <c:pt idx="6">
                        <c:v>0.021718864</c:v>
                      </c:pt>
                      <c:pt idx="7">
                        <c:v>0.060498245</c:v>
                      </c:pt>
                      <c:pt idx="8">
                        <c:v>-0.005457979</c:v>
                      </c:pt>
                      <c:pt idx="9">
                        <c:v>-0.068310893</c:v>
                      </c:pt>
                      <c:pt idx="10">
                        <c:v>-0.013380128</c:v>
                      </c:pt>
                      <c:pt idx="11">
                        <c:v>-0.07222657</c:v>
                      </c:pt>
                      <c:pt idx="12">
                        <c:v>0.335078017</c:v>
                      </c:pt>
                      <c:pt idx="13">
                        <c:v>0.065998341</c:v>
                      </c:pt>
                      <c:pt idx="14">
                        <c:v>-0.514031017</c:v>
                      </c:pt>
                      <c:pt idx="15">
                        <c:v>-0.035482146</c:v>
                      </c:pt>
                      <c:pt idx="16">
                        <c:v>0.183624655</c:v>
                      </c:pt>
                      <c:pt idx="17">
                        <c:v>0.061701901</c:v>
                      </c:pt>
                      <c:pt idx="18">
                        <c:v>0.027998398</c:v>
                      </c:pt>
                      <c:pt idx="19">
                        <c:v>0.06969514</c:v>
                      </c:pt>
                      <c:pt idx="20">
                        <c:v>0.013858666</c:v>
                      </c:pt>
                      <c:pt idx="21">
                        <c:v>0.005936211</c:v>
                      </c:pt>
                      <c:pt idx="22">
                        <c:v>0.121108407</c:v>
                      </c:pt>
                      <c:pt idx="23">
                        <c:v>2.806601424</c:v>
                      </c:pt>
                      <c:pt idx="24">
                        <c:v>4.35856651</c:v>
                      </c:pt>
                      <c:pt idx="25">
                        <c:v>1.113635248</c:v>
                      </c:pt>
                      <c:pt idx="26">
                        <c:v>0.801181612</c:v>
                      </c:pt>
                      <c:pt idx="27">
                        <c:v>2.430291693</c:v>
                      </c:pt>
                      <c:pt idx="28">
                        <c:v>4.598587299</c:v>
                      </c:pt>
                      <c:pt idx="29">
                        <c:v>5.248061706</c:v>
                      </c:pt>
                      <c:pt idx="30">
                        <c:v>-0.197681559</c:v>
                      </c:pt>
                      <c:pt idx="31">
                        <c:v>-1.257492193</c:v>
                      </c:pt>
                      <c:pt idx="32">
                        <c:v>-0.435418971</c:v>
                      </c:pt>
                      <c:pt idx="33">
                        <c:v>3.347316312</c:v>
                      </c:pt>
                      <c:pt idx="34">
                        <c:v>5.423231995</c:v>
                      </c:pt>
                      <c:pt idx="35">
                        <c:v>2.816820204</c:v>
                      </c:pt>
                      <c:pt idx="36">
                        <c:v>4.483993725</c:v>
                      </c:pt>
                      <c:pt idx="37">
                        <c:v>0.37088199</c:v>
                      </c:pt>
                      <c:pt idx="38">
                        <c:v>-1.765175747</c:v>
                      </c:pt>
                      <c:pt idx="39">
                        <c:v>8.447256899</c:v>
                      </c:pt>
                      <c:pt idx="40">
                        <c:v>1.409567272</c:v>
                      </c:pt>
                      <c:pt idx="41">
                        <c:v>-5.845076293</c:v>
                      </c:pt>
                      <c:pt idx="42">
                        <c:v>-4.150125649</c:v>
                      </c:pt>
                      <c:pt idx="43">
                        <c:v>-2.027676505</c:v>
                      </c:pt>
                      <c:pt idx="44">
                        <c:v>2.732181154</c:v>
                      </c:pt>
                      <c:pt idx="45">
                        <c:v>-6.736555197</c:v>
                      </c:pt>
                      <c:pt idx="46">
                        <c:v>5.169947234</c:v>
                      </c:pt>
                      <c:pt idx="47">
                        <c:v>9.089834129</c:v>
                      </c:pt>
                      <c:pt idx="48">
                        <c:v>3.930242427</c:v>
                      </c:pt>
                      <c:pt idx="49">
                        <c:v>9.670962181</c:v>
                      </c:pt>
                      <c:pt idx="50">
                        <c:v>-3.811947132</c:v>
                      </c:pt>
                      <c:pt idx="51">
                        <c:v>4.469140649</c:v>
                      </c:pt>
                      <c:pt idx="52">
                        <c:v>31.39967868</c:v>
                      </c:pt>
                      <c:pt idx="53">
                        <c:v>15.63224225</c:v>
                      </c:pt>
                      <c:pt idx="54">
                        <c:v>-6.884552124</c:v>
                      </c:pt>
                      <c:pt idx="55">
                        <c:v>-1.185473164</c:v>
                      </c:pt>
                      <c:pt idx="56">
                        <c:v>2.612374787</c:v>
                      </c:pt>
                      <c:pt idx="57">
                        <c:v>-4.830337383</c:v>
                      </c:pt>
                      <c:pt idx="58">
                        <c:v>8.154341303</c:v>
                      </c:pt>
                      <c:pt idx="59">
                        <c:v>15.74627677</c:v>
                      </c:pt>
                      <c:pt idx="60">
                        <c:v>5.943725434</c:v>
                      </c:pt>
                      <c:pt idx="61">
                        <c:v>1.196321553</c:v>
                      </c:pt>
                      <c:pt idx="62">
                        <c:v>-1.175450649</c:v>
                      </c:pt>
                      <c:pt idx="63">
                        <c:v>20.79607185</c:v>
                      </c:pt>
                      <c:pt idx="64">
                        <c:v>24.21847661</c:v>
                      </c:pt>
                      <c:pt idx="65">
                        <c:v> 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'Well_A-2'!$Q$67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EA2-405A-98E9-87874E578D53}"/>
                  </c:ext>
                </c:extLst>
              </c15:ser>
            </c15:filteredScatterSeries>
          </c:ext>
        </c:extLst>
      </c:scatterChart>
      <c:valAx>
        <c:axId val="30860302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02064"/>
        <c:crosses val="autoZero"/>
        <c:crossBetween val="midCat"/>
      </c:valAx>
      <c:valAx>
        <c:axId val="3086020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 &amp; WOR'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0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'Well_A-2'!$P$1</c:f>
              <c:strCache>
                <c:ptCount val="1"/>
                <c:pt idx="0">
                  <c:v>WOR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'Well_A-2'!$O$2:$O$68</c:f>
              <c:numCache>
                <c:formatCode>General</c:formatCode>
                <c:ptCount val="67"/>
                <c:pt idx="0">
                  <c:v>0</c:v>
                </c:pt>
                <c:pt idx="1">
                  <c:v>29</c:v>
                </c:pt>
                <c:pt idx="2">
                  <c:v>60</c:v>
                </c:pt>
                <c:pt idx="3">
                  <c:v>90</c:v>
                </c:pt>
                <c:pt idx="4">
                  <c:v>121</c:v>
                </c:pt>
                <c:pt idx="5">
                  <c:v>151</c:v>
                </c:pt>
                <c:pt idx="6">
                  <c:v>182</c:v>
                </c:pt>
                <c:pt idx="7">
                  <c:v>213</c:v>
                </c:pt>
                <c:pt idx="8">
                  <c:v>243</c:v>
                </c:pt>
                <c:pt idx="9">
                  <c:v>274</c:v>
                </c:pt>
                <c:pt idx="10">
                  <c:v>304</c:v>
                </c:pt>
                <c:pt idx="11">
                  <c:v>335</c:v>
                </c:pt>
                <c:pt idx="12">
                  <c:v>366</c:v>
                </c:pt>
                <c:pt idx="13">
                  <c:v>394</c:v>
                </c:pt>
                <c:pt idx="14">
                  <c:v>425</c:v>
                </c:pt>
                <c:pt idx="15">
                  <c:v>455</c:v>
                </c:pt>
                <c:pt idx="16">
                  <c:v>486</c:v>
                </c:pt>
                <c:pt idx="17">
                  <c:v>516</c:v>
                </c:pt>
                <c:pt idx="18">
                  <c:v>547</c:v>
                </c:pt>
                <c:pt idx="19">
                  <c:v>578</c:v>
                </c:pt>
                <c:pt idx="20">
                  <c:v>608</c:v>
                </c:pt>
                <c:pt idx="21">
                  <c:v>639</c:v>
                </c:pt>
                <c:pt idx="22">
                  <c:v>669</c:v>
                </c:pt>
                <c:pt idx="23">
                  <c:v>700</c:v>
                </c:pt>
                <c:pt idx="24">
                  <c:v>731</c:v>
                </c:pt>
                <c:pt idx="25">
                  <c:v>759</c:v>
                </c:pt>
                <c:pt idx="26">
                  <c:v>790</c:v>
                </c:pt>
                <c:pt idx="27">
                  <c:v>820</c:v>
                </c:pt>
                <c:pt idx="28">
                  <c:v>851</c:v>
                </c:pt>
                <c:pt idx="29">
                  <c:v>881</c:v>
                </c:pt>
                <c:pt idx="30">
                  <c:v>912</c:v>
                </c:pt>
                <c:pt idx="31">
                  <c:v>943</c:v>
                </c:pt>
                <c:pt idx="32">
                  <c:v>973</c:v>
                </c:pt>
                <c:pt idx="33">
                  <c:v>1004</c:v>
                </c:pt>
                <c:pt idx="34">
                  <c:v>1034</c:v>
                </c:pt>
                <c:pt idx="35">
                  <c:v>1065</c:v>
                </c:pt>
                <c:pt idx="36">
                  <c:v>1096</c:v>
                </c:pt>
                <c:pt idx="37">
                  <c:v>1124</c:v>
                </c:pt>
                <c:pt idx="38">
                  <c:v>1155</c:v>
                </c:pt>
                <c:pt idx="39">
                  <c:v>1185</c:v>
                </c:pt>
                <c:pt idx="40">
                  <c:v>1216</c:v>
                </c:pt>
                <c:pt idx="41">
                  <c:v>1246</c:v>
                </c:pt>
                <c:pt idx="42">
                  <c:v>1277</c:v>
                </c:pt>
                <c:pt idx="43">
                  <c:v>1308</c:v>
                </c:pt>
                <c:pt idx="44">
                  <c:v>1338</c:v>
                </c:pt>
                <c:pt idx="45">
                  <c:v>1369</c:v>
                </c:pt>
                <c:pt idx="46">
                  <c:v>1399</c:v>
                </c:pt>
                <c:pt idx="47">
                  <c:v>1430</c:v>
                </c:pt>
                <c:pt idx="48">
                  <c:v>1461</c:v>
                </c:pt>
                <c:pt idx="49">
                  <c:v>1490</c:v>
                </c:pt>
                <c:pt idx="50">
                  <c:v>1521</c:v>
                </c:pt>
                <c:pt idx="51">
                  <c:v>1551</c:v>
                </c:pt>
                <c:pt idx="52">
                  <c:v>1582</c:v>
                </c:pt>
                <c:pt idx="53">
                  <c:v>1612</c:v>
                </c:pt>
                <c:pt idx="54">
                  <c:v>1643</c:v>
                </c:pt>
                <c:pt idx="55">
                  <c:v>1674</c:v>
                </c:pt>
                <c:pt idx="56">
                  <c:v>1704</c:v>
                </c:pt>
                <c:pt idx="57">
                  <c:v>1735</c:v>
                </c:pt>
                <c:pt idx="58">
                  <c:v>1765</c:v>
                </c:pt>
                <c:pt idx="59">
                  <c:v>1796</c:v>
                </c:pt>
                <c:pt idx="60">
                  <c:v>1827</c:v>
                </c:pt>
                <c:pt idx="61">
                  <c:v>1855</c:v>
                </c:pt>
                <c:pt idx="62">
                  <c:v>1886</c:v>
                </c:pt>
                <c:pt idx="63">
                  <c:v>1916</c:v>
                </c:pt>
                <c:pt idx="64">
                  <c:v>1947</c:v>
                </c:pt>
                <c:pt idx="65">
                  <c:v>1977</c:v>
                </c:pt>
              </c:numCache>
            </c:numRef>
          </c:xVal>
          <c:yVal>
            <c:numRef>
              <c:f>'Well_A-2'!$P$2:$P$68</c:f>
              <c:numCache>
                <c:formatCode>General</c:formatCode>
                <c:ptCount val="67"/>
                <c:pt idx="0">
                  <c:v>0.15188282025819264</c:v>
                </c:pt>
                <c:pt idx="1">
                  <c:v>0.13777018798224974</c:v>
                </c:pt>
                <c:pt idx="2">
                  <c:v>0.15201591674288797</c:v>
                </c:pt>
                <c:pt idx="3">
                  <c:v>6.5892240409383934E-2</c:v>
                </c:pt>
                <c:pt idx="4">
                  <c:v>3.1302428875332362E-2</c:v>
                </c:pt>
                <c:pt idx="5">
                  <c:v>2.6565382584598993E-2</c:v>
                </c:pt>
                <c:pt idx="6">
                  <c:v>2.6458247594675445E-2</c:v>
                </c:pt>
                <c:pt idx="7">
                  <c:v>3.4036939721796687E-2</c:v>
                </c:pt>
                <c:pt idx="8">
                  <c:v>4.3945553186914801E-2</c:v>
                </c:pt>
                <c:pt idx="9">
                  <c:v>3.2662424549256081E-2</c:v>
                </c:pt>
                <c:pt idx="10">
                  <c:v>2.8646218067295882E-2</c:v>
                </c:pt>
                <c:pt idx="11">
                  <c:v>2.9972986384727521E-2</c:v>
                </c:pt>
                <c:pt idx="12">
                  <c:v>1.5240559853063284E-2</c:v>
                </c:pt>
                <c:pt idx="13">
                  <c:v>8.4329468766797103E-2</c:v>
                </c:pt>
                <c:pt idx="14">
                  <c:v>2.5104397000723783E-2</c:v>
                </c:pt>
                <c:pt idx="15">
                  <c:v>1.0336498028504212E-2</c:v>
                </c:pt>
                <c:pt idx="16">
                  <c:v>2.0345550942040987E-2</c:v>
                </c:pt>
                <c:pt idx="17">
                  <c:v>3.3438195897401879E-2</c:v>
                </c:pt>
                <c:pt idx="18">
                  <c:v>2.7641194782051903E-2</c:v>
                </c:pt>
                <c:pt idx="19">
                  <c:v>3.6615092988417114E-2</c:v>
                </c:pt>
                <c:pt idx="20">
                  <c:v>3.5009788679613081E-2</c:v>
                </c:pt>
                <c:pt idx="21">
                  <c:v>3.8005541067242916E-2</c:v>
                </c:pt>
                <c:pt idx="22">
                  <c:v>3.5577344930639063E-2</c:v>
                </c:pt>
                <c:pt idx="23">
                  <c:v>4.9047706702869266E-2</c:v>
                </c:pt>
                <c:pt idx="24">
                  <c:v>0.28432474412408693</c:v>
                </c:pt>
                <c:pt idx="25">
                  <c:v>0.40174919530161357</c:v>
                </c:pt>
                <c:pt idx="26">
                  <c:v>0.37076453936706227</c:v>
                </c:pt>
                <c:pt idx="27">
                  <c:v>0.46368258722240963</c:v>
                </c:pt>
                <c:pt idx="28">
                  <c:v>0.55152765021711825</c:v>
                </c:pt>
                <c:pt idx="29">
                  <c:v>0.79364633539769236</c:v>
                </c:pt>
                <c:pt idx="30">
                  <c:v>0.91483973917463313</c:v>
                </c:pt>
                <c:pt idx="31">
                  <c:v>0.78020227813997312</c:v>
                </c:pt>
                <c:pt idx="32">
                  <c:v>0.83342454881114258</c:v>
                </c:pt>
                <c:pt idx="33">
                  <c:v>0.75290977396797398</c:v>
                </c:pt>
                <c:pt idx="34">
                  <c:v>1.0369613737030299</c:v>
                </c:pt>
                <c:pt idx="35">
                  <c:v>1.0727870621811155</c:v>
                </c:pt>
                <c:pt idx="36">
                  <c:v>1.200991609579368</c:v>
                </c:pt>
                <c:pt idx="37">
                  <c:v>1.314559305985231</c:v>
                </c:pt>
                <c:pt idx="38">
                  <c:v>1.220438122595249</c:v>
                </c:pt>
                <c:pt idx="39">
                  <c:v>1.2212714921139869</c:v>
                </c:pt>
                <c:pt idx="40">
                  <c:v>1.6551883593359709</c:v>
                </c:pt>
                <c:pt idx="41">
                  <c:v>1.2920256316190015</c:v>
                </c:pt>
                <c:pt idx="42">
                  <c:v>1.3690906169792181</c:v>
                </c:pt>
                <c:pt idx="43">
                  <c:v>1.0904920744041393</c:v>
                </c:pt>
                <c:pt idx="44">
                  <c:v>1.2744743959469313</c:v>
                </c:pt>
                <c:pt idx="45">
                  <c:v>1.2150284248722816</c:v>
                </c:pt>
                <c:pt idx="46">
                  <c:v>0.9741470842234321</c:v>
                </c:pt>
                <c:pt idx="47">
                  <c:v>1.4404065770983467</c:v>
                </c:pt>
                <c:pt idx="48">
                  <c:v>1.3683135346121711</c:v>
                </c:pt>
                <c:pt idx="49">
                  <c:v>1.6019461266952981</c:v>
                </c:pt>
                <c:pt idx="50">
                  <c:v>1.7575395939210596</c:v>
                </c:pt>
                <c:pt idx="51">
                  <c:v>1.4489964586974073</c:v>
                </c:pt>
                <c:pt idx="52">
                  <c:v>1.9332744992736088</c:v>
                </c:pt>
                <c:pt idx="53">
                  <c:v>2.6602629241028395</c:v>
                </c:pt>
                <c:pt idx="54">
                  <c:v>2.5247042791570369</c:v>
                </c:pt>
                <c:pt idx="55">
                  <c:v>2.4004376689418656</c:v>
                </c:pt>
                <c:pt idx="56">
                  <c:v>2.4814883417780225</c:v>
                </c:pt>
                <c:pt idx="57">
                  <c:v>2.4939383278635332</c:v>
                </c:pt>
                <c:pt idx="58">
                  <c:v>2.3115944499164089</c:v>
                </c:pt>
                <c:pt idx="59">
                  <c:v>2.7757079749770499</c:v>
                </c:pt>
                <c:pt idx="60">
                  <c:v>2.8552281523200023</c:v>
                </c:pt>
                <c:pt idx="61">
                  <c:v>2.9678253846681208</c:v>
                </c:pt>
                <c:pt idx="62">
                  <c:v>2.8932507287567883</c:v>
                </c:pt>
                <c:pt idx="63">
                  <c:v>2.9297936983210215</c:v>
                </c:pt>
                <c:pt idx="64">
                  <c:v>3.5552217671551709</c:v>
                </c:pt>
                <c:pt idx="65">
                  <c:v>3.6888216956458466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1E-4C78-8D9B-0E0BE64ECCBD}"/>
            </c:ext>
          </c:extLst>
        </c:ser>
        <c:ser>
          <c:idx val="1"/>
          <c:order val="1"/>
          <c:tx>
            <c:strRef>
              <c:f>'Well_A-2'!$S$1</c:f>
              <c:strCache>
                <c:ptCount val="1"/>
                <c:pt idx="0">
                  <c:v>WOR'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'Well_A-2'!$O$2:$O$68</c:f>
              <c:numCache>
                <c:formatCode>General</c:formatCode>
                <c:ptCount val="67"/>
                <c:pt idx="0">
                  <c:v>0</c:v>
                </c:pt>
                <c:pt idx="1">
                  <c:v>29</c:v>
                </c:pt>
                <c:pt idx="2">
                  <c:v>60</c:v>
                </c:pt>
                <c:pt idx="3">
                  <c:v>90</c:v>
                </c:pt>
                <c:pt idx="4">
                  <c:v>121</c:v>
                </c:pt>
                <c:pt idx="5">
                  <c:v>151</c:v>
                </c:pt>
                <c:pt idx="6">
                  <c:v>182</c:v>
                </c:pt>
                <c:pt idx="7">
                  <c:v>213</c:v>
                </c:pt>
                <c:pt idx="8">
                  <c:v>243</c:v>
                </c:pt>
                <c:pt idx="9">
                  <c:v>274</c:v>
                </c:pt>
                <c:pt idx="10">
                  <c:v>304</c:v>
                </c:pt>
                <c:pt idx="11">
                  <c:v>335</c:v>
                </c:pt>
                <c:pt idx="12">
                  <c:v>366</c:v>
                </c:pt>
                <c:pt idx="13">
                  <c:v>394</c:v>
                </c:pt>
                <c:pt idx="14">
                  <c:v>425</c:v>
                </c:pt>
                <c:pt idx="15">
                  <c:v>455</c:v>
                </c:pt>
                <c:pt idx="16">
                  <c:v>486</c:v>
                </c:pt>
                <c:pt idx="17">
                  <c:v>516</c:v>
                </c:pt>
                <c:pt idx="18">
                  <c:v>547</c:v>
                </c:pt>
                <c:pt idx="19">
                  <c:v>578</c:v>
                </c:pt>
                <c:pt idx="20">
                  <c:v>608</c:v>
                </c:pt>
                <c:pt idx="21">
                  <c:v>639</c:v>
                </c:pt>
                <c:pt idx="22">
                  <c:v>669</c:v>
                </c:pt>
                <c:pt idx="23">
                  <c:v>700</c:v>
                </c:pt>
                <c:pt idx="24">
                  <c:v>731</c:v>
                </c:pt>
                <c:pt idx="25">
                  <c:v>759</c:v>
                </c:pt>
                <c:pt idx="26">
                  <c:v>790</c:v>
                </c:pt>
                <c:pt idx="27">
                  <c:v>820</c:v>
                </c:pt>
                <c:pt idx="28">
                  <c:v>851</c:v>
                </c:pt>
                <c:pt idx="29">
                  <c:v>881</c:v>
                </c:pt>
                <c:pt idx="30">
                  <c:v>912</c:v>
                </c:pt>
                <c:pt idx="31">
                  <c:v>943</c:v>
                </c:pt>
                <c:pt idx="32">
                  <c:v>973</c:v>
                </c:pt>
                <c:pt idx="33">
                  <c:v>1004</c:v>
                </c:pt>
                <c:pt idx="34">
                  <c:v>1034</c:v>
                </c:pt>
                <c:pt idx="35">
                  <c:v>1065</c:v>
                </c:pt>
                <c:pt idx="36">
                  <c:v>1096</c:v>
                </c:pt>
                <c:pt idx="37">
                  <c:v>1124</c:v>
                </c:pt>
                <c:pt idx="38">
                  <c:v>1155</c:v>
                </c:pt>
                <c:pt idx="39">
                  <c:v>1185</c:v>
                </c:pt>
                <c:pt idx="40">
                  <c:v>1216</c:v>
                </c:pt>
                <c:pt idx="41">
                  <c:v>1246</c:v>
                </c:pt>
                <c:pt idx="42">
                  <c:v>1277</c:v>
                </c:pt>
                <c:pt idx="43">
                  <c:v>1308</c:v>
                </c:pt>
                <c:pt idx="44">
                  <c:v>1338</c:v>
                </c:pt>
                <c:pt idx="45">
                  <c:v>1369</c:v>
                </c:pt>
                <c:pt idx="46">
                  <c:v>1399</c:v>
                </c:pt>
                <c:pt idx="47">
                  <c:v>1430</c:v>
                </c:pt>
                <c:pt idx="48">
                  <c:v>1461</c:v>
                </c:pt>
                <c:pt idx="49">
                  <c:v>1490</c:v>
                </c:pt>
                <c:pt idx="50">
                  <c:v>1521</c:v>
                </c:pt>
                <c:pt idx="51">
                  <c:v>1551</c:v>
                </c:pt>
                <c:pt idx="52">
                  <c:v>1582</c:v>
                </c:pt>
                <c:pt idx="53">
                  <c:v>1612</c:v>
                </c:pt>
                <c:pt idx="54">
                  <c:v>1643</c:v>
                </c:pt>
                <c:pt idx="55">
                  <c:v>1674</c:v>
                </c:pt>
                <c:pt idx="56">
                  <c:v>1704</c:v>
                </c:pt>
                <c:pt idx="57">
                  <c:v>1735</c:v>
                </c:pt>
                <c:pt idx="58">
                  <c:v>1765</c:v>
                </c:pt>
                <c:pt idx="59">
                  <c:v>1796</c:v>
                </c:pt>
                <c:pt idx="60">
                  <c:v>1827</c:v>
                </c:pt>
                <c:pt idx="61">
                  <c:v>1855</c:v>
                </c:pt>
                <c:pt idx="62">
                  <c:v>1886</c:v>
                </c:pt>
                <c:pt idx="63">
                  <c:v>1916</c:v>
                </c:pt>
                <c:pt idx="64">
                  <c:v>1947</c:v>
                </c:pt>
                <c:pt idx="65">
                  <c:v>1977</c:v>
                </c:pt>
              </c:numCache>
            </c:numRef>
          </c:xVal>
          <c:yVal>
            <c:numRef>
              <c:f>'Well_A-2'!$S$2:$S$68</c:f>
              <c:numCache>
                <c:formatCode>General</c:formatCode>
                <c:ptCount val="67"/>
                <c:pt idx="0">
                  <c:v>-4.8664249227389289E-4</c:v>
                </c:pt>
                <c:pt idx="1">
                  <c:v>2.2182747449223108E-6</c:v>
                </c:pt>
                <c:pt idx="2">
                  <c:v>-1.1783270093912428E-3</c:v>
                </c:pt>
                <c:pt idx="3">
                  <c:v>-1.9789096371730431E-3</c:v>
                </c:pt>
                <c:pt idx="4">
                  <c:v>-6.4470258729155646E-4</c:v>
                </c:pt>
                <c:pt idx="5">
                  <c:v>-7.941280787962159E-5</c:v>
                </c:pt>
                <c:pt idx="6">
                  <c:v>1.2050898608383377E-4</c:v>
                </c:pt>
                <c:pt idx="7">
                  <c:v>2.8667714085638287E-4</c:v>
                </c:pt>
                <c:pt idx="8">
                  <c:v>-2.2533035615419779E-5</c:v>
                </c:pt>
                <c:pt idx="9">
                  <c:v>-2.5080877245276916E-4</c:v>
                </c:pt>
                <c:pt idx="10">
                  <c:v>-4.408915023817311E-5</c:v>
                </c:pt>
                <c:pt idx="11">
                  <c:v>-2.1622029377794513E-4</c:v>
                </c:pt>
                <c:pt idx="12">
                  <c:v>9.2129631156050141E-4</c:v>
                </c:pt>
                <c:pt idx="13">
                  <c:v>1.6718368046882202E-4</c:v>
                </c:pt>
                <c:pt idx="14">
                  <c:v>-1.2129995202998835E-3</c:v>
                </c:pt>
                <c:pt idx="15">
                  <c:v>-7.8013869814472049E-5</c:v>
                </c:pt>
                <c:pt idx="16">
                  <c:v>3.7871635850651915E-4</c:v>
                </c:pt>
                <c:pt idx="17">
                  <c:v>1.1960071868870354E-4</c:v>
                </c:pt>
                <c:pt idx="18">
                  <c:v>5.1240275661536048E-5</c:v>
                </c:pt>
                <c:pt idx="19">
                  <c:v>1.2079662127149471E-4</c:v>
                </c:pt>
                <c:pt idx="20">
                  <c:v>2.2794230800422992E-5</c:v>
                </c:pt>
                <c:pt idx="21">
                  <c:v>9.3042008364915017E-6</c:v>
                </c:pt>
                <c:pt idx="22">
                  <c:v>1.8101910878075983E-4</c:v>
                </c:pt>
                <c:pt idx="23">
                  <c:v>4.0120548257007718E-3</c:v>
                </c:pt>
                <c:pt idx="24">
                  <c:v>5.9779913321821067E-3</c:v>
                </c:pt>
                <c:pt idx="25">
                  <c:v>1.4650812753046669E-3</c:v>
                </c:pt>
                <c:pt idx="26">
                  <c:v>1.015301506898296E-3</c:v>
                </c:pt>
                <c:pt idx="27">
                  <c:v>2.9633296860664916E-3</c:v>
                </c:pt>
                <c:pt idx="28">
                  <c:v>5.4092417733652906E-3</c:v>
                </c:pt>
                <c:pt idx="29">
                  <c:v>5.955935884549424E-3</c:v>
                </c:pt>
                <c:pt idx="30">
                  <c:v>-2.1683963318902007E-4</c:v>
                </c:pt>
                <c:pt idx="31">
                  <c:v>-1.3346752518605008E-3</c:v>
                </c:pt>
                <c:pt idx="32">
                  <c:v>-4.4741810118031363E-4</c:v>
                </c:pt>
                <c:pt idx="33">
                  <c:v>3.3366692605227423E-3</c:v>
                </c:pt>
                <c:pt idx="34">
                  <c:v>5.2438899707072384E-3</c:v>
                </c:pt>
                <c:pt idx="35">
                  <c:v>2.6456489657473892E-3</c:v>
                </c:pt>
                <c:pt idx="36">
                  <c:v>4.0978346407477195E-3</c:v>
                </c:pt>
                <c:pt idx="37">
                  <c:v>3.2960191552340611E-4</c:v>
                </c:pt>
                <c:pt idx="38">
                  <c:v>-1.5293084241187554E-3</c:v>
                </c:pt>
                <c:pt idx="39">
                  <c:v>7.1270530613233097E-3</c:v>
                </c:pt>
                <c:pt idx="40">
                  <c:v>1.1599039263117154E-3</c:v>
                </c:pt>
                <c:pt idx="41">
                  <c:v>-4.6901269238811931E-3</c:v>
                </c:pt>
                <c:pt idx="42">
                  <c:v>-3.2505412454010034E-3</c:v>
                </c:pt>
                <c:pt idx="43">
                  <c:v>-1.551085590693225E-3</c:v>
                </c:pt>
                <c:pt idx="44">
                  <c:v>2.0415795158711847E-3</c:v>
                </c:pt>
                <c:pt idx="45">
                  <c:v>-4.9233985528442503E-3</c:v>
                </c:pt>
                <c:pt idx="46">
                  <c:v>3.6947238069846748E-3</c:v>
                </c:pt>
                <c:pt idx="47">
                  <c:v>6.3575233933667579E-3</c:v>
                </c:pt>
                <c:pt idx="48">
                  <c:v>2.6923258266158562E-3</c:v>
                </c:pt>
                <c:pt idx="49">
                  <c:v>6.4871009884814755E-3</c:v>
                </c:pt>
                <c:pt idx="50">
                  <c:v>-2.5073716065227999E-3</c:v>
                </c:pt>
                <c:pt idx="51">
                  <c:v>2.8809000877467084E-3</c:v>
                </c:pt>
                <c:pt idx="52">
                  <c:v>1.9856827301728396E-2</c:v>
                </c:pt>
                <c:pt idx="53">
                  <c:v>9.6955701620234109E-3</c:v>
                </c:pt>
                <c:pt idx="54">
                  <c:v>-4.1907299219511914E-3</c:v>
                </c:pt>
                <c:pt idx="55">
                  <c:v>-7.0845798981990845E-4</c:v>
                </c:pt>
                <c:pt idx="56">
                  <c:v>1.5327976872404523E-3</c:v>
                </c:pt>
                <c:pt idx="57">
                  <c:v>-2.7851457682231723E-3</c:v>
                </c:pt>
                <c:pt idx="58">
                  <c:v>4.619174542844536E-3</c:v>
                </c:pt>
                <c:pt idx="59">
                  <c:v>8.7682855226386015E-3</c:v>
                </c:pt>
                <c:pt idx="60">
                  <c:v>3.2562272828995076E-3</c:v>
                </c:pt>
                <c:pt idx="61">
                  <c:v>6.4445044808112003E-4</c:v>
                </c:pt>
                <c:pt idx="62">
                  <c:v>-6.2347026798523447E-4</c:v>
                </c:pt>
                <c:pt idx="63">
                  <c:v>1.0851984236039058E-2</c:v>
                </c:pt>
                <c:pt idx="64">
                  <c:v>1.2443081923357788E-2</c:v>
                </c:pt>
                <c:pt idx="65">
                  <c:v>4.4533309496891903E-3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1E-4C78-8D9B-0E0BE64EC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946000"/>
        <c:axId val="461961360"/>
      </c:scatterChart>
      <c:valAx>
        <c:axId val="4619460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61360"/>
        <c:crosses val="autoZero"/>
        <c:crossBetween val="midCat"/>
      </c:valAx>
      <c:valAx>
        <c:axId val="4619613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FLOW</a:t>
            </a:r>
            <a:r>
              <a:rPr lang="en-IN" baseline="0"/>
              <a:t> RATE V/S TIME (SEMI LOG)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016016432605612"/>
          <c:y val="0.15718070348889668"/>
          <c:w val="0.73725116425939163"/>
          <c:h val="0.72753345199411457"/>
        </c:manualLayout>
      </c:layout>
      <c:scatterChart>
        <c:scatterStyle val="lineMarker"/>
        <c:varyColors val="0"/>
        <c:ser>
          <c:idx val="0"/>
          <c:order val="0"/>
          <c:tx>
            <c:v>EXPONENTIAL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strRef>
              <c:f>'Well_A-2'!$Y:$Y</c:f>
              <c:strCache>
                <c:ptCount val="157"/>
                <c:pt idx="0">
                  <c:v>T (MONTHS)</c:v>
                </c:pt>
                <c:pt idx="1">
                  <c:v>0</c:v>
                </c:pt>
                <c:pt idx="2">
                  <c:v>0.966666667</c:v>
                </c:pt>
                <c:pt idx="3">
                  <c:v>2</c:v>
                </c:pt>
                <c:pt idx="4">
                  <c:v>3</c:v>
                </c:pt>
                <c:pt idx="5">
                  <c:v>4.033333333</c:v>
                </c:pt>
                <c:pt idx="6">
                  <c:v>5.033333333</c:v>
                </c:pt>
                <c:pt idx="7">
                  <c:v>6.066666667</c:v>
                </c:pt>
                <c:pt idx="8">
                  <c:v>7.1</c:v>
                </c:pt>
                <c:pt idx="9">
                  <c:v>8.1</c:v>
                </c:pt>
                <c:pt idx="10">
                  <c:v>9.133333333</c:v>
                </c:pt>
                <c:pt idx="11">
                  <c:v>10.13333333</c:v>
                </c:pt>
                <c:pt idx="12">
                  <c:v>11.16666667</c:v>
                </c:pt>
                <c:pt idx="13">
                  <c:v>12.2</c:v>
                </c:pt>
                <c:pt idx="14">
                  <c:v>13.13333333</c:v>
                </c:pt>
                <c:pt idx="15">
                  <c:v>14.16666667</c:v>
                </c:pt>
                <c:pt idx="16">
                  <c:v>15.16666667</c:v>
                </c:pt>
                <c:pt idx="17">
                  <c:v>16.2</c:v>
                </c:pt>
                <c:pt idx="18">
                  <c:v>17.2</c:v>
                </c:pt>
                <c:pt idx="19">
                  <c:v>18.23333333</c:v>
                </c:pt>
                <c:pt idx="20">
                  <c:v>19.26666667</c:v>
                </c:pt>
                <c:pt idx="21">
                  <c:v>20.26666667</c:v>
                </c:pt>
                <c:pt idx="22">
                  <c:v>21.3</c:v>
                </c:pt>
                <c:pt idx="23">
                  <c:v>22.3</c:v>
                </c:pt>
                <c:pt idx="24">
                  <c:v>23.33333333</c:v>
                </c:pt>
                <c:pt idx="25">
                  <c:v>24.36666667</c:v>
                </c:pt>
                <c:pt idx="26">
                  <c:v>25.3</c:v>
                </c:pt>
                <c:pt idx="27">
                  <c:v>26.33333333</c:v>
                </c:pt>
                <c:pt idx="28">
                  <c:v>27.33333333</c:v>
                </c:pt>
                <c:pt idx="29">
                  <c:v>28.36666667</c:v>
                </c:pt>
                <c:pt idx="30">
                  <c:v>29.36666667</c:v>
                </c:pt>
                <c:pt idx="31">
                  <c:v>30.4</c:v>
                </c:pt>
                <c:pt idx="32">
                  <c:v>31.43333333</c:v>
                </c:pt>
                <c:pt idx="33">
                  <c:v>32.43333333</c:v>
                </c:pt>
                <c:pt idx="34">
                  <c:v>33.46666667</c:v>
                </c:pt>
                <c:pt idx="35">
                  <c:v>34.46666667</c:v>
                </c:pt>
                <c:pt idx="36">
                  <c:v>35.5</c:v>
                </c:pt>
                <c:pt idx="37">
                  <c:v>36.53333333</c:v>
                </c:pt>
                <c:pt idx="38">
                  <c:v>37.46666667</c:v>
                </c:pt>
                <c:pt idx="39">
                  <c:v>38.5</c:v>
                </c:pt>
                <c:pt idx="40">
                  <c:v>39.5</c:v>
                </c:pt>
                <c:pt idx="41">
                  <c:v>40.53333333</c:v>
                </c:pt>
                <c:pt idx="42">
                  <c:v>41.53333333</c:v>
                </c:pt>
                <c:pt idx="43">
                  <c:v>42.56666667</c:v>
                </c:pt>
                <c:pt idx="44">
                  <c:v>43.6</c:v>
                </c:pt>
                <c:pt idx="45">
                  <c:v>44.6</c:v>
                </c:pt>
                <c:pt idx="46">
                  <c:v>45.63333333</c:v>
                </c:pt>
                <c:pt idx="47">
                  <c:v>46.63333333</c:v>
                </c:pt>
                <c:pt idx="48">
                  <c:v>47.66666667</c:v>
                </c:pt>
                <c:pt idx="49">
                  <c:v>48.7</c:v>
                </c:pt>
                <c:pt idx="50">
                  <c:v>49.66666667</c:v>
                </c:pt>
                <c:pt idx="51">
                  <c:v>50.7</c:v>
                </c:pt>
                <c:pt idx="52">
                  <c:v>51.7</c:v>
                </c:pt>
                <c:pt idx="53">
                  <c:v>52.73333333</c:v>
                </c:pt>
                <c:pt idx="54">
                  <c:v>53.73333333</c:v>
                </c:pt>
                <c:pt idx="55">
                  <c:v>54.76666667</c:v>
                </c:pt>
                <c:pt idx="56">
                  <c:v>55.8</c:v>
                </c:pt>
                <c:pt idx="57">
                  <c:v>56.8</c:v>
                </c:pt>
                <c:pt idx="58">
                  <c:v>57.83333333</c:v>
                </c:pt>
                <c:pt idx="59">
                  <c:v>58.83333333</c:v>
                </c:pt>
                <c:pt idx="60">
                  <c:v>59.86666667</c:v>
                </c:pt>
                <c:pt idx="61">
                  <c:v>60.9</c:v>
                </c:pt>
                <c:pt idx="62">
                  <c:v>61.83333333</c:v>
                </c:pt>
                <c:pt idx="63">
                  <c:v>62.86666667</c:v>
                </c:pt>
                <c:pt idx="64">
                  <c:v>63.86666667</c:v>
                </c:pt>
                <c:pt idx="65">
                  <c:v>64.9</c:v>
                </c:pt>
                <c:pt idx="66">
                  <c:v>65.9</c:v>
                </c:pt>
                <c:pt idx="67">
                  <c:v>66.9</c:v>
                </c:pt>
                <c:pt idx="68">
                  <c:v>67.9</c:v>
                </c:pt>
                <c:pt idx="69">
                  <c:v>68.9</c:v>
                </c:pt>
                <c:pt idx="70">
                  <c:v>69.9</c:v>
                </c:pt>
                <c:pt idx="71">
                  <c:v>70.9</c:v>
                </c:pt>
                <c:pt idx="72">
                  <c:v>71.9</c:v>
                </c:pt>
                <c:pt idx="73">
                  <c:v>72.9</c:v>
                </c:pt>
                <c:pt idx="74">
                  <c:v>73.9</c:v>
                </c:pt>
                <c:pt idx="75">
                  <c:v>74.9</c:v>
                </c:pt>
                <c:pt idx="76">
                  <c:v>75.9</c:v>
                </c:pt>
                <c:pt idx="77">
                  <c:v>76.9</c:v>
                </c:pt>
                <c:pt idx="78">
                  <c:v>77.9</c:v>
                </c:pt>
                <c:pt idx="79">
                  <c:v>78.9</c:v>
                </c:pt>
                <c:pt idx="80">
                  <c:v>79.9</c:v>
                </c:pt>
                <c:pt idx="81">
                  <c:v>80.9</c:v>
                </c:pt>
                <c:pt idx="82">
                  <c:v>81.9</c:v>
                </c:pt>
                <c:pt idx="83">
                  <c:v>82.9</c:v>
                </c:pt>
                <c:pt idx="84">
                  <c:v>83.9</c:v>
                </c:pt>
                <c:pt idx="85">
                  <c:v>84.9</c:v>
                </c:pt>
                <c:pt idx="86">
                  <c:v>85.9</c:v>
                </c:pt>
                <c:pt idx="87">
                  <c:v>86.9</c:v>
                </c:pt>
                <c:pt idx="88">
                  <c:v>87.9</c:v>
                </c:pt>
                <c:pt idx="89">
                  <c:v>88.9</c:v>
                </c:pt>
                <c:pt idx="90">
                  <c:v>89.9</c:v>
                </c:pt>
                <c:pt idx="91">
                  <c:v>90.9</c:v>
                </c:pt>
                <c:pt idx="92">
                  <c:v>91.9</c:v>
                </c:pt>
                <c:pt idx="93">
                  <c:v>92.9</c:v>
                </c:pt>
                <c:pt idx="94">
                  <c:v>93.9</c:v>
                </c:pt>
                <c:pt idx="95">
                  <c:v>94.9</c:v>
                </c:pt>
                <c:pt idx="96">
                  <c:v>95.9</c:v>
                </c:pt>
                <c:pt idx="97">
                  <c:v>96.9</c:v>
                </c:pt>
                <c:pt idx="98">
                  <c:v>97.9</c:v>
                </c:pt>
                <c:pt idx="99">
                  <c:v>98.9</c:v>
                </c:pt>
                <c:pt idx="100">
                  <c:v>99.9</c:v>
                </c:pt>
                <c:pt idx="101">
                  <c:v>100.9</c:v>
                </c:pt>
                <c:pt idx="102">
                  <c:v>101.9</c:v>
                </c:pt>
                <c:pt idx="103">
                  <c:v>102.9</c:v>
                </c:pt>
                <c:pt idx="104">
                  <c:v>103.9</c:v>
                </c:pt>
                <c:pt idx="105">
                  <c:v>104.9</c:v>
                </c:pt>
                <c:pt idx="106">
                  <c:v>105.9</c:v>
                </c:pt>
                <c:pt idx="107">
                  <c:v>106.9</c:v>
                </c:pt>
                <c:pt idx="108">
                  <c:v>107.9</c:v>
                </c:pt>
                <c:pt idx="109">
                  <c:v>108.9</c:v>
                </c:pt>
                <c:pt idx="110">
                  <c:v>109.9</c:v>
                </c:pt>
                <c:pt idx="111">
                  <c:v>110.9</c:v>
                </c:pt>
                <c:pt idx="112">
                  <c:v>111.9</c:v>
                </c:pt>
                <c:pt idx="113">
                  <c:v>112.9</c:v>
                </c:pt>
                <c:pt idx="114">
                  <c:v>113.9</c:v>
                </c:pt>
                <c:pt idx="115">
                  <c:v>114.9</c:v>
                </c:pt>
                <c:pt idx="116">
                  <c:v>115.9</c:v>
                </c:pt>
                <c:pt idx="117">
                  <c:v>116.9</c:v>
                </c:pt>
                <c:pt idx="118">
                  <c:v>117.9</c:v>
                </c:pt>
                <c:pt idx="119">
                  <c:v>118.9</c:v>
                </c:pt>
                <c:pt idx="120">
                  <c:v>119.9</c:v>
                </c:pt>
                <c:pt idx="121">
                  <c:v>120.9</c:v>
                </c:pt>
                <c:pt idx="122">
                  <c:v>121.9</c:v>
                </c:pt>
                <c:pt idx="123">
                  <c:v>122.9</c:v>
                </c:pt>
                <c:pt idx="124">
                  <c:v>123.9</c:v>
                </c:pt>
                <c:pt idx="125">
                  <c:v>124.9</c:v>
                </c:pt>
                <c:pt idx="126">
                  <c:v>125.9</c:v>
                </c:pt>
                <c:pt idx="127">
                  <c:v>126.9</c:v>
                </c:pt>
                <c:pt idx="128">
                  <c:v>127.9</c:v>
                </c:pt>
                <c:pt idx="129">
                  <c:v>128.9</c:v>
                </c:pt>
                <c:pt idx="130">
                  <c:v>129.9</c:v>
                </c:pt>
                <c:pt idx="131">
                  <c:v>130.9</c:v>
                </c:pt>
                <c:pt idx="132">
                  <c:v>131.9</c:v>
                </c:pt>
                <c:pt idx="133">
                  <c:v>132.9</c:v>
                </c:pt>
                <c:pt idx="134">
                  <c:v>133.9</c:v>
                </c:pt>
                <c:pt idx="135">
                  <c:v>134.9</c:v>
                </c:pt>
                <c:pt idx="136">
                  <c:v>135.9</c:v>
                </c:pt>
                <c:pt idx="137">
                  <c:v>136.9</c:v>
                </c:pt>
                <c:pt idx="138">
                  <c:v>137.9</c:v>
                </c:pt>
                <c:pt idx="139">
                  <c:v>138.9</c:v>
                </c:pt>
                <c:pt idx="140">
                  <c:v>139.9</c:v>
                </c:pt>
                <c:pt idx="141">
                  <c:v>140.9</c:v>
                </c:pt>
                <c:pt idx="142">
                  <c:v>141.9</c:v>
                </c:pt>
                <c:pt idx="143">
                  <c:v>142.9</c:v>
                </c:pt>
                <c:pt idx="144">
                  <c:v>143.9</c:v>
                </c:pt>
                <c:pt idx="145">
                  <c:v>144.9</c:v>
                </c:pt>
                <c:pt idx="146">
                  <c:v>145.9</c:v>
                </c:pt>
                <c:pt idx="147">
                  <c:v>146.9</c:v>
                </c:pt>
                <c:pt idx="148">
                  <c:v>147.9</c:v>
                </c:pt>
                <c:pt idx="149">
                  <c:v>148.9</c:v>
                </c:pt>
                <c:pt idx="150">
                  <c:v>149.9</c:v>
                </c:pt>
                <c:pt idx="151">
                  <c:v>150.9</c:v>
                </c:pt>
                <c:pt idx="152">
                  <c:v>151.9</c:v>
                </c:pt>
                <c:pt idx="153">
                  <c:v>152.9</c:v>
                </c:pt>
                <c:pt idx="154">
                  <c:v>153.9</c:v>
                </c:pt>
                <c:pt idx="155">
                  <c:v>154.9</c:v>
                </c:pt>
                <c:pt idx="156">
                  <c:v>155.9</c:v>
                </c:pt>
              </c:strCache>
            </c:strRef>
          </c:xVal>
          <c:yVal>
            <c:numRef>
              <c:f>'Well_A-2'!$AA$2:$AA$67</c:f>
              <c:numCache>
                <c:formatCode>General</c:formatCode>
                <c:ptCount val="66"/>
                <c:pt idx="0">
                  <c:v>1041.3422191170334</c:v>
                </c:pt>
                <c:pt idx="1">
                  <c:v>1019.1730967741936</c:v>
                </c:pt>
                <c:pt idx="2">
                  <c:v>995.99671656641135</c:v>
                </c:pt>
                <c:pt idx="3">
                  <c:v>974.069896871678</c:v>
                </c:pt>
                <c:pt idx="4">
                  <c:v>951.91918042291479</c:v>
                </c:pt>
                <c:pt idx="5">
                  <c:v>930.9627255612487</c:v>
                </c:pt>
                <c:pt idx="6">
                  <c:v>909.79228242928957</c:v>
                </c:pt>
                <c:pt idx="7">
                  <c:v>889.10326315039958</c:v>
                </c:pt>
                <c:pt idx="8">
                  <c:v>869.52969767891352</c:v>
                </c:pt>
                <c:pt idx="9">
                  <c:v>849.75626474671617</c:v>
                </c:pt>
                <c:pt idx="10">
                  <c:v>831.04892154803122</c:v>
                </c:pt>
                <c:pt idx="11">
                  <c:v>812.15055596319871</c:v>
                </c:pt>
                <c:pt idx="12">
                  <c:v>793.681946331978</c:v>
                </c:pt>
                <c:pt idx="13">
                  <c:v>777.36187244381063</c:v>
                </c:pt>
                <c:pt idx="14">
                  <c:v>759.68437058292409</c:v>
                </c:pt>
                <c:pt idx="15">
                  <c:v>742.95995579157466</c:v>
                </c:pt>
                <c:pt idx="16">
                  <c:v>726.06476647674378</c:v>
                </c:pt>
                <c:pt idx="17">
                  <c:v>710.08048564887338</c:v>
                </c:pt>
                <c:pt idx="18">
                  <c:v>693.93298787286881</c:v>
                </c:pt>
                <c:pt idx="19">
                  <c:v>678.15269028007697</c:v>
                </c:pt>
                <c:pt idx="20">
                  <c:v>663.22319149966802</c:v>
                </c:pt>
                <c:pt idx="21">
                  <c:v>648.14124624673059</c:v>
                </c:pt>
                <c:pt idx="22">
                  <c:v>633.87244795975937</c:v>
                </c:pt>
                <c:pt idx="23">
                  <c:v>619.45794967320592</c:v>
                </c:pt>
                <c:pt idx="24">
                  <c:v>605.37124250854424</c:v>
                </c:pt>
                <c:pt idx="25">
                  <c:v>592.92330482623902</c:v>
                </c:pt>
                <c:pt idx="26">
                  <c:v>579.44000548268093</c:v>
                </c:pt>
                <c:pt idx="27">
                  <c:v>566.68366169880369</c:v>
                </c:pt>
                <c:pt idx="28">
                  <c:v>553.79706172610088</c:v>
                </c:pt>
                <c:pt idx="29">
                  <c:v>541.60524611268909</c:v>
                </c:pt>
                <c:pt idx="30">
                  <c:v>529.28893875904407</c:v>
                </c:pt>
                <c:pt idx="31">
                  <c:v>517.25270887495492</c:v>
                </c:pt>
                <c:pt idx="32">
                  <c:v>505.86541542763035</c:v>
                </c:pt>
                <c:pt idx="33">
                  <c:v>494.36184528922422</c:v>
                </c:pt>
                <c:pt idx="34">
                  <c:v>483.4784931000911</c:v>
                </c:pt>
                <c:pt idx="35">
                  <c:v>472.4840100099866</c:v>
                </c:pt>
                <c:pt idx="36">
                  <c:v>461.7395456076701</c:v>
                </c:pt>
                <c:pt idx="37">
                  <c:v>452.24503267811167</c:v>
                </c:pt>
                <c:pt idx="38">
                  <c:v>441.96081024562818</c:v>
                </c:pt>
                <c:pt idx="39">
                  <c:v>432.2310643165431</c:v>
                </c:pt>
                <c:pt idx="40">
                  <c:v>422.40196706513279</c:v>
                </c:pt>
                <c:pt idx="41">
                  <c:v>413.10280812566629</c:v>
                </c:pt>
                <c:pt idx="42">
                  <c:v>403.70869462686363</c:v>
                </c:pt>
                <c:pt idx="43">
                  <c:v>394.52820680838204</c:v>
                </c:pt>
                <c:pt idx="44">
                  <c:v>385.84268735707661</c:v>
                </c:pt>
                <c:pt idx="45">
                  <c:v>377.06847927516793</c:v>
                </c:pt>
                <c:pt idx="46">
                  <c:v>368.7673348837119</c:v>
                </c:pt>
                <c:pt idx="47">
                  <c:v>360.38142675041559</c:v>
                </c:pt>
                <c:pt idx="48">
                  <c:v>352.1862173275739</c:v>
                </c:pt>
                <c:pt idx="49">
                  <c:v>344.68852905942981</c:v>
                </c:pt>
                <c:pt idx="50">
                  <c:v>336.8501820425908</c:v>
                </c:pt>
                <c:pt idx="51">
                  <c:v>329.43444152564558</c:v>
                </c:pt>
                <c:pt idx="52">
                  <c:v>321.94297820650695</c:v>
                </c:pt>
                <c:pt idx="53">
                  <c:v>314.85541906328484</c:v>
                </c:pt>
                <c:pt idx="54">
                  <c:v>307.6954882077826</c:v>
                </c:pt>
                <c:pt idx="55">
                  <c:v>300.69837687753449</c:v>
                </c:pt>
                <c:pt idx="56">
                  <c:v>294.07851660829328</c:v>
                </c:pt>
                <c:pt idx="57">
                  <c:v>287.3910603425943</c:v>
                </c:pt>
                <c:pt idx="58">
                  <c:v>281.06416000527764</c:v>
                </c:pt>
                <c:pt idx="59">
                  <c:v>274.67265511206472</c:v>
                </c:pt>
                <c:pt idx="60">
                  <c:v>268.4264954482087</c:v>
                </c:pt>
                <c:pt idx="61">
                  <c:v>262.90697940087722</c:v>
                </c:pt>
                <c:pt idx="62">
                  <c:v>256.92837563556975</c:v>
                </c:pt>
                <c:pt idx="63">
                  <c:v>251.27210983336593</c:v>
                </c:pt>
                <c:pt idx="64">
                  <c:v>245.55808738561683</c:v>
                </c:pt>
                <c:pt idx="65">
                  <c:v>240.1521379310345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4B-416B-A267-37A8122CC683}"/>
            </c:ext>
          </c:extLst>
        </c:ser>
        <c:ser>
          <c:idx val="1"/>
          <c:order val="1"/>
          <c:tx>
            <c:v>PRODUCTION HISTORY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5.7986174831737021E-2"/>
                  <c:y val="-7.176063400115605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chemeClr val="accent2"/>
                        </a:solidFill>
                      </a:rPr>
                      <a:t>y = 1567.2e</a:t>
                    </a:r>
                    <a:r>
                      <a:rPr lang="en-US" sz="1000" baseline="30000">
                        <a:solidFill>
                          <a:schemeClr val="accent2"/>
                        </a:solidFill>
                      </a:rPr>
                      <a:t>-0.026x</a:t>
                    </a:r>
                    <a:br>
                      <a:rPr lang="en-US" sz="1000" baseline="0">
                        <a:solidFill>
                          <a:schemeClr val="accent2"/>
                        </a:solidFill>
                      </a:rPr>
                    </a:br>
                    <a:r>
                      <a:rPr lang="en-US" sz="1000" baseline="0">
                        <a:solidFill>
                          <a:schemeClr val="accent2"/>
                        </a:solidFill>
                      </a:rPr>
                      <a:t>R² = 0.6411</a:t>
                    </a:r>
                    <a:endParaRPr lang="en-US" sz="1000">
                      <a:solidFill>
                        <a:schemeClr val="accent2"/>
                      </a:solidFill>
                    </a:endParaRPr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'Well_A-2'!$Y:$Y</c:f>
              <c:strCache>
                <c:ptCount val="157"/>
                <c:pt idx="0">
                  <c:v>T (MONTHS)</c:v>
                </c:pt>
                <c:pt idx="1">
                  <c:v>0</c:v>
                </c:pt>
                <c:pt idx="2">
                  <c:v>0.966666667</c:v>
                </c:pt>
                <c:pt idx="3">
                  <c:v>2</c:v>
                </c:pt>
                <c:pt idx="4">
                  <c:v>3</c:v>
                </c:pt>
                <c:pt idx="5">
                  <c:v>4.033333333</c:v>
                </c:pt>
                <c:pt idx="6">
                  <c:v>5.033333333</c:v>
                </c:pt>
                <c:pt idx="7">
                  <c:v>6.066666667</c:v>
                </c:pt>
                <c:pt idx="8">
                  <c:v>7.1</c:v>
                </c:pt>
                <c:pt idx="9">
                  <c:v>8.1</c:v>
                </c:pt>
                <c:pt idx="10">
                  <c:v>9.133333333</c:v>
                </c:pt>
                <c:pt idx="11">
                  <c:v>10.13333333</c:v>
                </c:pt>
                <c:pt idx="12">
                  <c:v>11.16666667</c:v>
                </c:pt>
                <c:pt idx="13">
                  <c:v>12.2</c:v>
                </c:pt>
                <c:pt idx="14">
                  <c:v>13.13333333</c:v>
                </c:pt>
                <c:pt idx="15">
                  <c:v>14.16666667</c:v>
                </c:pt>
                <c:pt idx="16">
                  <c:v>15.16666667</c:v>
                </c:pt>
                <c:pt idx="17">
                  <c:v>16.2</c:v>
                </c:pt>
                <c:pt idx="18">
                  <c:v>17.2</c:v>
                </c:pt>
                <c:pt idx="19">
                  <c:v>18.23333333</c:v>
                </c:pt>
                <c:pt idx="20">
                  <c:v>19.26666667</c:v>
                </c:pt>
                <c:pt idx="21">
                  <c:v>20.26666667</c:v>
                </c:pt>
                <c:pt idx="22">
                  <c:v>21.3</c:v>
                </c:pt>
                <c:pt idx="23">
                  <c:v>22.3</c:v>
                </c:pt>
                <c:pt idx="24">
                  <c:v>23.33333333</c:v>
                </c:pt>
                <c:pt idx="25">
                  <c:v>24.36666667</c:v>
                </c:pt>
                <c:pt idx="26">
                  <c:v>25.3</c:v>
                </c:pt>
                <c:pt idx="27">
                  <c:v>26.33333333</c:v>
                </c:pt>
                <c:pt idx="28">
                  <c:v>27.33333333</c:v>
                </c:pt>
                <c:pt idx="29">
                  <c:v>28.36666667</c:v>
                </c:pt>
                <c:pt idx="30">
                  <c:v>29.36666667</c:v>
                </c:pt>
                <c:pt idx="31">
                  <c:v>30.4</c:v>
                </c:pt>
                <c:pt idx="32">
                  <c:v>31.43333333</c:v>
                </c:pt>
                <c:pt idx="33">
                  <c:v>32.43333333</c:v>
                </c:pt>
                <c:pt idx="34">
                  <c:v>33.46666667</c:v>
                </c:pt>
                <c:pt idx="35">
                  <c:v>34.46666667</c:v>
                </c:pt>
                <c:pt idx="36">
                  <c:v>35.5</c:v>
                </c:pt>
                <c:pt idx="37">
                  <c:v>36.53333333</c:v>
                </c:pt>
                <c:pt idx="38">
                  <c:v>37.46666667</c:v>
                </c:pt>
                <c:pt idx="39">
                  <c:v>38.5</c:v>
                </c:pt>
                <c:pt idx="40">
                  <c:v>39.5</c:v>
                </c:pt>
                <c:pt idx="41">
                  <c:v>40.53333333</c:v>
                </c:pt>
                <c:pt idx="42">
                  <c:v>41.53333333</c:v>
                </c:pt>
                <c:pt idx="43">
                  <c:v>42.56666667</c:v>
                </c:pt>
                <c:pt idx="44">
                  <c:v>43.6</c:v>
                </c:pt>
                <c:pt idx="45">
                  <c:v>44.6</c:v>
                </c:pt>
                <c:pt idx="46">
                  <c:v>45.63333333</c:v>
                </c:pt>
                <c:pt idx="47">
                  <c:v>46.63333333</c:v>
                </c:pt>
                <c:pt idx="48">
                  <c:v>47.66666667</c:v>
                </c:pt>
                <c:pt idx="49">
                  <c:v>48.7</c:v>
                </c:pt>
                <c:pt idx="50">
                  <c:v>49.66666667</c:v>
                </c:pt>
                <c:pt idx="51">
                  <c:v>50.7</c:v>
                </c:pt>
                <c:pt idx="52">
                  <c:v>51.7</c:v>
                </c:pt>
                <c:pt idx="53">
                  <c:v>52.73333333</c:v>
                </c:pt>
                <c:pt idx="54">
                  <c:v>53.73333333</c:v>
                </c:pt>
                <c:pt idx="55">
                  <c:v>54.76666667</c:v>
                </c:pt>
                <c:pt idx="56">
                  <c:v>55.8</c:v>
                </c:pt>
                <c:pt idx="57">
                  <c:v>56.8</c:v>
                </c:pt>
                <c:pt idx="58">
                  <c:v>57.83333333</c:v>
                </c:pt>
                <c:pt idx="59">
                  <c:v>58.83333333</c:v>
                </c:pt>
                <c:pt idx="60">
                  <c:v>59.86666667</c:v>
                </c:pt>
                <c:pt idx="61">
                  <c:v>60.9</c:v>
                </c:pt>
                <c:pt idx="62">
                  <c:v>61.83333333</c:v>
                </c:pt>
                <c:pt idx="63">
                  <c:v>62.86666667</c:v>
                </c:pt>
                <c:pt idx="64">
                  <c:v>63.86666667</c:v>
                </c:pt>
                <c:pt idx="65">
                  <c:v>64.9</c:v>
                </c:pt>
                <c:pt idx="66">
                  <c:v>65.9</c:v>
                </c:pt>
                <c:pt idx="67">
                  <c:v>66.9</c:v>
                </c:pt>
                <c:pt idx="68">
                  <c:v>67.9</c:v>
                </c:pt>
                <c:pt idx="69">
                  <c:v>68.9</c:v>
                </c:pt>
                <c:pt idx="70">
                  <c:v>69.9</c:v>
                </c:pt>
                <c:pt idx="71">
                  <c:v>70.9</c:v>
                </c:pt>
                <c:pt idx="72">
                  <c:v>71.9</c:v>
                </c:pt>
                <c:pt idx="73">
                  <c:v>72.9</c:v>
                </c:pt>
                <c:pt idx="74">
                  <c:v>73.9</c:v>
                </c:pt>
                <c:pt idx="75">
                  <c:v>74.9</c:v>
                </c:pt>
                <c:pt idx="76">
                  <c:v>75.9</c:v>
                </c:pt>
                <c:pt idx="77">
                  <c:v>76.9</c:v>
                </c:pt>
                <c:pt idx="78">
                  <c:v>77.9</c:v>
                </c:pt>
                <c:pt idx="79">
                  <c:v>78.9</c:v>
                </c:pt>
                <c:pt idx="80">
                  <c:v>79.9</c:v>
                </c:pt>
                <c:pt idx="81">
                  <c:v>80.9</c:v>
                </c:pt>
                <c:pt idx="82">
                  <c:v>81.9</c:v>
                </c:pt>
                <c:pt idx="83">
                  <c:v>82.9</c:v>
                </c:pt>
                <c:pt idx="84">
                  <c:v>83.9</c:v>
                </c:pt>
                <c:pt idx="85">
                  <c:v>84.9</c:v>
                </c:pt>
                <c:pt idx="86">
                  <c:v>85.9</c:v>
                </c:pt>
                <c:pt idx="87">
                  <c:v>86.9</c:v>
                </c:pt>
                <c:pt idx="88">
                  <c:v>87.9</c:v>
                </c:pt>
                <c:pt idx="89">
                  <c:v>88.9</c:v>
                </c:pt>
                <c:pt idx="90">
                  <c:v>89.9</c:v>
                </c:pt>
                <c:pt idx="91">
                  <c:v>90.9</c:v>
                </c:pt>
                <c:pt idx="92">
                  <c:v>91.9</c:v>
                </c:pt>
                <c:pt idx="93">
                  <c:v>92.9</c:v>
                </c:pt>
                <c:pt idx="94">
                  <c:v>93.9</c:v>
                </c:pt>
                <c:pt idx="95">
                  <c:v>94.9</c:v>
                </c:pt>
                <c:pt idx="96">
                  <c:v>95.9</c:v>
                </c:pt>
                <c:pt idx="97">
                  <c:v>96.9</c:v>
                </c:pt>
                <c:pt idx="98">
                  <c:v>97.9</c:v>
                </c:pt>
                <c:pt idx="99">
                  <c:v>98.9</c:v>
                </c:pt>
                <c:pt idx="100">
                  <c:v>99.9</c:v>
                </c:pt>
                <c:pt idx="101">
                  <c:v>100.9</c:v>
                </c:pt>
                <c:pt idx="102">
                  <c:v>101.9</c:v>
                </c:pt>
                <c:pt idx="103">
                  <c:v>102.9</c:v>
                </c:pt>
                <c:pt idx="104">
                  <c:v>103.9</c:v>
                </c:pt>
                <c:pt idx="105">
                  <c:v>104.9</c:v>
                </c:pt>
                <c:pt idx="106">
                  <c:v>105.9</c:v>
                </c:pt>
                <c:pt idx="107">
                  <c:v>106.9</c:v>
                </c:pt>
                <c:pt idx="108">
                  <c:v>107.9</c:v>
                </c:pt>
                <c:pt idx="109">
                  <c:v>108.9</c:v>
                </c:pt>
                <c:pt idx="110">
                  <c:v>109.9</c:v>
                </c:pt>
                <c:pt idx="111">
                  <c:v>110.9</c:v>
                </c:pt>
                <c:pt idx="112">
                  <c:v>111.9</c:v>
                </c:pt>
                <c:pt idx="113">
                  <c:v>112.9</c:v>
                </c:pt>
                <c:pt idx="114">
                  <c:v>113.9</c:v>
                </c:pt>
                <c:pt idx="115">
                  <c:v>114.9</c:v>
                </c:pt>
                <c:pt idx="116">
                  <c:v>115.9</c:v>
                </c:pt>
                <c:pt idx="117">
                  <c:v>116.9</c:v>
                </c:pt>
                <c:pt idx="118">
                  <c:v>117.9</c:v>
                </c:pt>
                <c:pt idx="119">
                  <c:v>118.9</c:v>
                </c:pt>
                <c:pt idx="120">
                  <c:v>119.9</c:v>
                </c:pt>
                <c:pt idx="121">
                  <c:v>120.9</c:v>
                </c:pt>
                <c:pt idx="122">
                  <c:v>121.9</c:v>
                </c:pt>
                <c:pt idx="123">
                  <c:v>122.9</c:v>
                </c:pt>
                <c:pt idx="124">
                  <c:v>123.9</c:v>
                </c:pt>
                <c:pt idx="125">
                  <c:v>124.9</c:v>
                </c:pt>
                <c:pt idx="126">
                  <c:v>125.9</c:v>
                </c:pt>
                <c:pt idx="127">
                  <c:v>126.9</c:v>
                </c:pt>
                <c:pt idx="128">
                  <c:v>127.9</c:v>
                </c:pt>
                <c:pt idx="129">
                  <c:v>128.9</c:v>
                </c:pt>
                <c:pt idx="130">
                  <c:v>129.9</c:v>
                </c:pt>
                <c:pt idx="131">
                  <c:v>130.9</c:v>
                </c:pt>
                <c:pt idx="132">
                  <c:v>131.9</c:v>
                </c:pt>
                <c:pt idx="133">
                  <c:v>132.9</c:v>
                </c:pt>
                <c:pt idx="134">
                  <c:v>133.9</c:v>
                </c:pt>
                <c:pt idx="135">
                  <c:v>134.9</c:v>
                </c:pt>
                <c:pt idx="136">
                  <c:v>135.9</c:v>
                </c:pt>
                <c:pt idx="137">
                  <c:v>136.9</c:v>
                </c:pt>
                <c:pt idx="138">
                  <c:v>137.9</c:v>
                </c:pt>
                <c:pt idx="139">
                  <c:v>138.9</c:v>
                </c:pt>
                <c:pt idx="140">
                  <c:v>139.9</c:v>
                </c:pt>
                <c:pt idx="141">
                  <c:v>140.9</c:v>
                </c:pt>
                <c:pt idx="142">
                  <c:v>141.9</c:v>
                </c:pt>
                <c:pt idx="143">
                  <c:v>142.9</c:v>
                </c:pt>
                <c:pt idx="144">
                  <c:v>143.9</c:v>
                </c:pt>
                <c:pt idx="145">
                  <c:v>144.9</c:v>
                </c:pt>
                <c:pt idx="146">
                  <c:v>145.9</c:v>
                </c:pt>
                <c:pt idx="147">
                  <c:v>146.9</c:v>
                </c:pt>
                <c:pt idx="148">
                  <c:v>147.9</c:v>
                </c:pt>
                <c:pt idx="149">
                  <c:v>148.9</c:v>
                </c:pt>
                <c:pt idx="150">
                  <c:v>149.9</c:v>
                </c:pt>
                <c:pt idx="151">
                  <c:v>150.9</c:v>
                </c:pt>
                <c:pt idx="152">
                  <c:v>151.9</c:v>
                </c:pt>
                <c:pt idx="153">
                  <c:v>152.9</c:v>
                </c:pt>
                <c:pt idx="154">
                  <c:v>153.9</c:v>
                </c:pt>
                <c:pt idx="155">
                  <c:v>154.9</c:v>
                </c:pt>
                <c:pt idx="156">
                  <c:v>155.9</c:v>
                </c:pt>
              </c:strCache>
            </c:strRef>
          </c:xVal>
          <c:yVal>
            <c:numRef>
              <c:f>('Well_A-2'!$C$2:$C$12,'Well_A-2'!$C$15:$C$44,'Well_A-2'!$C$47:$C$67)</c:f>
              <c:numCache>
                <c:formatCode>0</c:formatCode>
                <c:ptCount val="62"/>
                <c:pt idx="0">
                  <c:v>240.1521379310345</c:v>
                </c:pt>
                <c:pt idx="1">
                  <c:v>1019.1730967741936</c:v>
                </c:pt>
                <c:pt idx="2">
                  <c:v>1015.3543000000001</c:v>
                </c:pt>
                <c:pt idx="3">
                  <c:v>1243.1708387096776</c:v>
                </c:pt>
                <c:pt idx="4">
                  <c:v>1443.9563666666666</c:v>
                </c:pt>
                <c:pt idx="5">
                  <c:v>1382.3437317279097</c:v>
                </c:pt>
                <c:pt idx="6">
                  <c:v>1430.9080967741934</c:v>
                </c:pt>
                <c:pt idx="7">
                  <c:v>1357.3933666666667</c:v>
                </c:pt>
                <c:pt idx="8">
                  <c:v>1216.9313225806452</c:v>
                </c:pt>
                <c:pt idx="9">
                  <c:v>1287.0538000000001</c:v>
                </c:pt>
                <c:pt idx="10">
                  <c:v>863.62567741935482</c:v>
                </c:pt>
                <c:pt idx="11">
                  <c:v>1233.7707741935485</c:v>
                </c:pt>
                <c:pt idx="12">
                  <c:v>1341.4303</c:v>
                </c:pt>
                <c:pt idx="13">
                  <c:v>1310.540870967742</c:v>
                </c:pt>
                <c:pt idx="14">
                  <c:v>1365.4890666666665</c:v>
                </c:pt>
                <c:pt idx="15">
                  <c:v>1309.9440967741934</c:v>
                </c:pt>
                <c:pt idx="16">
                  <c:v>1335.1410645161291</c:v>
                </c:pt>
                <c:pt idx="17">
                  <c:v>1313.3391999999999</c:v>
                </c:pt>
                <c:pt idx="18">
                  <c:v>1307.3330645161288</c:v>
                </c:pt>
                <c:pt idx="19">
                  <c:v>1345.3244666666665</c:v>
                </c:pt>
                <c:pt idx="20">
                  <c:v>1341.5796774193548</c:v>
                </c:pt>
                <c:pt idx="21">
                  <c:v>1243.4203225806452</c:v>
                </c:pt>
                <c:pt idx="22">
                  <c:v>1143.8161428571427</c:v>
                </c:pt>
                <c:pt idx="23">
                  <c:v>1066.9194838709677</c:v>
                </c:pt>
                <c:pt idx="24">
                  <c:v>1029.1111666666666</c:v>
                </c:pt>
                <c:pt idx="25">
                  <c:v>929.55635483870969</c:v>
                </c:pt>
                <c:pt idx="26">
                  <c:v>898.25093333333325</c:v>
                </c:pt>
                <c:pt idx="27">
                  <c:v>824.10958064516137</c:v>
                </c:pt>
                <c:pt idx="28">
                  <c:v>827.95232258064505</c:v>
                </c:pt>
                <c:pt idx="29">
                  <c:v>822.18243333333305</c:v>
                </c:pt>
                <c:pt idx="30">
                  <c:v>678.95358064516097</c:v>
                </c:pt>
                <c:pt idx="31">
                  <c:v>617.84460000000001</c:v>
                </c:pt>
                <c:pt idx="32">
                  <c:v>607.89022580645167</c:v>
                </c:pt>
                <c:pt idx="33">
                  <c:v>625.64167741935398</c:v>
                </c:pt>
                <c:pt idx="34">
                  <c:v>602.54939285714295</c:v>
                </c:pt>
                <c:pt idx="35">
                  <c:v>618.26703225806398</c:v>
                </c:pt>
                <c:pt idx="36">
                  <c:v>633.19963333333305</c:v>
                </c:pt>
                <c:pt idx="37">
                  <c:v>577.91377419354842</c:v>
                </c:pt>
                <c:pt idx="38">
                  <c:v>613.7903</c:v>
                </c:pt>
                <c:pt idx="39">
                  <c:v>585.88045161290324</c:v>
                </c:pt>
                <c:pt idx="40">
                  <c:v>559.42125806451611</c:v>
                </c:pt>
                <c:pt idx="41">
                  <c:v>591.59456666666665</c:v>
                </c:pt>
                <c:pt idx="42">
                  <c:v>591.15109677419355</c:v>
                </c:pt>
                <c:pt idx="43">
                  <c:v>507.24299999999999</c:v>
                </c:pt>
                <c:pt idx="44">
                  <c:v>517.61441379310338</c:v>
                </c:pt>
                <c:pt idx="45">
                  <c:v>490.08412903225809</c:v>
                </c:pt>
                <c:pt idx="46">
                  <c:v>456.01149999999996</c:v>
                </c:pt>
                <c:pt idx="47">
                  <c:v>442.75670967741939</c:v>
                </c:pt>
                <c:pt idx="48">
                  <c:v>430.25493333333333</c:v>
                </c:pt>
                <c:pt idx="49">
                  <c:v>436.90996774193553</c:v>
                </c:pt>
                <c:pt idx="50">
                  <c:v>449.85570967741938</c:v>
                </c:pt>
                <c:pt idx="51">
                  <c:v>356.28626666666668</c:v>
                </c:pt>
                <c:pt idx="52">
                  <c:v>330.31512903225808</c:v>
                </c:pt>
                <c:pt idx="53">
                  <c:v>332.21809999999999</c:v>
                </c:pt>
                <c:pt idx="54">
                  <c:v>335.13938709677421</c:v>
                </c:pt>
                <c:pt idx="55">
                  <c:v>296.44012903225808</c:v>
                </c:pt>
                <c:pt idx="56">
                  <c:v>308.9867142857143</c:v>
                </c:pt>
                <c:pt idx="57">
                  <c:v>336.89703225806454</c:v>
                </c:pt>
                <c:pt idx="58">
                  <c:v>307.51</c:v>
                </c:pt>
                <c:pt idx="59">
                  <c:v>305.57754838709678</c:v>
                </c:pt>
                <c:pt idx="60">
                  <c:v>278.16006666666664</c:v>
                </c:pt>
                <c:pt idx="61">
                  <c:v>271.29599999999999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B-416B-A267-37A8122CC683}"/>
            </c:ext>
          </c:extLst>
        </c:ser>
        <c:ser>
          <c:idx val="2"/>
          <c:order val="2"/>
          <c:tx>
            <c:v>EXTRAPOLATE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'Well_A-2'!$Y:$Y</c:f>
              <c:strCache>
                <c:ptCount val="157"/>
                <c:pt idx="0">
                  <c:v>T (MONTHS)</c:v>
                </c:pt>
                <c:pt idx="1">
                  <c:v>0</c:v>
                </c:pt>
                <c:pt idx="2">
                  <c:v>0.966666667</c:v>
                </c:pt>
                <c:pt idx="3">
                  <c:v>2</c:v>
                </c:pt>
                <c:pt idx="4">
                  <c:v>3</c:v>
                </c:pt>
                <c:pt idx="5">
                  <c:v>4.033333333</c:v>
                </c:pt>
                <c:pt idx="6">
                  <c:v>5.033333333</c:v>
                </c:pt>
                <c:pt idx="7">
                  <c:v>6.066666667</c:v>
                </c:pt>
                <c:pt idx="8">
                  <c:v>7.1</c:v>
                </c:pt>
                <c:pt idx="9">
                  <c:v>8.1</c:v>
                </c:pt>
                <c:pt idx="10">
                  <c:v>9.133333333</c:v>
                </c:pt>
                <c:pt idx="11">
                  <c:v>10.13333333</c:v>
                </c:pt>
                <c:pt idx="12">
                  <c:v>11.16666667</c:v>
                </c:pt>
                <c:pt idx="13">
                  <c:v>12.2</c:v>
                </c:pt>
                <c:pt idx="14">
                  <c:v>13.13333333</c:v>
                </c:pt>
                <c:pt idx="15">
                  <c:v>14.16666667</c:v>
                </c:pt>
                <c:pt idx="16">
                  <c:v>15.16666667</c:v>
                </c:pt>
                <c:pt idx="17">
                  <c:v>16.2</c:v>
                </c:pt>
                <c:pt idx="18">
                  <c:v>17.2</c:v>
                </c:pt>
                <c:pt idx="19">
                  <c:v>18.23333333</c:v>
                </c:pt>
                <c:pt idx="20">
                  <c:v>19.26666667</c:v>
                </c:pt>
                <c:pt idx="21">
                  <c:v>20.26666667</c:v>
                </c:pt>
                <c:pt idx="22">
                  <c:v>21.3</c:v>
                </c:pt>
                <c:pt idx="23">
                  <c:v>22.3</c:v>
                </c:pt>
                <c:pt idx="24">
                  <c:v>23.33333333</c:v>
                </c:pt>
                <c:pt idx="25">
                  <c:v>24.36666667</c:v>
                </c:pt>
                <c:pt idx="26">
                  <c:v>25.3</c:v>
                </c:pt>
                <c:pt idx="27">
                  <c:v>26.33333333</c:v>
                </c:pt>
                <c:pt idx="28">
                  <c:v>27.33333333</c:v>
                </c:pt>
                <c:pt idx="29">
                  <c:v>28.36666667</c:v>
                </c:pt>
                <c:pt idx="30">
                  <c:v>29.36666667</c:v>
                </c:pt>
                <c:pt idx="31">
                  <c:v>30.4</c:v>
                </c:pt>
                <c:pt idx="32">
                  <c:v>31.43333333</c:v>
                </c:pt>
                <c:pt idx="33">
                  <c:v>32.43333333</c:v>
                </c:pt>
                <c:pt idx="34">
                  <c:v>33.46666667</c:v>
                </c:pt>
                <c:pt idx="35">
                  <c:v>34.46666667</c:v>
                </c:pt>
                <c:pt idx="36">
                  <c:v>35.5</c:v>
                </c:pt>
                <c:pt idx="37">
                  <c:v>36.53333333</c:v>
                </c:pt>
                <c:pt idx="38">
                  <c:v>37.46666667</c:v>
                </c:pt>
                <c:pt idx="39">
                  <c:v>38.5</c:v>
                </c:pt>
                <c:pt idx="40">
                  <c:v>39.5</c:v>
                </c:pt>
                <c:pt idx="41">
                  <c:v>40.53333333</c:v>
                </c:pt>
                <c:pt idx="42">
                  <c:v>41.53333333</c:v>
                </c:pt>
                <c:pt idx="43">
                  <c:v>42.56666667</c:v>
                </c:pt>
                <c:pt idx="44">
                  <c:v>43.6</c:v>
                </c:pt>
                <c:pt idx="45">
                  <c:v>44.6</c:v>
                </c:pt>
                <c:pt idx="46">
                  <c:v>45.63333333</c:v>
                </c:pt>
                <c:pt idx="47">
                  <c:v>46.63333333</c:v>
                </c:pt>
                <c:pt idx="48">
                  <c:v>47.66666667</c:v>
                </c:pt>
                <c:pt idx="49">
                  <c:v>48.7</c:v>
                </c:pt>
                <c:pt idx="50">
                  <c:v>49.66666667</c:v>
                </c:pt>
                <c:pt idx="51">
                  <c:v>50.7</c:v>
                </c:pt>
                <c:pt idx="52">
                  <c:v>51.7</c:v>
                </c:pt>
                <c:pt idx="53">
                  <c:v>52.73333333</c:v>
                </c:pt>
                <c:pt idx="54">
                  <c:v>53.73333333</c:v>
                </c:pt>
                <c:pt idx="55">
                  <c:v>54.76666667</c:v>
                </c:pt>
                <c:pt idx="56">
                  <c:v>55.8</c:v>
                </c:pt>
                <c:pt idx="57">
                  <c:v>56.8</c:v>
                </c:pt>
                <c:pt idx="58">
                  <c:v>57.83333333</c:v>
                </c:pt>
                <c:pt idx="59">
                  <c:v>58.83333333</c:v>
                </c:pt>
                <c:pt idx="60">
                  <c:v>59.86666667</c:v>
                </c:pt>
                <c:pt idx="61">
                  <c:v>60.9</c:v>
                </c:pt>
                <c:pt idx="62">
                  <c:v>61.83333333</c:v>
                </c:pt>
                <c:pt idx="63">
                  <c:v>62.86666667</c:v>
                </c:pt>
                <c:pt idx="64">
                  <c:v>63.86666667</c:v>
                </c:pt>
                <c:pt idx="65">
                  <c:v>64.9</c:v>
                </c:pt>
                <c:pt idx="66">
                  <c:v>65.9</c:v>
                </c:pt>
                <c:pt idx="67">
                  <c:v>66.9</c:v>
                </c:pt>
                <c:pt idx="68">
                  <c:v>67.9</c:v>
                </c:pt>
                <c:pt idx="69">
                  <c:v>68.9</c:v>
                </c:pt>
                <c:pt idx="70">
                  <c:v>69.9</c:v>
                </c:pt>
                <c:pt idx="71">
                  <c:v>70.9</c:v>
                </c:pt>
                <c:pt idx="72">
                  <c:v>71.9</c:v>
                </c:pt>
                <c:pt idx="73">
                  <c:v>72.9</c:v>
                </c:pt>
                <c:pt idx="74">
                  <c:v>73.9</c:v>
                </c:pt>
                <c:pt idx="75">
                  <c:v>74.9</c:v>
                </c:pt>
                <c:pt idx="76">
                  <c:v>75.9</c:v>
                </c:pt>
                <c:pt idx="77">
                  <c:v>76.9</c:v>
                </c:pt>
                <c:pt idx="78">
                  <c:v>77.9</c:v>
                </c:pt>
                <c:pt idx="79">
                  <c:v>78.9</c:v>
                </c:pt>
                <c:pt idx="80">
                  <c:v>79.9</c:v>
                </c:pt>
                <c:pt idx="81">
                  <c:v>80.9</c:v>
                </c:pt>
                <c:pt idx="82">
                  <c:v>81.9</c:v>
                </c:pt>
                <c:pt idx="83">
                  <c:v>82.9</c:v>
                </c:pt>
                <c:pt idx="84">
                  <c:v>83.9</c:v>
                </c:pt>
                <c:pt idx="85">
                  <c:v>84.9</c:v>
                </c:pt>
                <c:pt idx="86">
                  <c:v>85.9</c:v>
                </c:pt>
                <c:pt idx="87">
                  <c:v>86.9</c:v>
                </c:pt>
                <c:pt idx="88">
                  <c:v>87.9</c:v>
                </c:pt>
                <c:pt idx="89">
                  <c:v>88.9</c:v>
                </c:pt>
                <c:pt idx="90">
                  <c:v>89.9</c:v>
                </c:pt>
                <c:pt idx="91">
                  <c:v>90.9</c:v>
                </c:pt>
                <c:pt idx="92">
                  <c:v>91.9</c:v>
                </c:pt>
                <c:pt idx="93">
                  <c:v>92.9</c:v>
                </c:pt>
                <c:pt idx="94">
                  <c:v>93.9</c:v>
                </c:pt>
                <c:pt idx="95">
                  <c:v>94.9</c:v>
                </c:pt>
                <c:pt idx="96">
                  <c:v>95.9</c:v>
                </c:pt>
                <c:pt idx="97">
                  <c:v>96.9</c:v>
                </c:pt>
                <c:pt idx="98">
                  <c:v>97.9</c:v>
                </c:pt>
                <c:pt idx="99">
                  <c:v>98.9</c:v>
                </c:pt>
                <c:pt idx="100">
                  <c:v>99.9</c:v>
                </c:pt>
                <c:pt idx="101">
                  <c:v>100.9</c:v>
                </c:pt>
                <c:pt idx="102">
                  <c:v>101.9</c:v>
                </c:pt>
                <c:pt idx="103">
                  <c:v>102.9</c:v>
                </c:pt>
                <c:pt idx="104">
                  <c:v>103.9</c:v>
                </c:pt>
                <c:pt idx="105">
                  <c:v>104.9</c:v>
                </c:pt>
                <c:pt idx="106">
                  <c:v>105.9</c:v>
                </c:pt>
                <c:pt idx="107">
                  <c:v>106.9</c:v>
                </c:pt>
                <c:pt idx="108">
                  <c:v>107.9</c:v>
                </c:pt>
                <c:pt idx="109">
                  <c:v>108.9</c:v>
                </c:pt>
                <c:pt idx="110">
                  <c:v>109.9</c:v>
                </c:pt>
                <c:pt idx="111">
                  <c:v>110.9</c:v>
                </c:pt>
                <c:pt idx="112">
                  <c:v>111.9</c:v>
                </c:pt>
                <c:pt idx="113">
                  <c:v>112.9</c:v>
                </c:pt>
                <c:pt idx="114">
                  <c:v>113.9</c:v>
                </c:pt>
                <c:pt idx="115">
                  <c:v>114.9</c:v>
                </c:pt>
                <c:pt idx="116">
                  <c:v>115.9</c:v>
                </c:pt>
                <c:pt idx="117">
                  <c:v>116.9</c:v>
                </c:pt>
                <c:pt idx="118">
                  <c:v>117.9</c:v>
                </c:pt>
                <c:pt idx="119">
                  <c:v>118.9</c:v>
                </c:pt>
                <c:pt idx="120">
                  <c:v>119.9</c:v>
                </c:pt>
                <c:pt idx="121">
                  <c:v>120.9</c:v>
                </c:pt>
                <c:pt idx="122">
                  <c:v>121.9</c:v>
                </c:pt>
                <c:pt idx="123">
                  <c:v>122.9</c:v>
                </c:pt>
                <c:pt idx="124">
                  <c:v>123.9</c:v>
                </c:pt>
                <c:pt idx="125">
                  <c:v>124.9</c:v>
                </c:pt>
                <c:pt idx="126">
                  <c:v>125.9</c:v>
                </c:pt>
                <c:pt idx="127">
                  <c:v>126.9</c:v>
                </c:pt>
                <c:pt idx="128">
                  <c:v>127.9</c:v>
                </c:pt>
                <c:pt idx="129">
                  <c:v>128.9</c:v>
                </c:pt>
                <c:pt idx="130">
                  <c:v>129.9</c:v>
                </c:pt>
                <c:pt idx="131">
                  <c:v>130.9</c:v>
                </c:pt>
                <c:pt idx="132">
                  <c:v>131.9</c:v>
                </c:pt>
                <c:pt idx="133">
                  <c:v>132.9</c:v>
                </c:pt>
                <c:pt idx="134">
                  <c:v>133.9</c:v>
                </c:pt>
                <c:pt idx="135">
                  <c:v>134.9</c:v>
                </c:pt>
                <c:pt idx="136">
                  <c:v>135.9</c:v>
                </c:pt>
                <c:pt idx="137">
                  <c:v>136.9</c:v>
                </c:pt>
                <c:pt idx="138">
                  <c:v>137.9</c:v>
                </c:pt>
                <c:pt idx="139">
                  <c:v>138.9</c:v>
                </c:pt>
                <c:pt idx="140">
                  <c:v>139.9</c:v>
                </c:pt>
                <c:pt idx="141">
                  <c:v>140.9</c:v>
                </c:pt>
                <c:pt idx="142">
                  <c:v>141.9</c:v>
                </c:pt>
                <c:pt idx="143">
                  <c:v>142.9</c:v>
                </c:pt>
                <c:pt idx="144">
                  <c:v>143.9</c:v>
                </c:pt>
                <c:pt idx="145">
                  <c:v>144.9</c:v>
                </c:pt>
                <c:pt idx="146">
                  <c:v>145.9</c:v>
                </c:pt>
                <c:pt idx="147">
                  <c:v>146.9</c:v>
                </c:pt>
                <c:pt idx="148">
                  <c:v>147.9</c:v>
                </c:pt>
                <c:pt idx="149">
                  <c:v>148.9</c:v>
                </c:pt>
                <c:pt idx="150">
                  <c:v>149.9</c:v>
                </c:pt>
                <c:pt idx="151">
                  <c:v>150.9</c:v>
                </c:pt>
                <c:pt idx="152">
                  <c:v>151.9</c:v>
                </c:pt>
                <c:pt idx="153">
                  <c:v>152.9</c:v>
                </c:pt>
                <c:pt idx="154">
                  <c:v>153.9</c:v>
                </c:pt>
                <c:pt idx="155">
                  <c:v>154.9</c:v>
                </c:pt>
                <c:pt idx="156">
                  <c:v>155.9</c:v>
                </c:pt>
              </c:strCache>
            </c:strRef>
          </c:xVal>
          <c:yVal>
            <c:numRef>
              <c:f>'Well_A-2'!$AB:$AB</c:f>
              <c:numCache>
                <c:formatCode>General</c:formatCode>
                <c:ptCount val="1048576"/>
                <c:pt idx="0">
                  <c:v>0</c:v>
                </c:pt>
                <c:pt idx="1">
                  <c:v>1567.2</c:v>
                </c:pt>
                <c:pt idx="2">
                  <c:v>1528.301906957699</c:v>
                </c:pt>
                <c:pt idx="3">
                  <c:v>1487.7882001161765</c:v>
                </c:pt>
                <c:pt idx="4">
                  <c:v>1449.6042492790348</c:v>
                </c:pt>
                <c:pt idx="5">
                  <c:v>1411.1767361521133</c:v>
                </c:pt>
                <c:pt idx="6">
                  <c:v>1374.9590116725517</c:v>
                </c:pt>
                <c:pt idx="7">
                  <c:v>1338.5102667849012</c:v>
                </c:pt>
                <c:pt idx="8">
                  <c:v>1303.0277405209381</c:v>
                </c:pt>
                <c:pt idx="9">
                  <c:v>1269.5856503231544</c:v>
                </c:pt>
                <c:pt idx="10">
                  <c:v>1235.9302445337407</c:v>
                </c:pt>
                <c:pt idx="11">
                  <c:v>1204.210205557946</c:v>
                </c:pt>
                <c:pt idx="12">
                  <c:v>1172.2878353630008</c:v>
                </c:pt>
                <c:pt idx="13">
                  <c:v>1141.2116942683906</c:v>
                </c:pt>
                <c:pt idx="14">
                  <c:v>1113.851602221783</c:v>
                </c:pt>
                <c:pt idx="15">
                  <c:v>1084.3245453805052</c:v>
                </c:pt>
                <c:pt idx="16">
                  <c:v>1056.4954530882808</c:v>
                </c:pt>
                <c:pt idx="17">
                  <c:v>1028.4888485875874</c:v>
                </c:pt>
                <c:pt idx="18">
                  <c:v>1002.0927744501863</c:v>
                </c:pt>
                <c:pt idx="19">
                  <c:v>975.52832883426743</c:v>
                </c:pt>
                <c:pt idx="20">
                  <c:v>949.66807926573404</c:v>
                </c:pt>
                <c:pt idx="21">
                  <c:v>925.29493310994792</c:v>
                </c:pt>
                <c:pt idx="22">
                  <c:v>900.76631903749285</c:v>
                </c:pt>
                <c:pt idx="23">
                  <c:v>877.6482321759388</c:v>
                </c:pt>
                <c:pt idx="24">
                  <c:v>854.3826829893012</c:v>
                </c:pt>
                <c:pt idx="25">
                  <c:v>831.73387950909989</c:v>
                </c:pt>
                <c:pt idx="26">
                  <c:v>811.7933937815684</c:v>
                </c:pt>
                <c:pt idx="27">
                  <c:v>790.27358841992941</c:v>
                </c:pt>
                <c:pt idx="28">
                  <c:v>769.99128758856</c:v>
                </c:pt>
                <c:pt idx="29">
                  <c:v>749.57961293588107</c:v>
                </c:pt>
                <c:pt idx="30">
                  <c:v>730.34171933877326</c:v>
                </c:pt>
                <c:pt idx="31">
                  <c:v>710.9811138349005</c:v>
                </c:pt>
                <c:pt idx="32">
                  <c:v>692.13373800906925</c:v>
                </c:pt>
                <c:pt idx="33">
                  <c:v>674.37018764430525</c:v>
                </c:pt>
                <c:pt idx="34">
                  <c:v>656.49332970118405</c:v>
                </c:pt>
                <c:pt idx="35">
                  <c:v>639.64448722194936</c:v>
                </c:pt>
                <c:pt idx="36">
                  <c:v>622.68817177136407</c:v>
                </c:pt>
                <c:pt idx="37">
                  <c:v>606.18135074995519</c:v>
                </c:pt>
                <c:pt idx="38">
                  <c:v>591.64839631498671</c:v>
                </c:pt>
                <c:pt idx="39">
                  <c:v>575.9644077179446</c:v>
                </c:pt>
                <c:pt idx="40">
                  <c:v>561.18233280531376</c:v>
                </c:pt>
                <c:pt idx="41">
                  <c:v>546.30596812081603</c:v>
                </c:pt>
                <c:pt idx="42">
                  <c:v>532.28507440278986</c:v>
                </c:pt>
                <c:pt idx="43">
                  <c:v>518.17474622594386</c:v>
                </c:pt>
                <c:pt idx="44">
                  <c:v>504.43846829178358</c:v>
                </c:pt>
                <c:pt idx="45">
                  <c:v>491.49210020517512</c:v>
                </c:pt>
                <c:pt idx="46">
                  <c:v>478.46315168918818</c:v>
                </c:pt>
                <c:pt idx="47">
                  <c:v>466.18343777556981</c:v>
                </c:pt>
                <c:pt idx="48">
                  <c:v>453.8253957902599</c:v>
                </c:pt>
                <c:pt idx="49">
                  <c:v>441.79495274848892</c:v>
                </c:pt>
                <c:pt idx="50">
                  <c:v>430.82954873009322</c:v>
                </c:pt>
                <c:pt idx="51">
                  <c:v>419.40870186963087</c:v>
                </c:pt>
                <c:pt idx="52">
                  <c:v>408.64461511883604</c:v>
                </c:pt>
                <c:pt idx="53">
                  <c:v>397.81186796075144</c:v>
                </c:pt>
                <c:pt idx="54">
                  <c:v>387.60206201696275</c:v>
                </c:pt>
                <c:pt idx="55">
                  <c:v>377.3271312325183</c:v>
                </c:pt>
                <c:pt idx="56">
                  <c:v>367.32457826277317</c:v>
                </c:pt>
                <c:pt idx="57">
                  <c:v>357.89722587715517</c:v>
                </c:pt>
                <c:pt idx="58">
                  <c:v>348.40973965301959</c:v>
                </c:pt>
                <c:pt idx="59">
                  <c:v>339.46783490538587</c:v>
                </c:pt>
                <c:pt idx="60">
                  <c:v>330.46889282275731</c:v>
                </c:pt>
                <c:pt idx="61">
                  <c:v>321.70850341074947</c:v>
                </c:pt>
                <c:pt idx="62">
                  <c:v>313.99567124323715</c:v>
                </c:pt>
                <c:pt idx="63">
                  <c:v>305.67196994028012</c:v>
                </c:pt>
                <c:pt idx="64">
                  <c:v>297.82692622264574</c:v>
                </c:pt>
                <c:pt idx="65">
                  <c:v>289.9318416692833</c:v>
                </c:pt>
                <c:pt idx="66">
                  <c:v>282.49076693327089</c:v>
                </c:pt>
                <c:pt idx="67">
                  <c:v>275.24066671357281</c:v>
                </c:pt>
                <c:pt idx="68">
                  <c:v>268.17663966634086</c:v>
                </c:pt>
                <c:pt idx="69">
                  <c:v>261.29391024027746</c:v>
                </c:pt>
                <c:pt idx="70">
                  <c:v>254.58782544818126</c:v>
                </c:pt>
                <c:pt idx="71">
                  <c:v>248.05385172135036</c:v>
                </c:pt>
                <c:pt idx="72">
                  <c:v>241.6875718447173</c:v>
                </c:pt>
                <c:pt idx="73">
                  <c:v>235.48468197064369</c:v>
                </c:pt>
                <c:pt idx="74">
                  <c:v>229.44098870935497</c:v>
                </c:pt>
                <c:pt idx="75">
                  <c:v>223.55240629404938</c:v>
                </c:pt>
                <c:pt idx="76">
                  <c:v>217.81495381876417</c:v>
                </c:pt>
                <c:pt idx="77">
                  <c:v>212.22475254713117</c:v>
                </c:pt>
                <c:pt idx="78">
                  <c:v>206.77802329020375</c:v>
                </c:pt>
                <c:pt idx="79">
                  <c:v>201.47108385158066</c:v>
                </c:pt>
                <c:pt idx="80">
                  <c:v>196.30034653810173</c:v>
                </c:pt>
                <c:pt idx="81">
                  <c:v>191.26231573442985</c:v>
                </c:pt>
                <c:pt idx="82">
                  <c:v>186.35358553988266</c:v>
                </c:pt>
                <c:pt idx="83">
                  <c:v>181.57083746591326</c:v>
                </c:pt>
                <c:pt idx="84">
                  <c:v>176.9108381926863</c:v>
                </c:pt>
                <c:pt idx="85">
                  <c:v>172.37043738322993</c:v>
                </c:pt>
                <c:pt idx="86">
                  <c:v>167.94656555368866</c:v>
                </c:pt>
                <c:pt idx="87">
                  <c:v>163.63623199823496</c:v>
                </c:pt>
                <c:pt idx="88">
                  <c:v>159.43652276723833</c:v>
                </c:pt>
                <c:pt idx="89">
                  <c:v>155.34459869732459</c:v>
                </c:pt>
                <c:pt idx="90">
                  <c:v>151.3576934919929</c:v>
                </c:pt>
                <c:pt idx="91">
                  <c:v>147.47311185149456</c:v>
                </c:pt>
                <c:pt idx="92">
                  <c:v>143.68822765070703</c:v>
                </c:pt>
                <c:pt idx="93">
                  <c:v>140.00048216377405</c:v>
                </c:pt>
                <c:pt idx="94">
                  <c:v>136.40738233430886</c:v>
                </c:pt>
                <c:pt idx="95">
                  <c:v>132.90649908999379</c:v>
                </c:pt>
                <c:pt idx="96">
                  <c:v>129.49546570043427</c:v>
                </c:pt>
                <c:pt idx="97">
                  <c:v>126.17197617715931</c:v>
                </c:pt>
                <c:pt idx="98">
                  <c:v>122.93378371468555</c:v>
                </c:pt>
                <c:pt idx="99">
                  <c:v>119.7786991715907</c:v>
                </c:pt>
                <c:pt idx="100">
                  <c:v>116.70458959057127</c:v>
                </c:pt>
                <c:pt idx="101">
                  <c:v>113.70937675648156</c:v>
                </c:pt>
                <c:pt idx="102">
                  <c:v>110.79103579138152</c:v>
                </c:pt>
                <c:pt idx="103">
                  <c:v>107.94759378564184</c:v>
                </c:pt>
                <c:pt idx="104">
                  <c:v>105.17712846418225</c:v>
                </c:pt>
                <c:pt idx="105">
                  <c:v>102.47776688693996</c:v>
                </c:pt>
                <c:pt idx="106">
                  <c:v>99.847684182691154</c:v>
                </c:pt>
                <c:pt idx="107">
                  <c:v>97.285102315368491</c:v>
                </c:pt>
                <c:pt idx="108">
                  <c:v>94.788288882040888</c:v>
                </c:pt>
                <c:pt idx="109">
                  <c:v>92.355555941743347</c:v>
                </c:pt>
                <c:pt idx="110">
                  <c:v>89.985258874364334</c:v>
                </c:pt>
                <c:pt idx="111">
                  <c:v>87.675795268820309</c:v>
                </c:pt>
                <c:pt idx="112">
                  <c:v>85.425603839764378</c:v>
                </c:pt>
                <c:pt idx="113">
                  <c:v>83.23316337209836</c:v>
                </c:pt>
                <c:pt idx="114">
                  <c:v>81.096991692573141</c:v>
                </c:pt>
                <c:pt idx="115">
                  <c:v>79.015644667783235</c:v>
                </c:pt>
                <c:pt idx="116">
                  <c:v>76.987715227877686</c:v>
                </c:pt>
                <c:pt idx="117">
                  <c:v>75.011832415327063</c:v>
                </c:pt>
                <c:pt idx="118">
                  <c:v>73.086660458104191</c:v>
                </c:pt>
                <c:pt idx="119">
                  <c:v>71.210897866651166</c:v>
                </c:pt>
                <c:pt idx="120">
                  <c:v>69.38327655402307</c:v>
                </c:pt>
                <c:pt idx="121">
                  <c:v>67.602560978612701</c:v>
                </c:pt>
                <c:pt idx="122">
                  <c:v>65.867547308877548</c:v>
                </c:pt>
                <c:pt idx="123">
                  <c:v>64.177062609503764</c:v>
                </c:pt>
                <c:pt idx="124">
                  <c:v>62.529964048457138</c:v>
                </c:pt>
                <c:pt idx="125">
                  <c:v>60.925138124385384</c:v>
                </c:pt>
                <c:pt idx="126">
                  <c:v>59.361499913848441</c:v>
                </c:pt>
                <c:pt idx="127">
                  <c:v>57.837992337869295</c:v>
                </c:pt>
                <c:pt idx="128">
                  <c:v>56.353585447308035</c:v>
                </c:pt>
                <c:pt idx="129">
                  <c:v>54.907275726577197</c:v>
                </c:pt>
                <c:pt idx="130">
                  <c:v>53.498085415226882</c:v>
                </c:pt>
                <c:pt idx="131">
                  <c:v>52.125061846941627</c:v>
                </c:pt>
                <c:pt idx="132">
                  <c:v>50.78727680550147</c:v>
                </c:pt>
                <c:pt idx="133">
                  <c:v>49.483825897272624</c:v>
                </c:pt>
                <c:pt idx="134">
                  <c:v>48.213827939802876</c:v>
                </c:pt>
                <c:pt idx="135">
                  <c:v>46.976424366108645</c:v>
                </c:pt>
                <c:pt idx="136">
                  <c:v>45.770778644251116</c:v>
                </c:pt>
                <c:pt idx="137">
                  <c:v>44.596075711808631</c:v>
                </c:pt>
                <c:pt idx="138">
                  <c:v>43.451521424863643</c:v>
                </c:pt>
                <c:pt idx="139">
                  <c:v>42.336342021130996</c:v>
                </c:pt>
                <c:pt idx="140">
                  <c:v>41.249783596865335</c:v>
                </c:pt>
                <c:pt idx="141">
                  <c:v>40.191111597193313</c:v>
                </c:pt>
                <c:pt idx="142">
                  <c:v>39.159610319526585</c:v>
                </c:pt>
                <c:pt idx="143">
                  <c:v>38.154582429719646</c:v>
                </c:pt>
                <c:pt idx="144">
                  <c:v>37.175348490645298</c:v>
                </c:pt>
                <c:pt idx="145">
                  <c:v>36.22124650286937</c:v>
                </c:pt>
                <c:pt idx="146">
                  <c:v>35.291631457113816</c:v>
                </c:pt>
                <c:pt idx="147">
                  <c:v>34.385874898205962</c:v>
                </c:pt>
                <c:pt idx="148">
                  <c:v>33.503364500218737</c:v>
                </c:pt>
                <c:pt idx="149">
                  <c:v>32.643503652515221</c:v>
                </c:pt>
                <c:pt idx="150">
                  <c:v>31.805711056416961</c:v>
                </c:pt>
                <c:pt idx="151">
                  <c:v>30.989420332224</c:v>
                </c:pt>
                <c:pt idx="152">
                  <c:v>30.194079636320676</c:v>
                </c:pt>
                <c:pt idx="153">
                  <c:v>29.41915128810821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04B-416B-A267-37A8122CC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253072"/>
        <c:axId val="1264254032"/>
      </c:scatterChart>
      <c:valAx>
        <c:axId val="126425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aseline="0">
                    <a:solidFill>
                      <a:srgbClr val="00B050"/>
                    </a:solidFill>
                  </a:rPr>
                  <a:t>TIME(MONTHS)</a:t>
                </a:r>
              </a:p>
            </c:rich>
          </c:tx>
          <c:overlay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254032"/>
        <c:crosses val="autoZero"/>
        <c:crossBetween val="midCat"/>
      </c:valAx>
      <c:valAx>
        <c:axId val="12642540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aseline="0">
                    <a:solidFill>
                      <a:schemeClr val="bg1"/>
                    </a:solidFill>
                  </a:rPr>
                  <a:t>FLOW RATE</a:t>
                </a:r>
              </a:p>
            </c:rich>
          </c:tx>
          <c:overlay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253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FLOW RATE V/S TIME (CARTISIAN)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PRODUCTION HISTORY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'Well_A-2'!$Y$2:$Y$67</c:f>
              <c:numCache>
                <c:formatCode>General</c:formatCode>
                <c:ptCount val="66"/>
                <c:pt idx="0">
                  <c:v>0</c:v>
                </c:pt>
                <c:pt idx="1">
                  <c:v>0.96666666666666667</c:v>
                </c:pt>
                <c:pt idx="2">
                  <c:v>2</c:v>
                </c:pt>
                <c:pt idx="3">
                  <c:v>3</c:v>
                </c:pt>
                <c:pt idx="4">
                  <c:v>4.0333333333333332</c:v>
                </c:pt>
                <c:pt idx="5">
                  <c:v>5.0333333333333332</c:v>
                </c:pt>
                <c:pt idx="6">
                  <c:v>6.0666666666666664</c:v>
                </c:pt>
                <c:pt idx="7">
                  <c:v>7.1</c:v>
                </c:pt>
                <c:pt idx="8">
                  <c:v>8.1</c:v>
                </c:pt>
                <c:pt idx="9">
                  <c:v>9.1333333333333329</c:v>
                </c:pt>
                <c:pt idx="10">
                  <c:v>10.133333333333333</c:v>
                </c:pt>
                <c:pt idx="11">
                  <c:v>11.166666666666666</c:v>
                </c:pt>
                <c:pt idx="12">
                  <c:v>12.2</c:v>
                </c:pt>
                <c:pt idx="13">
                  <c:v>13.133333333333333</c:v>
                </c:pt>
                <c:pt idx="14">
                  <c:v>14.166666666666666</c:v>
                </c:pt>
                <c:pt idx="15">
                  <c:v>15.166666666666666</c:v>
                </c:pt>
                <c:pt idx="16">
                  <c:v>16.2</c:v>
                </c:pt>
                <c:pt idx="17">
                  <c:v>17.2</c:v>
                </c:pt>
                <c:pt idx="18">
                  <c:v>18.233333333333334</c:v>
                </c:pt>
                <c:pt idx="19">
                  <c:v>19.266666666666666</c:v>
                </c:pt>
                <c:pt idx="20">
                  <c:v>20.266666666666666</c:v>
                </c:pt>
                <c:pt idx="21">
                  <c:v>21.3</c:v>
                </c:pt>
                <c:pt idx="22">
                  <c:v>22.3</c:v>
                </c:pt>
                <c:pt idx="23">
                  <c:v>23.333333333333332</c:v>
                </c:pt>
                <c:pt idx="24">
                  <c:v>24.366666666666667</c:v>
                </c:pt>
                <c:pt idx="25">
                  <c:v>25.3</c:v>
                </c:pt>
                <c:pt idx="26">
                  <c:v>26.333333333333332</c:v>
                </c:pt>
                <c:pt idx="27">
                  <c:v>27.333333333333332</c:v>
                </c:pt>
                <c:pt idx="28">
                  <c:v>28.366666666666667</c:v>
                </c:pt>
                <c:pt idx="29">
                  <c:v>29.366666666666667</c:v>
                </c:pt>
                <c:pt idx="30">
                  <c:v>30.4</c:v>
                </c:pt>
                <c:pt idx="31">
                  <c:v>31.433333333333334</c:v>
                </c:pt>
                <c:pt idx="32">
                  <c:v>32.43333333333333</c:v>
                </c:pt>
                <c:pt idx="33">
                  <c:v>33.466666666666669</c:v>
                </c:pt>
                <c:pt idx="34">
                  <c:v>34.466666666666669</c:v>
                </c:pt>
                <c:pt idx="35">
                  <c:v>35.5</c:v>
                </c:pt>
                <c:pt idx="36">
                  <c:v>36.533333333333331</c:v>
                </c:pt>
                <c:pt idx="37">
                  <c:v>37.466666666666669</c:v>
                </c:pt>
                <c:pt idx="38">
                  <c:v>38.5</c:v>
                </c:pt>
                <c:pt idx="39">
                  <c:v>39.5</c:v>
                </c:pt>
                <c:pt idx="40">
                  <c:v>40.533333333333331</c:v>
                </c:pt>
                <c:pt idx="41">
                  <c:v>41.533333333333331</c:v>
                </c:pt>
                <c:pt idx="42">
                  <c:v>42.56666666666667</c:v>
                </c:pt>
                <c:pt idx="43">
                  <c:v>43.6</c:v>
                </c:pt>
                <c:pt idx="44">
                  <c:v>44.6</c:v>
                </c:pt>
                <c:pt idx="45">
                  <c:v>45.633333333333333</c:v>
                </c:pt>
                <c:pt idx="46">
                  <c:v>46.633333333333333</c:v>
                </c:pt>
                <c:pt idx="47">
                  <c:v>47.666666666666664</c:v>
                </c:pt>
                <c:pt idx="48">
                  <c:v>48.7</c:v>
                </c:pt>
                <c:pt idx="49">
                  <c:v>49.666666666666664</c:v>
                </c:pt>
                <c:pt idx="50">
                  <c:v>50.7</c:v>
                </c:pt>
                <c:pt idx="51">
                  <c:v>51.7</c:v>
                </c:pt>
                <c:pt idx="52">
                  <c:v>52.733333333333334</c:v>
                </c:pt>
                <c:pt idx="53">
                  <c:v>53.733333333333334</c:v>
                </c:pt>
                <c:pt idx="54">
                  <c:v>54.766666666666666</c:v>
                </c:pt>
                <c:pt idx="55">
                  <c:v>55.8</c:v>
                </c:pt>
                <c:pt idx="56">
                  <c:v>56.8</c:v>
                </c:pt>
                <c:pt idx="57">
                  <c:v>57.833333333333336</c:v>
                </c:pt>
                <c:pt idx="58">
                  <c:v>58.833333333333336</c:v>
                </c:pt>
                <c:pt idx="59">
                  <c:v>59.866666666666667</c:v>
                </c:pt>
                <c:pt idx="60">
                  <c:v>60.9</c:v>
                </c:pt>
                <c:pt idx="61">
                  <c:v>61.833333333333336</c:v>
                </c:pt>
                <c:pt idx="62">
                  <c:v>62.866666666666667</c:v>
                </c:pt>
                <c:pt idx="63">
                  <c:v>63.866666666666667</c:v>
                </c:pt>
                <c:pt idx="64">
                  <c:v>64.900000000000006</c:v>
                </c:pt>
                <c:pt idx="65">
                  <c:v>65.900000000000006</c:v>
                </c:pt>
              </c:numCache>
            </c:numRef>
          </c:xVal>
          <c:yVal>
            <c:numRef>
              <c:f>'Well_A-2'!$H$2:$H$67</c:f>
              <c:numCache>
                <c:formatCode>0</c:formatCode>
                <c:ptCount val="66"/>
                <c:pt idx="0">
                  <c:v>6964.4120000000003</c:v>
                </c:pt>
                <c:pt idx="1">
                  <c:v>31594.366000000002</c:v>
                </c:pt>
                <c:pt idx="2">
                  <c:v>30460.629000000001</c:v>
                </c:pt>
                <c:pt idx="3">
                  <c:v>38538.296000000002</c:v>
                </c:pt>
                <c:pt idx="4">
                  <c:v>43318.690999999999</c:v>
                </c:pt>
                <c:pt idx="5">
                  <c:v>42852.655683565201</c:v>
                </c:pt>
                <c:pt idx="6">
                  <c:v>44358.150999999998</c:v>
                </c:pt>
                <c:pt idx="7">
                  <c:v>40721.800999999999</c:v>
                </c:pt>
                <c:pt idx="8">
                  <c:v>37724.870999999999</c:v>
                </c:pt>
                <c:pt idx="9">
                  <c:v>38611.614000000001</c:v>
                </c:pt>
                <c:pt idx="10">
                  <c:v>26772.396000000001</c:v>
                </c:pt>
                <c:pt idx="11">
                  <c:v>7583.1019999999999</c:v>
                </c:pt>
                <c:pt idx="12">
                  <c:v>2549.6689999999999</c:v>
                </c:pt>
                <c:pt idx="13">
                  <c:v>38246.894</c:v>
                </c:pt>
                <c:pt idx="14">
                  <c:v>40242.909</c:v>
                </c:pt>
                <c:pt idx="15">
                  <c:v>40626.767</c:v>
                </c:pt>
                <c:pt idx="16">
                  <c:v>40964.671999999999</c:v>
                </c:pt>
                <c:pt idx="17">
                  <c:v>40608.267</c:v>
                </c:pt>
                <c:pt idx="18">
                  <c:v>41389.373</c:v>
                </c:pt>
                <c:pt idx="19">
                  <c:v>39400.175999999999</c:v>
                </c:pt>
                <c:pt idx="20">
                  <c:v>40527.324999999997</c:v>
                </c:pt>
                <c:pt idx="21">
                  <c:v>40359.733999999997</c:v>
                </c:pt>
                <c:pt idx="22">
                  <c:v>41588.97</c:v>
                </c:pt>
                <c:pt idx="23">
                  <c:v>38546.03</c:v>
                </c:pt>
                <c:pt idx="24">
                  <c:v>32026.851999999999</c:v>
                </c:pt>
                <c:pt idx="25">
                  <c:v>33074.504000000001</c:v>
                </c:pt>
                <c:pt idx="26">
                  <c:v>30873.334999999999</c:v>
                </c:pt>
                <c:pt idx="27">
                  <c:v>28816.246999999999</c:v>
                </c:pt>
                <c:pt idx="28">
                  <c:v>26947.527999999998</c:v>
                </c:pt>
                <c:pt idx="29">
                  <c:v>25547.397000000001</c:v>
                </c:pt>
                <c:pt idx="30">
                  <c:v>25666.522000000001</c:v>
                </c:pt>
                <c:pt idx="31">
                  <c:v>24665.473000000002</c:v>
                </c:pt>
                <c:pt idx="32">
                  <c:v>21047.561000000002</c:v>
                </c:pt>
                <c:pt idx="33">
                  <c:v>18535.338</c:v>
                </c:pt>
                <c:pt idx="34">
                  <c:v>18844.597000000002</c:v>
                </c:pt>
                <c:pt idx="35">
                  <c:v>19394.892</c:v>
                </c:pt>
                <c:pt idx="36">
                  <c:v>16871.383000000002</c:v>
                </c:pt>
                <c:pt idx="37">
                  <c:v>19166.277999999998</c:v>
                </c:pt>
                <c:pt idx="38">
                  <c:v>18995.989000000001</c:v>
                </c:pt>
                <c:pt idx="39">
                  <c:v>17915.327000000001</c:v>
                </c:pt>
                <c:pt idx="40">
                  <c:v>18413.708999999999</c:v>
                </c:pt>
                <c:pt idx="41">
                  <c:v>18162.294000000002</c:v>
                </c:pt>
                <c:pt idx="42">
                  <c:v>17342.059000000001</c:v>
                </c:pt>
                <c:pt idx="43">
                  <c:v>7728.4409999999998</c:v>
                </c:pt>
                <c:pt idx="44">
                  <c:v>1149.154</c:v>
                </c:pt>
                <c:pt idx="45">
                  <c:v>17747.837</c:v>
                </c:pt>
                <c:pt idx="46">
                  <c:v>18325.684000000001</c:v>
                </c:pt>
                <c:pt idx="47">
                  <c:v>15724.532999999999</c:v>
                </c:pt>
                <c:pt idx="48">
                  <c:v>15010.817999999999</c:v>
                </c:pt>
                <c:pt idx="49">
                  <c:v>15192.608</c:v>
                </c:pt>
                <c:pt idx="50">
                  <c:v>13680.344999999999</c:v>
                </c:pt>
                <c:pt idx="51">
                  <c:v>13725.458000000001</c:v>
                </c:pt>
                <c:pt idx="52">
                  <c:v>12907.647999999999</c:v>
                </c:pt>
                <c:pt idx="53">
                  <c:v>13544.209000000001</c:v>
                </c:pt>
                <c:pt idx="54">
                  <c:v>13945.527</c:v>
                </c:pt>
                <c:pt idx="55">
                  <c:v>10688.588</c:v>
                </c:pt>
                <c:pt idx="56">
                  <c:v>10239.769</c:v>
                </c:pt>
                <c:pt idx="57">
                  <c:v>9966.5429999999997</c:v>
                </c:pt>
                <c:pt idx="58">
                  <c:v>10389.321</c:v>
                </c:pt>
                <c:pt idx="59">
                  <c:v>9189.6440000000002</c:v>
                </c:pt>
                <c:pt idx="60">
                  <c:v>8651.6280000000006</c:v>
                </c:pt>
                <c:pt idx="61">
                  <c:v>10443.808000000001</c:v>
                </c:pt>
                <c:pt idx="62">
                  <c:v>9225.2999999999993</c:v>
                </c:pt>
                <c:pt idx="63">
                  <c:v>9472.9040000000005</c:v>
                </c:pt>
                <c:pt idx="64">
                  <c:v>8344.8019999999997</c:v>
                </c:pt>
                <c:pt idx="65">
                  <c:v>8410.1759999999995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3-43F2-BAC4-B6859FB438C7}"/>
            </c:ext>
          </c:extLst>
        </c:ser>
        <c:ser>
          <c:idx val="0"/>
          <c:order val="1"/>
          <c:tx>
            <c:v>NEW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2.8175519630484988E-3"/>
                  <c:y val="-0.1623740733899843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500" baseline="0"/>
                      <a:t>y = 96383e</a:t>
                    </a:r>
                    <a:r>
                      <a:rPr lang="en-US" sz="1500" baseline="30000"/>
                      <a:t>-0.038x</a:t>
                    </a:r>
                    <a:br>
                      <a:rPr lang="en-US" sz="1500" baseline="0"/>
                    </a:br>
                    <a:r>
                      <a:rPr lang="en-US" sz="1500" baseline="0"/>
                      <a:t>R² = 0.9105</a:t>
                    </a:r>
                    <a:endParaRPr lang="en-US" sz="15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'Well_A-2'!$Y$48:$Y$68</c:f>
              <c:numCache>
                <c:formatCode>General</c:formatCode>
                <c:ptCount val="21"/>
                <c:pt idx="0">
                  <c:v>46.633333333333333</c:v>
                </c:pt>
                <c:pt idx="1">
                  <c:v>47.666666666666664</c:v>
                </c:pt>
                <c:pt idx="2">
                  <c:v>48.7</c:v>
                </c:pt>
                <c:pt idx="3">
                  <c:v>49.666666666666664</c:v>
                </c:pt>
                <c:pt idx="4">
                  <c:v>50.7</c:v>
                </c:pt>
                <c:pt idx="5">
                  <c:v>51.7</c:v>
                </c:pt>
                <c:pt idx="6">
                  <c:v>52.733333333333334</c:v>
                </c:pt>
                <c:pt idx="7">
                  <c:v>53.733333333333334</c:v>
                </c:pt>
                <c:pt idx="8">
                  <c:v>54.766666666666666</c:v>
                </c:pt>
                <c:pt idx="9">
                  <c:v>55.8</c:v>
                </c:pt>
                <c:pt idx="10">
                  <c:v>56.8</c:v>
                </c:pt>
                <c:pt idx="11">
                  <c:v>57.833333333333336</c:v>
                </c:pt>
                <c:pt idx="12">
                  <c:v>58.833333333333336</c:v>
                </c:pt>
                <c:pt idx="13">
                  <c:v>59.866666666666667</c:v>
                </c:pt>
                <c:pt idx="14">
                  <c:v>60.9</c:v>
                </c:pt>
                <c:pt idx="15">
                  <c:v>61.833333333333336</c:v>
                </c:pt>
                <c:pt idx="16">
                  <c:v>62.866666666666667</c:v>
                </c:pt>
                <c:pt idx="17">
                  <c:v>63.866666666666667</c:v>
                </c:pt>
                <c:pt idx="18">
                  <c:v>64.900000000000006</c:v>
                </c:pt>
                <c:pt idx="19">
                  <c:v>65.900000000000006</c:v>
                </c:pt>
                <c:pt idx="20">
                  <c:v>66.900000000000006</c:v>
                </c:pt>
              </c:numCache>
            </c:numRef>
          </c:xVal>
          <c:yVal>
            <c:numRef>
              <c:f>'Well_A-2'!$H$48:$H$67</c:f>
              <c:numCache>
                <c:formatCode>0</c:formatCode>
                <c:ptCount val="20"/>
                <c:pt idx="0">
                  <c:v>18325.684000000001</c:v>
                </c:pt>
                <c:pt idx="1">
                  <c:v>15724.532999999999</c:v>
                </c:pt>
                <c:pt idx="2">
                  <c:v>15010.817999999999</c:v>
                </c:pt>
                <c:pt idx="3">
                  <c:v>15192.608</c:v>
                </c:pt>
                <c:pt idx="4">
                  <c:v>13680.344999999999</c:v>
                </c:pt>
                <c:pt idx="5">
                  <c:v>13725.458000000001</c:v>
                </c:pt>
                <c:pt idx="6">
                  <c:v>12907.647999999999</c:v>
                </c:pt>
                <c:pt idx="7">
                  <c:v>13544.209000000001</c:v>
                </c:pt>
                <c:pt idx="8">
                  <c:v>13945.527</c:v>
                </c:pt>
                <c:pt idx="9">
                  <c:v>10688.588</c:v>
                </c:pt>
                <c:pt idx="10">
                  <c:v>10239.769</c:v>
                </c:pt>
                <c:pt idx="11">
                  <c:v>9966.5429999999997</c:v>
                </c:pt>
                <c:pt idx="12">
                  <c:v>10389.321</c:v>
                </c:pt>
                <c:pt idx="13">
                  <c:v>9189.6440000000002</c:v>
                </c:pt>
                <c:pt idx="14">
                  <c:v>8651.6280000000006</c:v>
                </c:pt>
                <c:pt idx="15">
                  <c:v>10443.808000000001</c:v>
                </c:pt>
                <c:pt idx="16">
                  <c:v>9225.2999999999993</c:v>
                </c:pt>
                <c:pt idx="17">
                  <c:v>9472.9040000000005</c:v>
                </c:pt>
                <c:pt idx="18">
                  <c:v>8344.8019999999997</c:v>
                </c:pt>
                <c:pt idx="19">
                  <c:v>8410.1759999999995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48-45E9-9C08-F89120CDF5EB}"/>
            </c:ext>
          </c:extLst>
        </c:ser>
        <c:ser>
          <c:idx val="2"/>
          <c:order val="2"/>
          <c:tx>
            <c:v>EXPONANTIAL</c:v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'Well_A-2'!$Y$67:$Y$157</c:f>
              <c:numCache>
                <c:formatCode>General</c:formatCode>
                <c:ptCount val="91"/>
                <c:pt idx="0">
                  <c:v>65.900000000000006</c:v>
                </c:pt>
                <c:pt idx="1">
                  <c:v>66.900000000000006</c:v>
                </c:pt>
                <c:pt idx="2">
                  <c:v>67.900000000000006</c:v>
                </c:pt>
                <c:pt idx="3">
                  <c:v>68.900000000000006</c:v>
                </c:pt>
                <c:pt idx="4">
                  <c:v>69.900000000000006</c:v>
                </c:pt>
                <c:pt idx="5">
                  <c:v>70.900000000000006</c:v>
                </c:pt>
                <c:pt idx="6">
                  <c:v>71.900000000000006</c:v>
                </c:pt>
                <c:pt idx="7">
                  <c:v>72.900000000000006</c:v>
                </c:pt>
                <c:pt idx="8">
                  <c:v>73.900000000000006</c:v>
                </c:pt>
                <c:pt idx="9">
                  <c:v>74.900000000000006</c:v>
                </c:pt>
                <c:pt idx="10">
                  <c:v>75.900000000000006</c:v>
                </c:pt>
                <c:pt idx="11">
                  <c:v>76.900000000000006</c:v>
                </c:pt>
                <c:pt idx="12">
                  <c:v>77.900000000000006</c:v>
                </c:pt>
                <c:pt idx="13">
                  <c:v>78.900000000000006</c:v>
                </c:pt>
                <c:pt idx="14">
                  <c:v>79.900000000000006</c:v>
                </c:pt>
                <c:pt idx="15">
                  <c:v>80.900000000000006</c:v>
                </c:pt>
                <c:pt idx="16">
                  <c:v>81.900000000000006</c:v>
                </c:pt>
                <c:pt idx="17">
                  <c:v>82.9</c:v>
                </c:pt>
                <c:pt idx="18">
                  <c:v>83.9</c:v>
                </c:pt>
                <c:pt idx="19">
                  <c:v>84.9</c:v>
                </c:pt>
                <c:pt idx="20">
                  <c:v>85.9</c:v>
                </c:pt>
                <c:pt idx="21">
                  <c:v>86.9</c:v>
                </c:pt>
                <c:pt idx="22">
                  <c:v>87.9</c:v>
                </c:pt>
                <c:pt idx="23">
                  <c:v>88.9</c:v>
                </c:pt>
                <c:pt idx="24">
                  <c:v>89.9</c:v>
                </c:pt>
                <c:pt idx="25">
                  <c:v>90.9</c:v>
                </c:pt>
                <c:pt idx="26">
                  <c:v>91.9</c:v>
                </c:pt>
                <c:pt idx="27">
                  <c:v>92.9</c:v>
                </c:pt>
                <c:pt idx="28">
                  <c:v>93.9</c:v>
                </c:pt>
                <c:pt idx="29">
                  <c:v>94.9</c:v>
                </c:pt>
                <c:pt idx="30">
                  <c:v>95.9</c:v>
                </c:pt>
                <c:pt idx="31">
                  <c:v>96.9</c:v>
                </c:pt>
                <c:pt idx="32">
                  <c:v>97.9</c:v>
                </c:pt>
                <c:pt idx="33">
                  <c:v>98.9</c:v>
                </c:pt>
                <c:pt idx="34">
                  <c:v>99.9</c:v>
                </c:pt>
                <c:pt idx="35">
                  <c:v>100.9</c:v>
                </c:pt>
                <c:pt idx="36">
                  <c:v>101.9</c:v>
                </c:pt>
                <c:pt idx="37">
                  <c:v>102.9</c:v>
                </c:pt>
                <c:pt idx="38">
                  <c:v>103.9</c:v>
                </c:pt>
                <c:pt idx="39">
                  <c:v>104.9</c:v>
                </c:pt>
                <c:pt idx="40">
                  <c:v>105.9</c:v>
                </c:pt>
                <c:pt idx="41">
                  <c:v>106.9</c:v>
                </c:pt>
                <c:pt idx="42">
                  <c:v>107.9</c:v>
                </c:pt>
                <c:pt idx="43">
                  <c:v>108.9</c:v>
                </c:pt>
                <c:pt idx="44">
                  <c:v>109.9</c:v>
                </c:pt>
                <c:pt idx="45">
                  <c:v>110.9</c:v>
                </c:pt>
                <c:pt idx="46">
                  <c:v>111.9</c:v>
                </c:pt>
                <c:pt idx="47">
                  <c:v>112.9</c:v>
                </c:pt>
                <c:pt idx="48">
                  <c:v>113.9</c:v>
                </c:pt>
                <c:pt idx="49">
                  <c:v>114.9</c:v>
                </c:pt>
                <c:pt idx="50">
                  <c:v>115.9</c:v>
                </c:pt>
                <c:pt idx="51">
                  <c:v>116.9</c:v>
                </c:pt>
                <c:pt idx="52">
                  <c:v>117.9</c:v>
                </c:pt>
                <c:pt idx="53">
                  <c:v>118.9</c:v>
                </c:pt>
                <c:pt idx="54">
                  <c:v>119.9</c:v>
                </c:pt>
                <c:pt idx="55">
                  <c:v>120.9</c:v>
                </c:pt>
                <c:pt idx="56">
                  <c:v>121.9</c:v>
                </c:pt>
                <c:pt idx="57">
                  <c:v>122.9</c:v>
                </c:pt>
                <c:pt idx="58">
                  <c:v>123.9</c:v>
                </c:pt>
                <c:pt idx="59">
                  <c:v>124.9</c:v>
                </c:pt>
                <c:pt idx="60">
                  <c:v>125.9</c:v>
                </c:pt>
                <c:pt idx="61">
                  <c:v>126.9</c:v>
                </c:pt>
                <c:pt idx="62">
                  <c:v>127.9</c:v>
                </c:pt>
                <c:pt idx="63">
                  <c:v>128.9</c:v>
                </c:pt>
                <c:pt idx="64">
                  <c:v>129.9</c:v>
                </c:pt>
                <c:pt idx="65">
                  <c:v>130.9</c:v>
                </c:pt>
                <c:pt idx="66">
                  <c:v>131.9</c:v>
                </c:pt>
                <c:pt idx="67">
                  <c:v>132.9</c:v>
                </c:pt>
                <c:pt idx="68">
                  <c:v>133.9</c:v>
                </c:pt>
                <c:pt idx="69">
                  <c:v>134.9</c:v>
                </c:pt>
                <c:pt idx="70">
                  <c:v>135.9</c:v>
                </c:pt>
                <c:pt idx="71">
                  <c:v>136.9</c:v>
                </c:pt>
                <c:pt idx="72">
                  <c:v>137.9</c:v>
                </c:pt>
                <c:pt idx="73">
                  <c:v>138.9</c:v>
                </c:pt>
                <c:pt idx="74">
                  <c:v>139.9</c:v>
                </c:pt>
                <c:pt idx="75">
                  <c:v>140.9</c:v>
                </c:pt>
                <c:pt idx="76">
                  <c:v>141.9</c:v>
                </c:pt>
                <c:pt idx="77">
                  <c:v>142.9</c:v>
                </c:pt>
                <c:pt idx="78">
                  <c:v>143.9</c:v>
                </c:pt>
                <c:pt idx="79">
                  <c:v>144.9</c:v>
                </c:pt>
                <c:pt idx="80">
                  <c:v>145.9</c:v>
                </c:pt>
                <c:pt idx="81">
                  <c:v>146.9</c:v>
                </c:pt>
                <c:pt idx="82">
                  <c:v>147.9</c:v>
                </c:pt>
                <c:pt idx="83">
                  <c:v>148.9</c:v>
                </c:pt>
                <c:pt idx="84">
                  <c:v>149.9</c:v>
                </c:pt>
                <c:pt idx="85">
                  <c:v>150.9</c:v>
                </c:pt>
                <c:pt idx="86">
                  <c:v>151.9</c:v>
                </c:pt>
                <c:pt idx="87">
                  <c:v>152.9</c:v>
                </c:pt>
                <c:pt idx="88">
                  <c:v>153.9</c:v>
                </c:pt>
                <c:pt idx="89">
                  <c:v>154.9</c:v>
                </c:pt>
                <c:pt idx="90">
                  <c:v>155.9</c:v>
                </c:pt>
              </c:numCache>
            </c:numRef>
          </c:xVal>
          <c:yVal>
            <c:numRef>
              <c:f>'Well_A-2'!$AD$67:$AD$157</c:f>
              <c:numCache>
                <c:formatCode>General</c:formatCode>
                <c:ptCount val="91"/>
                <c:pt idx="1">
                  <c:v>7584.6755564179775</c:v>
                </c:pt>
                <c:pt idx="2">
                  <c:v>7301.8653106247484</c:v>
                </c:pt>
                <c:pt idx="3">
                  <c:v>7029.6002271829821</c:v>
                </c:pt>
                <c:pt idx="4">
                  <c:v>6767.4871080007733</c:v>
                </c:pt>
                <c:pt idx="5">
                  <c:v>6515.1474161867054</c:v>
                </c:pt>
                <c:pt idx="6">
                  <c:v>6272.2167293768016</c:v>
                </c:pt>
                <c:pt idx="7">
                  <c:v>6038.3442134453217</c:v>
                </c:pt>
                <c:pt idx="8">
                  <c:v>5813.1921158393025</c:v>
                </c:pt>
                <c:pt idx="9">
                  <c:v>5596.4352778051898</c:v>
                </c:pt>
                <c:pt idx="10">
                  <c:v>5387.7606648030896</c:v>
                </c:pt>
                <c:pt idx="11">
                  <c:v>5186.8669144305086</c:v>
                </c:pt>
                <c:pt idx="12">
                  <c:v>4993.4639012026573</c:v>
                </c:pt>
                <c:pt idx="13">
                  <c:v>4807.2723175608517</c:v>
                </c:pt>
                <c:pt idx="14">
                  <c:v>4628.0232705038597</c:v>
                </c:pt>
                <c:pt idx="15">
                  <c:v>4455.4578932596778</c:v>
                </c:pt>
                <c:pt idx="16">
                  <c:v>4289.3269714369335</c:v>
                </c:pt>
                <c:pt idx="17">
                  <c:v>4129.3905831159918</c:v>
                </c:pt>
                <c:pt idx="18">
                  <c:v>3975.417752360022</c:v>
                </c:pt>
                <c:pt idx="19">
                  <c:v>3827.1861156455998</c:v>
                </c:pt>
                <c:pt idx="20">
                  <c:v>3684.4816007311406</c:v>
                </c:pt>
                <c:pt idx="21">
                  <c:v>3547.0981174993922</c:v>
                </c:pt>
                <c:pt idx="22">
                  <c:v>3414.8372603274765</c:v>
                </c:pt>
                <c:pt idx="23">
                  <c:v>3287.5080215547118</c:v>
                </c:pt>
                <c:pt idx="24">
                  <c:v>3164.9265156343449</c:v>
                </c:pt>
                <c:pt idx="25">
                  <c:v>3046.9157135708779</c:v>
                </c:pt>
                <c:pt idx="26">
                  <c:v>2933.3051872594283</c:v>
                </c:pt>
                <c:pt idx="27">
                  <c:v>2823.930863357934</c:v>
                </c:pt>
                <c:pt idx="28">
                  <c:v>2718.6347863367414</c:v>
                </c:pt>
                <c:pt idx="29">
                  <c:v>2617.2648903633612</c:v>
                </c:pt>
                <c:pt idx="30">
                  <c:v>2519.6747796929953</c:v>
                </c:pt>
                <c:pt idx="31">
                  <c:v>2425.7235172476289</c:v>
                </c:pt>
                <c:pt idx="32">
                  <c:v>2335.2754210784087</c:v>
                </c:pt>
                <c:pt idx="33">
                  <c:v>2248.1998684173295</c:v>
                </c:pt>
                <c:pt idx="34">
                  <c:v>2164.3711070352547</c:v>
                </c:pt>
                <c:pt idx="35">
                  <c:v>2083.6680736338512</c:v>
                </c:pt>
                <c:pt idx="36">
                  <c:v>2005.9742190091451</c:v>
                </c:pt>
                <c:pt idx="37">
                  <c:v>1931.1773397342215</c:v>
                </c:pt>
                <c:pt idx="38">
                  <c:v>1859.1694161179762</c:v>
                </c:pt>
                <c:pt idx="39">
                  <c:v>1789.8464562059107</c:v>
                </c:pt>
                <c:pt idx="40">
                  <c:v>1723.1083455976834</c:v>
                </c:pt>
                <c:pt idx="41">
                  <c:v>1658.8587028645163</c:v>
                </c:pt>
                <c:pt idx="42">
                  <c:v>1597.0047403576584</c:v>
                </c:pt>
                <c:pt idx="43">
                  <c:v>1537.4571302069076</c:v>
                </c:pt>
                <c:pt idx="44">
                  <c:v>1480.1298753156366</c:v>
                </c:pt>
                <c:pt idx="45">
                  <c:v>1424.9401851660407</c:v>
                </c:pt>
                <c:pt idx="46">
                  <c:v>1371.8083562552492</c:v>
                </c:pt>
                <c:pt idx="47">
                  <c:v>1320.6576569896129</c:v>
                </c:pt>
                <c:pt idx="48">
                  <c:v>1271.414216870952</c:v>
                </c:pt>
                <c:pt idx="49">
                  <c:v>1224.0069198147153</c:v>
                </c:pt>
                <c:pt idx="50">
                  <c:v>1178.367301446003</c:v>
                </c:pt>
                <c:pt idx="51">
                  <c:v>1134.4294502251089</c:v>
                </c:pt>
                <c:pt idx="52">
                  <c:v>1092.1299122598009</c:v>
                </c:pt>
                <c:pt idx="53">
                  <c:v>1051.4075996668803</c:v>
                </c:pt>
                <c:pt idx="54">
                  <c:v>1012.203702350659</c:v>
                </c:pt>
                <c:pt idx="55">
                  <c:v>974.46160307096397</c:v>
                </c:pt>
                <c:pt idx="56">
                  <c:v>938.12679567800024</c:v>
                </c:pt>
                <c:pt idx="57">
                  <c:v>903.14680639600476</c:v>
                </c:pt>
                <c:pt idx="58">
                  <c:v>869.47111804199324</c:v>
                </c:pt>
                <c:pt idx="59">
                  <c:v>837.05109707016629</c:v>
                </c:pt>
                <c:pt idx="60">
                  <c:v>805.83992333662468</c:v>
                </c:pt>
                <c:pt idx="61">
                  <c:v>775.7925224829404</c:v>
                </c:pt>
                <c:pt idx="62">
                  <c:v>746.86550084095416</c:v>
                </c:pt>
                <c:pt idx="63">
                  <c:v>719.01708276477336</c:v>
                </c:pt>
                <c:pt idx="64">
                  <c:v>692.20705029948579</c:v>
                </c:pt>
                <c:pt idx="65">
                  <c:v>666.3966850994409</c:v>
                </c:pt>
                <c:pt idx="66">
                  <c:v>641.54871251222914</c:v>
                </c:pt>
                <c:pt idx="67">
                  <c:v>617.62724774761068</c:v>
                </c:pt>
                <c:pt idx="68">
                  <c:v>594.59774405363964</c:v>
                </c:pt>
                <c:pt idx="69">
                  <c:v>572.42694282515242</c:v>
                </c:pt>
                <c:pt idx="70">
                  <c:v>551.08282557256098</c:v>
                </c:pt>
                <c:pt idx="71">
                  <c:v>530.53456768159197</c:v>
                </c:pt>
                <c:pt idx="72">
                  <c:v>510.75249389718681</c:v>
                </c:pt>
                <c:pt idx="73">
                  <c:v>491.70803546727507</c:v>
                </c:pt>
                <c:pt idx="74">
                  <c:v>473.37368888453449</c:v>
                </c:pt>
                <c:pt idx="75">
                  <c:v>455.72297616654583</c:v>
                </c:pt>
                <c:pt idx="76">
                  <c:v>438.73040661698559</c:v>
                </c:pt>
                <c:pt idx="77">
                  <c:v>422.37144001262988</c:v>
                </c:pt>
                <c:pt idx="78">
                  <c:v>406.62245116300977</c:v>
                </c:pt>
                <c:pt idx="79">
                  <c:v>391.46069579152947</c:v>
                </c:pt>
                <c:pt idx="80">
                  <c:v>376.86427768877843</c:v>
                </c:pt>
                <c:pt idx="81">
                  <c:v>362.81211709060148</c:v>
                </c:pt>
                <c:pt idx="82">
                  <c:v>349.28392023525544</c:v>
                </c:pt>
                <c:pt idx="83">
                  <c:v>336.26015005568985</c:v>
                </c:pt>
                <c:pt idx="84">
                  <c:v>323.72199796462911</c:v>
                </c:pt>
                <c:pt idx="85">
                  <c:v>311.65135669170292</c:v>
                </c:pt>
                <c:pt idx="86">
                  <c:v>300.03079413340174</c:v>
                </c:pt>
                <c:pt idx="87">
                  <c:v>288.84352817808917</c:v>
                </c:pt>
                <c:pt idx="88">
                  <c:v>278.07340246971819</c:v>
                </c:pt>
                <c:pt idx="89">
                  <c:v>267.70486307524476</c:v>
                </c:pt>
                <c:pt idx="90">
                  <c:v>257.72293602204468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48-45E9-9C08-F89120CDF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253072"/>
        <c:axId val="1264254032"/>
      </c:scatterChart>
      <c:valAx>
        <c:axId val="126425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254032"/>
        <c:crosses val="autoZero"/>
        <c:crossBetween val="midCat"/>
      </c:valAx>
      <c:valAx>
        <c:axId val="126425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FLOE RATE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253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v>WOR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'Well_A-3'!$N$1:$N$54</c:f>
              <c:strCache>
                <c:ptCount val="54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61</c:v>
                </c:pt>
                <c:pt idx="4">
                  <c:v>92</c:v>
                </c:pt>
                <c:pt idx="5">
                  <c:v>122</c:v>
                </c:pt>
                <c:pt idx="6">
                  <c:v>153</c:v>
                </c:pt>
                <c:pt idx="7">
                  <c:v>184</c:v>
                </c:pt>
                <c:pt idx="8">
                  <c:v>214</c:v>
                </c:pt>
                <c:pt idx="9">
                  <c:v>245</c:v>
                </c:pt>
                <c:pt idx="10">
                  <c:v>275</c:v>
                </c:pt>
                <c:pt idx="11">
                  <c:v>306</c:v>
                </c:pt>
                <c:pt idx="12">
                  <c:v>337</c:v>
                </c:pt>
                <c:pt idx="13">
                  <c:v>365</c:v>
                </c:pt>
                <c:pt idx="14">
                  <c:v>396</c:v>
                </c:pt>
                <c:pt idx="15">
                  <c:v>426</c:v>
                </c:pt>
                <c:pt idx="16">
                  <c:v>457</c:v>
                </c:pt>
                <c:pt idx="17">
                  <c:v>487</c:v>
                </c:pt>
                <c:pt idx="18">
                  <c:v>518</c:v>
                </c:pt>
                <c:pt idx="19">
                  <c:v>549</c:v>
                </c:pt>
                <c:pt idx="20">
                  <c:v>579</c:v>
                </c:pt>
                <c:pt idx="21">
                  <c:v>610</c:v>
                </c:pt>
                <c:pt idx="22">
                  <c:v>640</c:v>
                </c:pt>
                <c:pt idx="23">
                  <c:v>671</c:v>
                </c:pt>
                <c:pt idx="24">
                  <c:v>702</c:v>
                </c:pt>
                <c:pt idx="25">
                  <c:v>730</c:v>
                </c:pt>
                <c:pt idx="26">
                  <c:v>761</c:v>
                </c:pt>
                <c:pt idx="27">
                  <c:v>791</c:v>
                </c:pt>
                <c:pt idx="28">
                  <c:v>822</c:v>
                </c:pt>
                <c:pt idx="29">
                  <c:v>852</c:v>
                </c:pt>
                <c:pt idx="30">
                  <c:v>883</c:v>
                </c:pt>
                <c:pt idx="31">
                  <c:v>914</c:v>
                </c:pt>
                <c:pt idx="32">
                  <c:v>944</c:v>
                </c:pt>
                <c:pt idx="33">
                  <c:v>975</c:v>
                </c:pt>
                <c:pt idx="34">
                  <c:v>1005</c:v>
                </c:pt>
                <c:pt idx="35">
                  <c:v>1036</c:v>
                </c:pt>
                <c:pt idx="36">
                  <c:v>1067</c:v>
                </c:pt>
                <c:pt idx="37">
                  <c:v>1096</c:v>
                </c:pt>
                <c:pt idx="38">
                  <c:v>1127</c:v>
                </c:pt>
                <c:pt idx="39">
                  <c:v>1157</c:v>
                </c:pt>
                <c:pt idx="40">
                  <c:v>1188</c:v>
                </c:pt>
                <c:pt idx="41">
                  <c:v>1218</c:v>
                </c:pt>
                <c:pt idx="42">
                  <c:v>1249</c:v>
                </c:pt>
                <c:pt idx="43">
                  <c:v>1280</c:v>
                </c:pt>
                <c:pt idx="44">
                  <c:v>1310</c:v>
                </c:pt>
                <c:pt idx="45">
                  <c:v>1341</c:v>
                </c:pt>
                <c:pt idx="46">
                  <c:v>1371</c:v>
                </c:pt>
                <c:pt idx="47">
                  <c:v>1402</c:v>
                </c:pt>
                <c:pt idx="48">
                  <c:v>1433</c:v>
                </c:pt>
                <c:pt idx="49">
                  <c:v>1461</c:v>
                </c:pt>
                <c:pt idx="50">
                  <c:v>1492</c:v>
                </c:pt>
                <c:pt idx="51">
                  <c:v>1522</c:v>
                </c:pt>
                <c:pt idx="52">
                  <c:v>1553</c:v>
                </c:pt>
                <c:pt idx="53">
                  <c:v>1583</c:v>
                </c:pt>
              </c:strCache>
            </c:strRef>
          </c:xVal>
          <c:yVal>
            <c:numRef>
              <c:f>'Well_A-3'!$O$1:$O$54</c:f>
              <c:numCache>
                <c:formatCode>General</c:formatCode>
                <c:ptCount val="54"/>
                <c:pt idx="0">
                  <c:v>0</c:v>
                </c:pt>
                <c:pt idx="1">
                  <c:v>0.21329425644707628</c:v>
                </c:pt>
                <c:pt idx="2">
                  <c:v>2.2139272717175074E-2</c:v>
                </c:pt>
                <c:pt idx="3">
                  <c:v>9.4970651165717027E-3</c:v>
                </c:pt>
                <c:pt idx="4">
                  <c:v>1.8680216000499381E-2</c:v>
                </c:pt>
                <c:pt idx="5">
                  <c:v>3.0700199795338754E-2</c:v>
                </c:pt>
                <c:pt idx="6">
                  <c:v>2.5375891502376506E-2</c:v>
                </c:pt>
                <c:pt idx="7">
                  <c:v>3.3668988478031688E-2</c:v>
                </c:pt>
                <c:pt idx="8">
                  <c:v>1.1840261815356598E-2</c:v>
                </c:pt>
                <c:pt idx="9">
                  <c:v>9.5253224932662969E-3</c:v>
                </c:pt>
                <c:pt idx="10">
                  <c:v>7.423785213820539E-3</c:v>
                </c:pt>
                <c:pt idx="11">
                  <c:v>1.9449066593539028E-2</c:v>
                </c:pt>
                <c:pt idx="12">
                  <c:v>1.8437044117185938E-2</c:v>
                </c:pt>
                <c:pt idx="13">
                  <c:v>2.0320500896346839E-2</c:v>
                </c:pt>
                <c:pt idx="14">
                  <c:v>2.1848315737991845E-2</c:v>
                </c:pt>
                <c:pt idx="15">
                  <c:v>3.6261156981611593E-2</c:v>
                </c:pt>
                <c:pt idx="16">
                  <c:v>5.8095854176903883E-2</c:v>
                </c:pt>
                <c:pt idx="17">
                  <c:v>9.3825468427399333E-2</c:v>
                </c:pt>
                <c:pt idx="18">
                  <c:v>0.1072680900296851</c:v>
                </c:pt>
                <c:pt idx="19">
                  <c:v>0.10126606442071541</c:v>
                </c:pt>
                <c:pt idx="20">
                  <c:v>0.14381677053412087</c:v>
                </c:pt>
                <c:pt idx="21">
                  <c:v>0.13112792490896016</c:v>
                </c:pt>
                <c:pt idx="22">
                  <c:v>0.19516839728673391</c:v>
                </c:pt>
                <c:pt idx="23">
                  <c:v>0.22222930168918517</c:v>
                </c:pt>
                <c:pt idx="24">
                  <c:v>0.2753080651784211</c:v>
                </c:pt>
                <c:pt idx="25">
                  <c:v>0.31371579981381614</c:v>
                </c:pt>
                <c:pt idx="26">
                  <c:v>0.32815118781851155</c:v>
                </c:pt>
                <c:pt idx="27">
                  <c:v>0.29706444883259703</c:v>
                </c:pt>
                <c:pt idx="28">
                  <c:v>0.43278845301482671</c:v>
                </c:pt>
                <c:pt idx="29">
                  <c:v>0.38744988132093988</c:v>
                </c:pt>
                <c:pt idx="30">
                  <c:v>0.42643775437539455</c:v>
                </c:pt>
                <c:pt idx="31">
                  <c:v>0.44180487268204982</c:v>
                </c:pt>
                <c:pt idx="32">
                  <c:v>0.44561270510667811</c:v>
                </c:pt>
                <c:pt idx="33">
                  <c:v>0.50111202063675675</c:v>
                </c:pt>
                <c:pt idx="34">
                  <c:v>0.69887054285769756</c:v>
                </c:pt>
                <c:pt idx="35">
                  <c:v>0.76842967962545083</c:v>
                </c:pt>
                <c:pt idx="36">
                  <c:v>0.71046921179874178</c:v>
                </c:pt>
                <c:pt idx="37">
                  <c:v>0.73437026965310048</c:v>
                </c:pt>
                <c:pt idx="38">
                  <c:v>0.86745838126223274</c:v>
                </c:pt>
                <c:pt idx="39">
                  <c:v>0.74015020818649246</c:v>
                </c:pt>
                <c:pt idx="40">
                  <c:v>0.89156101738333093</c:v>
                </c:pt>
                <c:pt idx="41">
                  <c:v>1.0438120659114423</c:v>
                </c:pt>
                <c:pt idx="42">
                  <c:v>0.9966732861432297</c:v>
                </c:pt>
                <c:pt idx="43">
                  <c:v>0.96373408870888044</c:v>
                </c:pt>
                <c:pt idx="44">
                  <c:v>0.99814703089025092</c:v>
                </c:pt>
                <c:pt idx="45">
                  <c:v>1.021655879805478</c:v>
                </c:pt>
                <c:pt idx="46">
                  <c:v>1.0178149611539948</c:v>
                </c:pt>
                <c:pt idx="47">
                  <c:v>1.1857636792974455</c:v>
                </c:pt>
                <c:pt idx="48">
                  <c:v>1.3258198593076334</c:v>
                </c:pt>
                <c:pt idx="49">
                  <c:v>1.5418440518771885</c:v>
                </c:pt>
                <c:pt idx="50">
                  <c:v>1.5479994567440045</c:v>
                </c:pt>
                <c:pt idx="51">
                  <c:v>1.4688359717163775</c:v>
                </c:pt>
                <c:pt idx="52">
                  <c:v>1.6163808991620867</c:v>
                </c:pt>
                <c:pt idx="53">
                  <c:v>1.7205703146097977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59-4F8D-8832-C98DE3894575}"/>
            </c:ext>
          </c:extLst>
        </c:ser>
        <c:ser>
          <c:idx val="2"/>
          <c:order val="2"/>
          <c:tx>
            <c:v>WOR'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'Well_A-3'!$N$1:$N$54</c:f>
              <c:strCache>
                <c:ptCount val="54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61</c:v>
                </c:pt>
                <c:pt idx="4">
                  <c:v>92</c:v>
                </c:pt>
                <c:pt idx="5">
                  <c:v>122</c:v>
                </c:pt>
                <c:pt idx="6">
                  <c:v>153</c:v>
                </c:pt>
                <c:pt idx="7">
                  <c:v>184</c:v>
                </c:pt>
                <c:pt idx="8">
                  <c:v>214</c:v>
                </c:pt>
                <c:pt idx="9">
                  <c:v>245</c:v>
                </c:pt>
                <c:pt idx="10">
                  <c:v>275</c:v>
                </c:pt>
                <c:pt idx="11">
                  <c:v>306</c:v>
                </c:pt>
                <c:pt idx="12">
                  <c:v>337</c:v>
                </c:pt>
                <c:pt idx="13">
                  <c:v>365</c:v>
                </c:pt>
                <c:pt idx="14">
                  <c:v>396</c:v>
                </c:pt>
                <c:pt idx="15">
                  <c:v>426</c:v>
                </c:pt>
                <c:pt idx="16">
                  <c:v>457</c:v>
                </c:pt>
                <c:pt idx="17">
                  <c:v>487</c:v>
                </c:pt>
                <c:pt idx="18">
                  <c:v>518</c:v>
                </c:pt>
                <c:pt idx="19">
                  <c:v>549</c:v>
                </c:pt>
                <c:pt idx="20">
                  <c:v>579</c:v>
                </c:pt>
                <c:pt idx="21">
                  <c:v>610</c:v>
                </c:pt>
                <c:pt idx="22">
                  <c:v>640</c:v>
                </c:pt>
                <c:pt idx="23">
                  <c:v>671</c:v>
                </c:pt>
                <c:pt idx="24">
                  <c:v>702</c:v>
                </c:pt>
                <c:pt idx="25">
                  <c:v>730</c:v>
                </c:pt>
                <c:pt idx="26">
                  <c:v>761</c:v>
                </c:pt>
                <c:pt idx="27">
                  <c:v>791</c:v>
                </c:pt>
                <c:pt idx="28">
                  <c:v>822</c:v>
                </c:pt>
                <c:pt idx="29">
                  <c:v>852</c:v>
                </c:pt>
                <c:pt idx="30">
                  <c:v>883</c:v>
                </c:pt>
                <c:pt idx="31">
                  <c:v>914</c:v>
                </c:pt>
                <c:pt idx="32">
                  <c:v>944</c:v>
                </c:pt>
                <c:pt idx="33">
                  <c:v>975</c:v>
                </c:pt>
                <c:pt idx="34">
                  <c:v>1005</c:v>
                </c:pt>
                <c:pt idx="35">
                  <c:v>1036</c:v>
                </c:pt>
                <c:pt idx="36">
                  <c:v>1067</c:v>
                </c:pt>
                <c:pt idx="37">
                  <c:v>1096</c:v>
                </c:pt>
                <c:pt idx="38">
                  <c:v>1127</c:v>
                </c:pt>
                <c:pt idx="39">
                  <c:v>1157</c:v>
                </c:pt>
                <c:pt idx="40">
                  <c:v>1188</c:v>
                </c:pt>
                <c:pt idx="41">
                  <c:v>1218</c:v>
                </c:pt>
                <c:pt idx="42">
                  <c:v>1249</c:v>
                </c:pt>
                <c:pt idx="43">
                  <c:v>1280</c:v>
                </c:pt>
                <c:pt idx="44">
                  <c:v>1310</c:v>
                </c:pt>
                <c:pt idx="45">
                  <c:v>1341</c:v>
                </c:pt>
                <c:pt idx="46">
                  <c:v>1371</c:v>
                </c:pt>
                <c:pt idx="47">
                  <c:v>1402</c:v>
                </c:pt>
                <c:pt idx="48">
                  <c:v>1433</c:v>
                </c:pt>
                <c:pt idx="49">
                  <c:v>1461</c:v>
                </c:pt>
                <c:pt idx="50">
                  <c:v>1492</c:v>
                </c:pt>
                <c:pt idx="51">
                  <c:v>1522</c:v>
                </c:pt>
                <c:pt idx="52">
                  <c:v>1553</c:v>
                </c:pt>
                <c:pt idx="53">
                  <c:v>1583</c:v>
                </c:pt>
              </c:strCache>
            </c:strRef>
          </c:xVal>
          <c:yVal>
            <c:numRef>
              <c:f>'Well_A-3'!$P$1:$P$54</c:f>
              <c:numCache>
                <c:formatCode>General</c:formatCode>
                <c:ptCount val="54"/>
                <c:pt idx="0">
                  <c:v>0</c:v>
                </c:pt>
                <c:pt idx="2">
                  <c:v>0</c:v>
                </c:pt>
                <c:pt idx="3">
                  <c:v>-3.1798605921252582E-3</c:v>
                </c:pt>
                <c:pt idx="4">
                  <c:v>3.0589657252358026E-2</c:v>
                </c:pt>
                <c:pt idx="5">
                  <c:v>1.3163637339433588E-2</c:v>
                </c:pt>
                <c:pt idx="6">
                  <c:v>7.2248293615876672E-3</c:v>
                </c:pt>
                <c:pt idx="7">
                  <c:v>-4.0340068516838204E-2</c:v>
                </c:pt>
                <c:pt idx="8">
                  <c:v>-8.4323341523564965E-2</c:v>
                </c:pt>
                <c:pt idx="9">
                  <c:v>-1.7609901099187402E-2</c:v>
                </c:pt>
                <c:pt idx="10">
                  <c:v>4.4635824471978926E-2</c:v>
                </c:pt>
                <c:pt idx="11">
                  <c:v>5.4169296286782964E-2</c:v>
                </c:pt>
                <c:pt idx="12">
                  <c:v>4.9425623843543862E-3</c:v>
                </c:pt>
                <c:pt idx="13">
                  <c:v>2.1144514577278742E-2</c:v>
                </c:pt>
                <c:pt idx="14">
                  <c:v>0.103147732264346</c:v>
                </c:pt>
                <c:pt idx="15">
                  <c:v>0.25300304315319483</c:v>
                </c:pt>
                <c:pt idx="16">
                  <c:v>0.43014688921268363</c:v>
                </c:pt>
                <c:pt idx="17">
                  <c:v>0.39246156327775683</c:v>
                </c:pt>
                <c:pt idx="18">
                  <c:v>6.2090693976386842E-2</c:v>
                </c:pt>
                <c:pt idx="19">
                  <c:v>0.32829954324752292</c:v>
                </c:pt>
                <c:pt idx="20">
                  <c:v>0.28342553471573145</c:v>
                </c:pt>
                <c:pt idx="21">
                  <c:v>0.51266678491436168</c:v>
                </c:pt>
                <c:pt idx="22">
                  <c:v>0.95584099166804026</c:v>
                </c:pt>
                <c:pt idx="23">
                  <c:v>0.866700595556678</c:v>
                </c:pt>
                <c:pt idx="24">
                  <c:v>1.0855659088650196</c:v>
                </c:pt>
                <c:pt idx="25">
                  <c:v>0.65480982489235307</c:v>
                </c:pt>
                <c:pt idx="26">
                  <c:v>-0.20748459260921753</c:v>
                </c:pt>
                <c:pt idx="27">
                  <c:v>1.3570391108710331</c:v>
                </c:pt>
                <c:pt idx="28">
                  <c:v>1.2166803829553485</c:v>
                </c:pt>
                <c:pt idx="29">
                  <c:v>-8.8715735005989685E-2</c:v>
                </c:pt>
                <c:pt idx="30">
                  <c:v>0.77380213015087607</c:v>
                </c:pt>
                <c:pt idx="31">
                  <c:v>0.28704601162328214</c:v>
                </c:pt>
                <c:pt idx="32">
                  <c:v>0.9179692629359778</c:v>
                </c:pt>
                <c:pt idx="33">
                  <c:v>4.0445763254104579</c:v>
                </c:pt>
                <c:pt idx="34">
                  <c:v>4.4050073529700047</c:v>
                </c:pt>
                <c:pt idx="35">
                  <c:v>0.1937521586113698</c:v>
                </c:pt>
                <c:pt idx="36">
                  <c:v>-0.604962396757873</c:v>
                </c:pt>
                <c:pt idx="37">
                  <c:v>2.8695696336630525</c:v>
                </c:pt>
                <c:pt idx="38">
                  <c:v>0.10671326960249997</c:v>
                </c:pt>
                <c:pt idx="39">
                  <c:v>0.45725152861213902</c:v>
                </c:pt>
                <c:pt idx="40">
                  <c:v>5.9101499845590624</c:v>
                </c:pt>
                <c:pt idx="41">
                  <c:v>2.0992220670547068</c:v>
                </c:pt>
                <c:pt idx="42">
                  <c:v>-1.6128524581389911</c:v>
                </c:pt>
                <c:pt idx="43">
                  <c:v>3.090654412559081E-2</c:v>
                </c:pt>
                <c:pt idx="44">
                  <c:v>1.2441442641789326</c:v>
                </c:pt>
                <c:pt idx="45">
                  <c:v>0.43213623477401075</c:v>
                </c:pt>
                <c:pt idx="46">
                  <c:v>3.6891268667038548</c:v>
                </c:pt>
                <c:pt idx="47">
                  <c:v>6.963749743775872</c:v>
                </c:pt>
                <c:pt idx="48">
                  <c:v>8.6382523391463746</c:v>
                </c:pt>
                <c:pt idx="49">
                  <c:v>5.5066709776813667</c:v>
                </c:pt>
                <c:pt idx="50">
                  <c:v>-1.7848585485799822</c:v>
                </c:pt>
                <c:pt idx="51">
                  <c:v>1.7065052054575978</c:v>
                </c:pt>
                <c:pt idx="52">
                  <c:v>6.4060210304779206</c:v>
                </c:pt>
                <c:pt idx="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59-4F8D-8832-C98DE3894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859872"/>
        <c:axId val="3108613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'Well_A-3'!$N$54:$O$54</c15:sqref>
                        </c15:formulaRef>
                      </c:ext>
                    </c:extLst>
                    <c:strCache>
                      <c:ptCount val="1"/>
                      <c:pt idx="0">
                        <c:v>1583 1.720570315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'Well_A-3'!$P$1:$P$53</c15:sqref>
                        </c15:formulaRef>
                      </c:ext>
                    </c:extLst>
                    <c:strCache>
                      <c:ptCount val="53"/>
                      <c:pt idx="0">
                        <c:v>WOR'</c:v>
                      </c:pt>
                      <c:pt idx="2">
                        <c:v> </c:v>
                      </c:pt>
                      <c:pt idx="3">
                        <c:v>-0.003179861</c:v>
                      </c:pt>
                      <c:pt idx="4">
                        <c:v>0.030589657</c:v>
                      </c:pt>
                      <c:pt idx="5">
                        <c:v>0.013163637</c:v>
                      </c:pt>
                      <c:pt idx="6">
                        <c:v>0.007224829</c:v>
                      </c:pt>
                      <c:pt idx="7">
                        <c:v>-0.040340069</c:v>
                      </c:pt>
                      <c:pt idx="8">
                        <c:v>-0.084323342</c:v>
                      </c:pt>
                      <c:pt idx="9">
                        <c:v>-0.017609901</c:v>
                      </c:pt>
                      <c:pt idx="10">
                        <c:v>0.044635824</c:v>
                      </c:pt>
                      <c:pt idx="11">
                        <c:v>0.054169296</c:v>
                      </c:pt>
                      <c:pt idx="12">
                        <c:v>0.004942562</c:v>
                      </c:pt>
                      <c:pt idx="13">
                        <c:v>0.021144515</c:v>
                      </c:pt>
                      <c:pt idx="14">
                        <c:v>0.103147732</c:v>
                      </c:pt>
                      <c:pt idx="15">
                        <c:v>0.253003043</c:v>
                      </c:pt>
                      <c:pt idx="16">
                        <c:v>0.430146889</c:v>
                      </c:pt>
                      <c:pt idx="17">
                        <c:v>0.392461563</c:v>
                      </c:pt>
                      <c:pt idx="18">
                        <c:v>0.062090694</c:v>
                      </c:pt>
                      <c:pt idx="19">
                        <c:v>0.328299543</c:v>
                      </c:pt>
                      <c:pt idx="20">
                        <c:v>0.283425535</c:v>
                      </c:pt>
                      <c:pt idx="21">
                        <c:v>0.512666785</c:v>
                      </c:pt>
                      <c:pt idx="22">
                        <c:v>0.955840992</c:v>
                      </c:pt>
                      <c:pt idx="23">
                        <c:v>0.866700596</c:v>
                      </c:pt>
                      <c:pt idx="24">
                        <c:v>1.085565909</c:v>
                      </c:pt>
                      <c:pt idx="25">
                        <c:v>0.654809825</c:v>
                      </c:pt>
                      <c:pt idx="26">
                        <c:v>-0.207484593</c:v>
                      </c:pt>
                      <c:pt idx="27">
                        <c:v>1.357039111</c:v>
                      </c:pt>
                      <c:pt idx="28">
                        <c:v>1.216680383</c:v>
                      </c:pt>
                      <c:pt idx="29">
                        <c:v>-0.088715735</c:v>
                      </c:pt>
                      <c:pt idx="30">
                        <c:v>0.77380213</c:v>
                      </c:pt>
                      <c:pt idx="31">
                        <c:v>0.287046012</c:v>
                      </c:pt>
                      <c:pt idx="32">
                        <c:v>0.917969263</c:v>
                      </c:pt>
                      <c:pt idx="33">
                        <c:v>4.044576325</c:v>
                      </c:pt>
                      <c:pt idx="34">
                        <c:v>4.405007353</c:v>
                      </c:pt>
                      <c:pt idx="35">
                        <c:v>0.193752159</c:v>
                      </c:pt>
                      <c:pt idx="36">
                        <c:v>-0.604962397</c:v>
                      </c:pt>
                      <c:pt idx="37">
                        <c:v>2.869569634</c:v>
                      </c:pt>
                      <c:pt idx="38">
                        <c:v>0.10671327</c:v>
                      </c:pt>
                      <c:pt idx="39">
                        <c:v>0.457251529</c:v>
                      </c:pt>
                      <c:pt idx="40">
                        <c:v>5.910149985</c:v>
                      </c:pt>
                      <c:pt idx="41">
                        <c:v>2.099222067</c:v>
                      </c:pt>
                      <c:pt idx="42">
                        <c:v>-1.612852458</c:v>
                      </c:pt>
                      <c:pt idx="43">
                        <c:v>0.030906544</c:v>
                      </c:pt>
                      <c:pt idx="44">
                        <c:v>1.244144264</c:v>
                      </c:pt>
                      <c:pt idx="45">
                        <c:v>0.432136235</c:v>
                      </c:pt>
                      <c:pt idx="46">
                        <c:v>3.689126867</c:v>
                      </c:pt>
                      <c:pt idx="47">
                        <c:v>6.963749744</c:v>
                      </c:pt>
                      <c:pt idx="48">
                        <c:v>8.638252339</c:v>
                      </c:pt>
                      <c:pt idx="49">
                        <c:v>5.506670978</c:v>
                      </c:pt>
                      <c:pt idx="50">
                        <c:v>-1.784858549</c:v>
                      </c:pt>
                      <c:pt idx="51">
                        <c:v>1.706505205</c:v>
                      </c:pt>
                      <c:pt idx="52">
                        <c:v>6.40602103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'Well_A-3'!$P$54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A59-4F8D-8832-C98DE3894575}"/>
                  </c:ext>
                </c:extLst>
              </c15:ser>
            </c15:filteredScatterSeries>
          </c:ext>
        </c:extLst>
      </c:scatterChart>
      <c:valAx>
        <c:axId val="31085987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861312"/>
        <c:crosses val="autoZero"/>
        <c:crossBetween val="midCat"/>
      </c:valAx>
      <c:valAx>
        <c:axId val="310861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85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'Well_A-3'!$N:$N</c:f>
              <c:strCache>
                <c:ptCount val="54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61</c:v>
                </c:pt>
                <c:pt idx="4">
                  <c:v>92</c:v>
                </c:pt>
                <c:pt idx="5">
                  <c:v>122</c:v>
                </c:pt>
                <c:pt idx="6">
                  <c:v>153</c:v>
                </c:pt>
                <c:pt idx="7">
                  <c:v>184</c:v>
                </c:pt>
                <c:pt idx="8">
                  <c:v>214</c:v>
                </c:pt>
                <c:pt idx="9">
                  <c:v>245</c:v>
                </c:pt>
                <c:pt idx="10">
                  <c:v>275</c:v>
                </c:pt>
                <c:pt idx="11">
                  <c:v>306</c:v>
                </c:pt>
                <c:pt idx="12">
                  <c:v>337</c:v>
                </c:pt>
                <c:pt idx="13">
                  <c:v>365</c:v>
                </c:pt>
                <c:pt idx="14">
                  <c:v>396</c:v>
                </c:pt>
                <c:pt idx="15">
                  <c:v>426</c:v>
                </c:pt>
                <c:pt idx="16">
                  <c:v>457</c:v>
                </c:pt>
                <c:pt idx="17">
                  <c:v>487</c:v>
                </c:pt>
                <c:pt idx="18">
                  <c:v>518</c:v>
                </c:pt>
                <c:pt idx="19">
                  <c:v>549</c:v>
                </c:pt>
                <c:pt idx="20">
                  <c:v>579</c:v>
                </c:pt>
                <c:pt idx="21">
                  <c:v>610</c:v>
                </c:pt>
                <c:pt idx="22">
                  <c:v>640</c:v>
                </c:pt>
                <c:pt idx="23">
                  <c:v>671</c:v>
                </c:pt>
                <c:pt idx="24">
                  <c:v>702</c:v>
                </c:pt>
                <c:pt idx="25">
                  <c:v>730</c:v>
                </c:pt>
                <c:pt idx="26">
                  <c:v>761</c:v>
                </c:pt>
                <c:pt idx="27">
                  <c:v>791</c:v>
                </c:pt>
                <c:pt idx="28">
                  <c:v>822</c:v>
                </c:pt>
                <c:pt idx="29">
                  <c:v>852</c:v>
                </c:pt>
                <c:pt idx="30">
                  <c:v>883</c:v>
                </c:pt>
                <c:pt idx="31">
                  <c:v>914</c:v>
                </c:pt>
                <c:pt idx="32">
                  <c:v>944</c:v>
                </c:pt>
                <c:pt idx="33">
                  <c:v>975</c:v>
                </c:pt>
                <c:pt idx="34">
                  <c:v>1005</c:v>
                </c:pt>
                <c:pt idx="35">
                  <c:v>1036</c:v>
                </c:pt>
                <c:pt idx="36">
                  <c:v>1067</c:v>
                </c:pt>
                <c:pt idx="37">
                  <c:v>1096</c:v>
                </c:pt>
                <c:pt idx="38">
                  <c:v>1127</c:v>
                </c:pt>
                <c:pt idx="39">
                  <c:v>1157</c:v>
                </c:pt>
                <c:pt idx="40">
                  <c:v>1188</c:v>
                </c:pt>
                <c:pt idx="41">
                  <c:v>1218</c:v>
                </c:pt>
                <c:pt idx="42">
                  <c:v>1249</c:v>
                </c:pt>
                <c:pt idx="43">
                  <c:v>1280</c:v>
                </c:pt>
                <c:pt idx="44">
                  <c:v>1310</c:v>
                </c:pt>
                <c:pt idx="45">
                  <c:v>1341</c:v>
                </c:pt>
                <c:pt idx="46">
                  <c:v>1371</c:v>
                </c:pt>
                <c:pt idx="47">
                  <c:v>1402</c:v>
                </c:pt>
                <c:pt idx="48">
                  <c:v>1433</c:v>
                </c:pt>
                <c:pt idx="49">
                  <c:v>1461</c:v>
                </c:pt>
                <c:pt idx="50">
                  <c:v>1492</c:v>
                </c:pt>
                <c:pt idx="51">
                  <c:v>1522</c:v>
                </c:pt>
                <c:pt idx="52">
                  <c:v>1553</c:v>
                </c:pt>
                <c:pt idx="53">
                  <c:v>1583</c:v>
                </c:pt>
              </c:strCache>
            </c:strRef>
          </c:xVal>
          <c:yVal>
            <c:numRef>
              <c:f>'Well_A-3'!$O:$O</c:f>
              <c:numCache>
                <c:formatCode>General</c:formatCode>
                <c:ptCount val="1048576"/>
                <c:pt idx="0">
                  <c:v>0</c:v>
                </c:pt>
                <c:pt idx="1">
                  <c:v>0.21329425644707628</c:v>
                </c:pt>
                <c:pt idx="2">
                  <c:v>2.2139272717175074E-2</c:v>
                </c:pt>
                <c:pt idx="3">
                  <c:v>9.4970651165717027E-3</c:v>
                </c:pt>
                <c:pt idx="4">
                  <c:v>1.8680216000499381E-2</c:v>
                </c:pt>
                <c:pt idx="5">
                  <c:v>3.0700199795338754E-2</c:v>
                </c:pt>
                <c:pt idx="6">
                  <c:v>2.5375891502376506E-2</c:v>
                </c:pt>
                <c:pt idx="7">
                  <c:v>3.3668988478031688E-2</c:v>
                </c:pt>
                <c:pt idx="8">
                  <c:v>1.1840261815356598E-2</c:v>
                </c:pt>
                <c:pt idx="9">
                  <c:v>9.5253224932662969E-3</c:v>
                </c:pt>
                <c:pt idx="10">
                  <c:v>7.423785213820539E-3</c:v>
                </c:pt>
                <c:pt idx="11">
                  <c:v>1.9449066593539028E-2</c:v>
                </c:pt>
                <c:pt idx="12">
                  <c:v>1.8437044117185938E-2</c:v>
                </c:pt>
                <c:pt idx="13">
                  <c:v>2.0320500896346839E-2</c:v>
                </c:pt>
                <c:pt idx="14">
                  <c:v>2.1848315737991845E-2</c:v>
                </c:pt>
                <c:pt idx="15">
                  <c:v>3.6261156981611593E-2</c:v>
                </c:pt>
                <c:pt idx="16">
                  <c:v>5.8095854176903883E-2</c:v>
                </c:pt>
                <c:pt idx="17">
                  <c:v>9.3825468427399333E-2</c:v>
                </c:pt>
                <c:pt idx="18">
                  <c:v>0.1072680900296851</c:v>
                </c:pt>
                <c:pt idx="19">
                  <c:v>0.10126606442071541</c:v>
                </c:pt>
                <c:pt idx="20">
                  <c:v>0.14381677053412087</c:v>
                </c:pt>
                <c:pt idx="21">
                  <c:v>0.13112792490896016</c:v>
                </c:pt>
                <c:pt idx="22">
                  <c:v>0.19516839728673391</c:v>
                </c:pt>
                <c:pt idx="23">
                  <c:v>0.22222930168918517</c:v>
                </c:pt>
                <c:pt idx="24">
                  <c:v>0.2753080651784211</c:v>
                </c:pt>
                <c:pt idx="25">
                  <c:v>0.31371579981381614</c:v>
                </c:pt>
                <c:pt idx="26">
                  <c:v>0.32815118781851155</c:v>
                </c:pt>
                <c:pt idx="27">
                  <c:v>0.29706444883259703</c:v>
                </c:pt>
                <c:pt idx="28">
                  <c:v>0.43278845301482671</c:v>
                </c:pt>
                <c:pt idx="29">
                  <c:v>0.38744988132093988</c:v>
                </c:pt>
                <c:pt idx="30">
                  <c:v>0.42643775437539455</c:v>
                </c:pt>
                <c:pt idx="31">
                  <c:v>0.44180487268204982</c:v>
                </c:pt>
                <c:pt idx="32">
                  <c:v>0.44561270510667811</c:v>
                </c:pt>
                <c:pt idx="33">
                  <c:v>0.50111202063675675</c:v>
                </c:pt>
                <c:pt idx="34">
                  <c:v>0.69887054285769756</c:v>
                </c:pt>
                <c:pt idx="35">
                  <c:v>0.76842967962545083</c:v>
                </c:pt>
                <c:pt idx="36">
                  <c:v>0.71046921179874178</c:v>
                </c:pt>
                <c:pt idx="37">
                  <c:v>0.73437026965310048</c:v>
                </c:pt>
                <c:pt idx="38">
                  <c:v>0.86745838126223274</c:v>
                </c:pt>
                <c:pt idx="39">
                  <c:v>0.74015020818649246</c:v>
                </c:pt>
                <c:pt idx="40">
                  <c:v>0.89156101738333093</c:v>
                </c:pt>
                <c:pt idx="41">
                  <c:v>1.0438120659114423</c:v>
                </c:pt>
                <c:pt idx="42">
                  <c:v>0.9966732861432297</c:v>
                </c:pt>
                <c:pt idx="43">
                  <c:v>0.96373408870888044</c:v>
                </c:pt>
                <c:pt idx="44">
                  <c:v>0.99814703089025092</c:v>
                </c:pt>
                <c:pt idx="45">
                  <c:v>1.021655879805478</c:v>
                </c:pt>
                <c:pt idx="46">
                  <c:v>1.0178149611539948</c:v>
                </c:pt>
                <c:pt idx="47">
                  <c:v>1.1857636792974455</c:v>
                </c:pt>
                <c:pt idx="48">
                  <c:v>1.3258198593076334</c:v>
                </c:pt>
                <c:pt idx="49">
                  <c:v>1.5418440518771885</c:v>
                </c:pt>
                <c:pt idx="50">
                  <c:v>1.5479994567440045</c:v>
                </c:pt>
                <c:pt idx="51">
                  <c:v>1.4688359717163775</c:v>
                </c:pt>
                <c:pt idx="52">
                  <c:v>1.6163808991620867</c:v>
                </c:pt>
                <c:pt idx="53">
                  <c:v>1.7205703146097977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3F-4692-AD53-B6EA8DC18AB8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'Well_A-3'!$N:$N</c:f>
              <c:strCache>
                <c:ptCount val="54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61</c:v>
                </c:pt>
                <c:pt idx="4">
                  <c:v>92</c:v>
                </c:pt>
                <c:pt idx="5">
                  <c:v>122</c:v>
                </c:pt>
                <c:pt idx="6">
                  <c:v>153</c:v>
                </c:pt>
                <c:pt idx="7">
                  <c:v>184</c:v>
                </c:pt>
                <c:pt idx="8">
                  <c:v>214</c:v>
                </c:pt>
                <c:pt idx="9">
                  <c:v>245</c:v>
                </c:pt>
                <c:pt idx="10">
                  <c:v>275</c:v>
                </c:pt>
                <c:pt idx="11">
                  <c:v>306</c:v>
                </c:pt>
                <c:pt idx="12">
                  <c:v>337</c:v>
                </c:pt>
                <c:pt idx="13">
                  <c:v>365</c:v>
                </c:pt>
                <c:pt idx="14">
                  <c:v>396</c:v>
                </c:pt>
                <c:pt idx="15">
                  <c:v>426</c:v>
                </c:pt>
                <c:pt idx="16">
                  <c:v>457</c:v>
                </c:pt>
                <c:pt idx="17">
                  <c:v>487</c:v>
                </c:pt>
                <c:pt idx="18">
                  <c:v>518</c:v>
                </c:pt>
                <c:pt idx="19">
                  <c:v>549</c:v>
                </c:pt>
                <c:pt idx="20">
                  <c:v>579</c:v>
                </c:pt>
                <c:pt idx="21">
                  <c:v>610</c:v>
                </c:pt>
                <c:pt idx="22">
                  <c:v>640</c:v>
                </c:pt>
                <c:pt idx="23">
                  <c:v>671</c:v>
                </c:pt>
                <c:pt idx="24">
                  <c:v>702</c:v>
                </c:pt>
                <c:pt idx="25">
                  <c:v>730</c:v>
                </c:pt>
                <c:pt idx="26">
                  <c:v>761</c:v>
                </c:pt>
                <c:pt idx="27">
                  <c:v>791</c:v>
                </c:pt>
                <c:pt idx="28">
                  <c:v>822</c:v>
                </c:pt>
                <c:pt idx="29">
                  <c:v>852</c:v>
                </c:pt>
                <c:pt idx="30">
                  <c:v>883</c:v>
                </c:pt>
                <c:pt idx="31">
                  <c:v>914</c:v>
                </c:pt>
                <c:pt idx="32">
                  <c:v>944</c:v>
                </c:pt>
                <c:pt idx="33">
                  <c:v>975</c:v>
                </c:pt>
                <c:pt idx="34">
                  <c:v>1005</c:v>
                </c:pt>
                <c:pt idx="35">
                  <c:v>1036</c:v>
                </c:pt>
                <c:pt idx="36">
                  <c:v>1067</c:v>
                </c:pt>
                <c:pt idx="37">
                  <c:v>1096</c:v>
                </c:pt>
                <c:pt idx="38">
                  <c:v>1127</c:v>
                </c:pt>
                <c:pt idx="39">
                  <c:v>1157</c:v>
                </c:pt>
                <c:pt idx="40">
                  <c:v>1188</c:v>
                </c:pt>
                <c:pt idx="41">
                  <c:v>1218</c:v>
                </c:pt>
                <c:pt idx="42">
                  <c:v>1249</c:v>
                </c:pt>
                <c:pt idx="43">
                  <c:v>1280</c:v>
                </c:pt>
                <c:pt idx="44">
                  <c:v>1310</c:v>
                </c:pt>
                <c:pt idx="45">
                  <c:v>1341</c:v>
                </c:pt>
                <c:pt idx="46">
                  <c:v>1371</c:v>
                </c:pt>
                <c:pt idx="47">
                  <c:v>1402</c:v>
                </c:pt>
                <c:pt idx="48">
                  <c:v>1433</c:v>
                </c:pt>
                <c:pt idx="49">
                  <c:v>1461</c:v>
                </c:pt>
                <c:pt idx="50">
                  <c:v>1492</c:v>
                </c:pt>
                <c:pt idx="51">
                  <c:v>1522</c:v>
                </c:pt>
                <c:pt idx="52">
                  <c:v>1553</c:v>
                </c:pt>
                <c:pt idx="53">
                  <c:v>1583</c:v>
                </c:pt>
              </c:strCache>
            </c:strRef>
          </c:xVal>
          <c:yVal>
            <c:numRef>
              <c:f>'Well_A-3'!$R:$R</c:f>
              <c:numCache>
                <c:formatCode>General</c:formatCode>
                <c:ptCount val="1048576"/>
                <c:pt idx="0">
                  <c:v>0</c:v>
                </c:pt>
                <c:pt idx="1">
                  <c:v>-6.1662897977387485E-3</c:v>
                </c:pt>
                <c:pt idx="2">
                  <c:v>-4.2140692002011238E-4</c:v>
                </c:pt>
                <c:pt idx="3">
                  <c:v>2.9623067367508639E-4</c:v>
                </c:pt>
                <c:pt idx="4">
                  <c:v>4.0066612649464575E-4</c:v>
                </c:pt>
                <c:pt idx="5">
                  <c:v>-1.7175188041813704E-4</c:v>
                </c:pt>
                <c:pt idx="6">
                  <c:v>2.6751925727919938E-4</c:v>
                </c:pt>
                <c:pt idx="7">
                  <c:v>-7.276242220891696E-4</c:v>
                </c:pt>
                <c:pt idx="8">
                  <c:v>-7.4675462002912936E-5</c:v>
                </c:pt>
                <c:pt idx="9">
                  <c:v>-7.0051242648191928E-5</c:v>
                </c:pt>
                <c:pt idx="10">
                  <c:v>3.8791230257156413E-4</c:v>
                </c:pt>
                <c:pt idx="11">
                  <c:v>-3.2645886333970651E-5</c:v>
                </c:pt>
                <c:pt idx="12">
                  <c:v>6.7266313541460755E-5</c:v>
                </c:pt>
                <c:pt idx="13">
                  <c:v>4.9284349730484066E-5</c:v>
                </c:pt>
                <c:pt idx="14">
                  <c:v>4.8042804145399164E-4</c:v>
                </c:pt>
                <c:pt idx="15">
                  <c:v>7.0434507081588028E-4</c:v>
                </c:pt>
                <c:pt idx="16">
                  <c:v>1.1909871416831816E-3</c:v>
                </c:pt>
                <c:pt idx="17">
                  <c:v>4.3363295491244402E-4</c:v>
                </c:pt>
                <c:pt idx="18">
                  <c:v>-1.9361372932160284E-4</c:v>
                </c:pt>
                <c:pt idx="19">
                  <c:v>1.4183568704468487E-3</c:v>
                </c:pt>
                <c:pt idx="20">
                  <c:v>-4.0931760081163566E-4</c:v>
                </c:pt>
                <c:pt idx="21">
                  <c:v>2.1346824125924582E-3</c:v>
                </c:pt>
                <c:pt idx="22">
                  <c:v>8.7293240007907304E-4</c:v>
                </c:pt>
                <c:pt idx="23">
                  <c:v>1.7122181770721269E-3</c:v>
                </c:pt>
                <c:pt idx="24">
                  <c:v>1.3717048084069658E-3</c:v>
                </c:pt>
                <c:pt idx="25">
                  <c:v>4.6565767757081951E-4</c:v>
                </c:pt>
                <c:pt idx="26">
                  <c:v>-1.0362246328638172E-3</c:v>
                </c:pt>
                <c:pt idx="27">
                  <c:v>4.3781936832977316E-3</c:v>
                </c:pt>
                <c:pt idx="28">
                  <c:v>-1.511285723129561E-3</c:v>
                </c:pt>
                <c:pt idx="29">
                  <c:v>1.2576733243372473E-3</c:v>
                </c:pt>
                <c:pt idx="30">
                  <c:v>4.9571349376307324E-4</c:v>
                </c:pt>
                <c:pt idx="31">
                  <c:v>1.2692774748760961E-4</c:v>
                </c:pt>
                <c:pt idx="32">
                  <c:v>1.7903005009702788E-3</c:v>
                </c:pt>
                <c:pt idx="33">
                  <c:v>6.5919507406980273E-3</c:v>
                </c:pt>
                <c:pt idx="34">
                  <c:v>2.243843121540428E-3</c:v>
                </c:pt>
                <c:pt idx="35">
                  <c:v>-1.8696925105390015E-3</c:v>
                </c:pt>
                <c:pt idx="36">
                  <c:v>8.2417440877098961E-4</c:v>
                </c:pt>
                <c:pt idx="37">
                  <c:v>4.2931648906171698E-3</c:v>
                </c:pt>
                <c:pt idx="38">
                  <c:v>-4.2436057691913427E-3</c:v>
                </c:pt>
                <c:pt idx="39">
                  <c:v>4.8842196515109185E-3</c:v>
                </c:pt>
                <c:pt idx="40">
                  <c:v>5.0750349509370444E-3</c:v>
                </c:pt>
                <c:pt idx="41">
                  <c:v>-1.5206057989745989E-3</c:v>
                </c:pt>
                <c:pt idx="42">
                  <c:v>-1.0625547559467501E-3</c:v>
                </c:pt>
                <c:pt idx="43">
                  <c:v>1.1470980727123492E-3</c:v>
                </c:pt>
                <c:pt idx="44">
                  <c:v>7.5834996500732542E-4</c:v>
                </c:pt>
                <c:pt idx="45">
                  <c:v>-1.2803062171610571E-4</c:v>
                </c:pt>
                <c:pt idx="46">
                  <c:v>5.4177005852726031E-3</c:v>
                </c:pt>
                <c:pt idx="47">
                  <c:v>4.5179412906512202E-3</c:v>
                </c:pt>
                <c:pt idx="48">
                  <c:v>7.7151497346269705E-3</c:v>
                </c:pt>
                <c:pt idx="49">
                  <c:v>1.9856144731664462E-4</c:v>
                </c:pt>
                <c:pt idx="50">
                  <c:v>-2.6387828342542348E-3</c:v>
                </c:pt>
                <c:pt idx="51">
                  <c:v>4.7595137885712655E-3</c:v>
                </c:pt>
                <c:pt idx="52">
                  <c:v>3.4729805149236997E-3</c:v>
                </c:pt>
                <c:pt idx="53">
                  <c:v>1.0869048102399228E-3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3F-4692-AD53-B6EA8DC18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442304"/>
        <c:axId val="2068441344"/>
      </c:scatterChart>
      <c:valAx>
        <c:axId val="206844230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41344"/>
        <c:crosses val="autoZero"/>
        <c:crossBetween val="midCat"/>
      </c:valAx>
      <c:valAx>
        <c:axId val="20684413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4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FLOW RATE V/S TIME (SEMI LOG)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053665387005124E-2"/>
          <c:y val="1.289328874331145E-2"/>
          <c:w val="0.70767668024395425"/>
          <c:h val="0.80870041453341934"/>
        </c:manualLayout>
      </c:layout>
      <c:scatterChart>
        <c:scatterStyle val="lineMarker"/>
        <c:varyColors val="0"/>
        <c:ser>
          <c:idx val="1"/>
          <c:order val="0"/>
          <c:tx>
            <c:v>PRODUCTION HISTORY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'Well_A-3'!$W:$W</c:f>
              <c:strCache>
                <c:ptCount val="192"/>
                <c:pt idx="0">
                  <c:v>T(MONTHS)</c:v>
                </c:pt>
                <c:pt idx="1">
                  <c:v>0</c:v>
                </c:pt>
                <c:pt idx="2">
                  <c:v>1.033333333</c:v>
                </c:pt>
                <c:pt idx="3">
                  <c:v>2.033333333</c:v>
                </c:pt>
                <c:pt idx="4">
                  <c:v>3.066666667</c:v>
                </c:pt>
                <c:pt idx="5">
                  <c:v>4.066666667</c:v>
                </c:pt>
                <c:pt idx="6">
                  <c:v>5.1</c:v>
                </c:pt>
                <c:pt idx="7">
                  <c:v>6.133333333</c:v>
                </c:pt>
                <c:pt idx="8">
                  <c:v>7.133333333</c:v>
                </c:pt>
                <c:pt idx="9">
                  <c:v>8.166666667</c:v>
                </c:pt>
                <c:pt idx="10">
                  <c:v>9.166666667</c:v>
                </c:pt>
                <c:pt idx="11">
                  <c:v>10.2</c:v>
                </c:pt>
                <c:pt idx="12">
                  <c:v>11.23333333</c:v>
                </c:pt>
                <c:pt idx="13">
                  <c:v>12.16666667</c:v>
                </c:pt>
                <c:pt idx="14">
                  <c:v>13.2</c:v>
                </c:pt>
                <c:pt idx="15">
                  <c:v>14.2</c:v>
                </c:pt>
                <c:pt idx="16">
                  <c:v>15.23333333</c:v>
                </c:pt>
                <c:pt idx="17">
                  <c:v>16.23333333</c:v>
                </c:pt>
                <c:pt idx="18">
                  <c:v>17.26666667</c:v>
                </c:pt>
                <c:pt idx="19">
                  <c:v>18.3</c:v>
                </c:pt>
                <c:pt idx="20">
                  <c:v>19.3</c:v>
                </c:pt>
                <c:pt idx="21">
                  <c:v>20.33333333</c:v>
                </c:pt>
                <c:pt idx="22">
                  <c:v>21.33333333</c:v>
                </c:pt>
                <c:pt idx="23">
                  <c:v>22.36666667</c:v>
                </c:pt>
                <c:pt idx="24">
                  <c:v>23.4</c:v>
                </c:pt>
                <c:pt idx="25">
                  <c:v>24.33333333</c:v>
                </c:pt>
                <c:pt idx="26">
                  <c:v>25.36666667</c:v>
                </c:pt>
                <c:pt idx="27">
                  <c:v>26.36666667</c:v>
                </c:pt>
                <c:pt idx="28">
                  <c:v>27.4</c:v>
                </c:pt>
                <c:pt idx="29">
                  <c:v>28.4</c:v>
                </c:pt>
                <c:pt idx="30">
                  <c:v>29.43333333</c:v>
                </c:pt>
                <c:pt idx="31">
                  <c:v>30.46666667</c:v>
                </c:pt>
                <c:pt idx="32">
                  <c:v>31.46666667</c:v>
                </c:pt>
                <c:pt idx="33">
                  <c:v>32.5</c:v>
                </c:pt>
                <c:pt idx="34">
                  <c:v>33.5</c:v>
                </c:pt>
                <c:pt idx="35">
                  <c:v>34.53333333</c:v>
                </c:pt>
                <c:pt idx="36">
                  <c:v>35.56666667</c:v>
                </c:pt>
                <c:pt idx="37">
                  <c:v>36.53333333</c:v>
                </c:pt>
                <c:pt idx="38">
                  <c:v>37.56666667</c:v>
                </c:pt>
                <c:pt idx="39">
                  <c:v>38.56666667</c:v>
                </c:pt>
                <c:pt idx="40">
                  <c:v>39.6</c:v>
                </c:pt>
                <c:pt idx="41">
                  <c:v>40.6</c:v>
                </c:pt>
                <c:pt idx="42">
                  <c:v>41.63333333</c:v>
                </c:pt>
                <c:pt idx="43">
                  <c:v>42.66666667</c:v>
                </c:pt>
                <c:pt idx="44">
                  <c:v>43.66666667</c:v>
                </c:pt>
                <c:pt idx="45">
                  <c:v>44.7</c:v>
                </c:pt>
                <c:pt idx="46">
                  <c:v>45.7</c:v>
                </c:pt>
                <c:pt idx="47">
                  <c:v>46.73333333</c:v>
                </c:pt>
                <c:pt idx="48">
                  <c:v>47.76666667</c:v>
                </c:pt>
                <c:pt idx="49">
                  <c:v>48.7</c:v>
                </c:pt>
                <c:pt idx="50">
                  <c:v>49.73333333</c:v>
                </c:pt>
                <c:pt idx="51">
                  <c:v>50.73333333</c:v>
                </c:pt>
                <c:pt idx="52">
                  <c:v>51.76666667</c:v>
                </c:pt>
                <c:pt idx="53">
                  <c:v>52.76666667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</c:strCache>
            </c:strRef>
          </c:xVal>
          <c:yVal>
            <c:numRef>
              <c:f>'Well_A-3'!$C:$C</c:f>
              <c:numCache>
                <c:formatCode>0</c:formatCode>
                <c:ptCount val="1048576"/>
                <c:pt idx="0" formatCode="0.00">
                  <c:v>0</c:v>
                </c:pt>
                <c:pt idx="1">
                  <c:v>509.03919354838712</c:v>
                </c:pt>
                <c:pt idx="2">
                  <c:v>925.50790000000006</c:v>
                </c:pt>
                <c:pt idx="3">
                  <c:v>923.91425806451616</c:v>
                </c:pt>
                <c:pt idx="4">
                  <c:v>963.32493333333332</c:v>
                </c:pt>
                <c:pt idx="5">
                  <c:v>924.13922580645158</c:v>
                </c:pt>
                <c:pt idx="6">
                  <c:v>945.30983870967736</c:v>
                </c:pt>
                <c:pt idx="7">
                  <c:v>924.47456666666665</c:v>
                </c:pt>
                <c:pt idx="8">
                  <c:v>907.12045161290325</c:v>
                </c:pt>
                <c:pt idx="9">
                  <c:v>934.68876666666665</c:v>
                </c:pt>
                <c:pt idx="10">
                  <c:v>924.54077419354837</c:v>
                </c:pt>
                <c:pt idx="11">
                  <c:v>710.02674193548387</c:v>
                </c:pt>
                <c:pt idx="12">
                  <c:v>722.11735714285714</c:v>
                </c:pt>
                <c:pt idx="13">
                  <c:v>712.3178709677419</c:v>
                </c:pt>
                <c:pt idx="14">
                  <c:v>703.70583333333332</c:v>
                </c:pt>
                <c:pt idx="15">
                  <c:v>675.41319354838708</c:v>
                </c:pt>
                <c:pt idx="16">
                  <c:v>644.50329999999997</c:v>
                </c:pt>
                <c:pt idx="17">
                  <c:v>585.76054838709683</c:v>
                </c:pt>
                <c:pt idx="18">
                  <c:v>617.34906451612903</c:v>
                </c:pt>
                <c:pt idx="19">
                  <c:v>642.81600000000003</c:v>
                </c:pt>
                <c:pt idx="20">
                  <c:v>682.68354838709604</c:v>
                </c:pt>
                <c:pt idx="21">
                  <c:v>618.39246666666668</c:v>
                </c:pt>
                <c:pt idx="22">
                  <c:v>564.59035483870969</c:v>
                </c:pt>
                <c:pt idx="23">
                  <c:v>648.60248387096703</c:v>
                </c:pt>
                <c:pt idx="24">
                  <c:v>627.96857142857095</c:v>
                </c:pt>
                <c:pt idx="25">
                  <c:v>638.94648387096697</c:v>
                </c:pt>
                <c:pt idx="26">
                  <c:v>629.54763333333301</c:v>
                </c:pt>
                <c:pt idx="27">
                  <c:v>623.34670967741931</c:v>
                </c:pt>
                <c:pt idx="28">
                  <c:v>730.32223333333343</c:v>
                </c:pt>
                <c:pt idx="29">
                  <c:v>835.48722580645165</c:v>
                </c:pt>
                <c:pt idx="30">
                  <c:v>708.43196774193552</c:v>
                </c:pt>
                <c:pt idx="31">
                  <c:v>637.16860000000008</c:v>
                </c:pt>
                <c:pt idx="32">
                  <c:v>744.61448387096766</c:v>
                </c:pt>
                <c:pt idx="33">
                  <c:v>768.62206666666668</c:v>
                </c:pt>
                <c:pt idx="34">
                  <c:v>732.8261612903226</c:v>
                </c:pt>
                <c:pt idx="35">
                  <c:v>686.54722580645159</c:v>
                </c:pt>
                <c:pt idx="36">
                  <c:v>717.29448275862069</c:v>
                </c:pt>
                <c:pt idx="37">
                  <c:v>704.90806451612912</c:v>
                </c:pt>
                <c:pt idx="38">
                  <c:v>698.952</c:v>
                </c:pt>
                <c:pt idx="39">
                  <c:v>649.24729032258062</c:v>
                </c:pt>
                <c:pt idx="40">
                  <c:v>606.24936666666667</c:v>
                </c:pt>
                <c:pt idx="41">
                  <c:v>598.91896774193549</c:v>
                </c:pt>
                <c:pt idx="42">
                  <c:v>603.92651612903228</c:v>
                </c:pt>
                <c:pt idx="43">
                  <c:v>593.29723333333334</c:v>
                </c:pt>
                <c:pt idx="44">
                  <c:v>553.60299999999995</c:v>
                </c:pt>
                <c:pt idx="45">
                  <c:v>547.37270000000001</c:v>
                </c:pt>
                <c:pt idx="46">
                  <c:v>524.89309677419351</c:v>
                </c:pt>
                <c:pt idx="47">
                  <c:v>508.44138709677424</c:v>
                </c:pt>
                <c:pt idx="48">
                  <c:v>493.78249999999997</c:v>
                </c:pt>
                <c:pt idx="49">
                  <c:v>486.38196774193551</c:v>
                </c:pt>
                <c:pt idx="50">
                  <c:v>436.87200000000001</c:v>
                </c:pt>
                <c:pt idx="51">
                  <c:v>462.86903225806452</c:v>
                </c:pt>
                <c:pt idx="52">
                  <c:v>458.06646666666671</c:v>
                </c:pt>
                <c:pt idx="53">
                  <c:v>441.36906451612907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E5-4D08-8775-842CAE437FD8}"/>
            </c:ext>
          </c:extLst>
        </c:ser>
        <c:ser>
          <c:idx val="0"/>
          <c:order val="1"/>
          <c:tx>
            <c:v>NEW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5487439466865016E-2"/>
                  <c:y val="3.36236219466706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'Well_A-3'!$W$37:$W$54</c:f>
              <c:numCache>
                <c:formatCode>General</c:formatCode>
                <c:ptCount val="18"/>
                <c:pt idx="0">
                  <c:v>35.56666666666667</c:v>
                </c:pt>
                <c:pt idx="1">
                  <c:v>36.533333333333331</c:v>
                </c:pt>
                <c:pt idx="2">
                  <c:v>37.56666666666667</c:v>
                </c:pt>
                <c:pt idx="3">
                  <c:v>38.56666666666667</c:v>
                </c:pt>
                <c:pt idx="4">
                  <c:v>39.6</c:v>
                </c:pt>
                <c:pt idx="5">
                  <c:v>40.6</c:v>
                </c:pt>
                <c:pt idx="6">
                  <c:v>41.633333333333333</c:v>
                </c:pt>
                <c:pt idx="7">
                  <c:v>42.666666666666664</c:v>
                </c:pt>
                <c:pt idx="8">
                  <c:v>43.666666666666664</c:v>
                </c:pt>
                <c:pt idx="9">
                  <c:v>44.7</c:v>
                </c:pt>
                <c:pt idx="10">
                  <c:v>45.7</c:v>
                </c:pt>
                <c:pt idx="11">
                  <c:v>46.733333333333334</c:v>
                </c:pt>
                <c:pt idx="12">
                  <c:v>47.766666666666666</c:v>
                </c:pt>
                <c:pt idx="13">
                  <c:v>48.7</c:v>
                </c:pt>
                <c:pt idx="14">
                  <c:v>49.733333333333334</c:v>
                </c:pt>
                <c:pt idx="15">
                  <c:v>50.733333333333334</c:v>
                </c:pt>
                <c:pt idx="16">
                  <c:v>51.766666666666666</c:v>
                </c:pt>
                <c:pt idx="17">
                  <c:v>52.766666666666666</c:v>
                </c:pt>
              </c:numCache>
            </c:numRef>
          </c:xVal>
          <c:yVal>
            <c:numRef>
              <c:f>'Well_A-3'!$C$37:$C$54</c:f>
              <c:numCache>
                <c:formatCode>0</c:formatCode>
                <c:ptCount val="18"/>
                <c:pt idx="0">
                  <c:v>717.29448275862069</c:v>
                </c:pt>
                <c:pt idx="1">
                  <c:v>704.90806451612912</c:v>
                </c:pt>
                <c:pt idx="2">
                  <c:v>698.952</c:v>
                </c:pt>
                <c:pt idx="3">
                  <c:v>649.24729032258062</c:v>
                </c:pt>
                <c:pt idx="4">
                  <c:v>606.24936666666667</c:v>
                </c:pt>
                <c:pt idx="5">
                  <c:v>598.91896774193549</c:v>
                </c:pt>
                <c:pt idx="6">
                  <c:v>603.92651612903228</c:v>
                </c:pt>
                <c:pt idx="7">
                  <c:v>593.29723333333334</c:v>
                </c:pt>
                <c:pt idx="8">
                  <c:v>553.60299999999995</c:v>
                </c:pt>
                <c:pt idx="9">
                  <c:v>547.37270000000001</c:v>
                </c:pt>
                <c:pt idx="10">
                  <c:v>524.89309677419351</c:v>
                </c:pt>
                <c:pt idx="11">
                  <c:v>508.44138709677424</c:v>
                </c:pt>
                <c:pt idx="12">
                  <c:v>493.78249999999997</c:v>
                </c:pt>
                <c:pt idx="13">
                  <c:v>486.38196774193551</c:v>
                </c:pt>
                <c:pt idx="14">
                  <c:v>436.87200000000001</c:v>
                </c:pt>
                <c:pt idx="15">
                  <c:v>462.86903225806452</c:v>
                </c:pt>
                <c:pt idx="16">
                  <c:v>458.06646666666671</c:v>
                </c:pt>
                <c:pt idx="17">
                  <c:v>441.36906451612907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E8-4B1E-AE01-D3C497604F2F}"/>
            </c:ext>
          </c:extLst>
        </c:ser>
        <c:ser>
          <c:idx val="2"/>
          <c:order val="2"/>
          <c:tx>
            <c:v>EXTRAPOLATE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'Well_A-3'!$W$48:$W$142</c:f>
              <c:numCache>
                <c:formatCode>General</c:formatCode>
                <c:ptCount val="95"/>
                <c:pt idx="0">
                  <c:v>46.733333333333334</c:v>
                </c:pt>
                <c:pt idx="1">
                  <c:v>47.766666666666666</c:v>
                </c:pt>
                <c:pt idx="2">
                  <c:v>48.7</c:v>
                </c:pt>
                <c:pt idx="3">
                  <c:v>49.733333333333334</c:v>
                </c:pt>
                <c:pt idx="4">
                  <c:v>50.733333333333334</c:v>
                </c:pt>
                <c:pt idx="5">
                  <c:v>51.766666666666666</c:v>
                </c:pt>
                <c:pt idx="6">
                  <c:v>52.766666666666666</c:v>
                </c:pt>
                <c:pt idx="7">
                  <c:v>53</c:v>
                </c:pt>
                <c:pt idx="8">
                  <c:v>54</c:v>
                </c:pt>
                <c:pt idx="9">
                  <c:v>55</c:v>
                </c:pt>
                <c:pt idx="10">
                  <c:v>56</c:v>
                </c:pt>
                <c:pt idx="11">
                  <c:v>57</c:v>
                </c:pt>
                <c:pt idx="12">
                  <c:v>58</c:v>
                </c:pt>
                <c:pt idx="13">
                  <c:v>59</c:v>
                </c:pt>
                <c:pt idx="14">
                  <c:v>60</c:v>
                </c:pt>
                <c:pt idx="15">
                  <c:v>61</c:v>
                </c:pt>
                <c:pt idx="16">
                  <c:v>62</c:v>
                </c:pt>
                <c:pt idx="17">
                  <c:v>63</c:v>
                </c:pt>
                <c:pt idx="18">
                  <c:v>64</c:v>
                </c:pt>
                <c:pt idx="19">
                  <c:v>65</c:v>
                </c:pt>
                <c:pt idx="20">
                  <c:v>66</c:v>
                </c:pt>
                <c:pt idx="21">
                  <c:v>67</c:v>
                </c:pt>
                <c:pt idx="22">
                  <c:v>68</c:v>
                </c:pt>
                <c:pt idx="23">
                  <c:v>69</c:v>
                </c:pt>
                <c:pt idx="24">
                  <c:v>70</c:v>
                </c:pt>
                <c:pt idx="25">
                  <c:v>71</c:v>
                </c:pt>
                <c:pt idx="26">
                  <c:v>72</c:v>
                </c:pt>
                <c:pt idx="27">
                  <c:v>73</c:v>
                </c:pt>
                <c:pt idx="28">
                  <c:v>74</c:v>
                </c:pt>
                <c:pt idx="29">
                  <c:v>75</c:v>
                </c:pt>
                <c:pt idx="30">
                  <c:v>76</c:v>
                </c:pt>
                <c:pt idx="31">
                  <c:v>77</c:v>
                </c:pt>
                <c:pt idx="32">
                  <c:v>78</c:v>
                </c:pt>
                <c:pt idx="33">
                  <c:v>79</c:v>
                </c:pt>
                <c:pt idx="34">
                  <c:v>80</c:v>
                </c:pt>
                <c:pt idx="35">
                  <c:v>81</c:v>
                </c:pt>
                <c:pt idx="36">
                  <c:v>82</c:v>
                </c:pt>
                <c:pt idx="37">
                  <c:v>83</c:v>
                </c:pt>
                <c:pt idx="38">
                  <c:v>84</c:v>
                </c:pt>
                <c:pt idx="39">
                  <c:v>85</c:v>
                </c:pt>
                <c:pt idx="40">
                  <c:v>86</c:v>
                </c:pt>
                <c:pt idx="41">
                  <c:v>87</c:v>
                </c:pt>
                <c:pt idx="42">
                  <c:v>88</c:v>
                </c:pt>
                <c:pt idx="43">
                  <c:v>89</c:v>
                </c:pt>
                <c:pt idx="44">
                  <c:v>90</c:v>
                </c:pt>
                <c:pt idx="45">
                  <c:v>91</c:v>
                </c:pt>
                <c:pt idx="46">
                  <c:v>92</c:v>
                </c:pt>
                <c:pt idx="47">
                  <c:v>93</c:v>
                </c:pt>
                <c:pt idx="48">
                  <c:v>94</c:v>
                </c:pt>
                <c:pt idx="49">
                  <c:v>95</c:v>
                </c:pt>
                <c:pt idx="50">
                  <c:v>96</c:v>
                </c:pt>
                <c:pt idx="51">
                  <c:v>97</c:v>
                </c:pt>
                <c:pt idx="52">
                  <c:v>98</c:v>
                </c:pt>
                <c:pt idx="53">
                  <c:v>99</c:v>
                </c:pt>
                <c:pt idx="54">
                  <c:v>100</c:v>
                </c:pt>
                <c:pt idx="55">
                  <c:v>101</c:v>
                </c:pt>
                <c:pt idx="56">
                  <c:v>102</c:v>
                </c:pt>
                <c:pt idx="57">
                  <c:v>103</c:v>
                </c:pt>
                <c:pt idx="58">
                  <c:v>104</c:v>
                </c:pt>
                <c:pt idx="59">
                  <c:v>105</c:v>
                </c:pt>
                <c:pt idx="60">
                  <c:v>106</c:v>
                </c:pt>
                <c:pt idx="61">
                  <c:v>107</c:v>
                </c:pt>
                <c:pt idx="62">
                  <c:v>108</c:v>
                </c:pt>
                <c:pt idx="63">
                  <c:v>109</c:v>
                </c:pt>
                <c:pt idx="64">
                  <c:v>110</c:v>
                </c:pt>
                <c:pt idx="65">
                  <c:v>111</c:v>
                </c:pt>
                <c:pt idx="66">
                  <c:v>112</c:v>
                </c:pt>
                <c:pt idx="67">
                  <c:v>113</c:v>
                </c:pt>
                <c:pt idx="68">
                  <c:v>114</c:v>
                </c:pt>
                <c:pt idx="69">
                  <c:v>115</c:v>
                </c:pt>
                <c:pt idx="70">
                  <c:v>116</c:v>
                </c:pt>
                <c:pt idx="71">
                  <c:v>117</c:v>
                </c:pt>
                <c:pt idx="72">
                  <c:v>118</c:v>
                </c:pt>
                <c:pt idx="73">
                  <c:v>119</c:v>
                </c:pt>
                <c:pt idx="74">
                  <c:v>120</c:v>
                </c:pt>
                <c:pt idx="75">
                  <c:v>121</c:v>
                </c:pt>
                <c:pt idx="76">
                  <c:v>122</c:v>
                </c:pt>
                <c:pt idx="77">
                  <c:v>123</c:v>
                </c:pt>
                <c:pt idx="78">
                  <c:v>124</c:v>
                </c:pt>
                <c:pt idx="79">
                  <c:v>125</c:v>
                </c:pt>
                <c:pt idx="80">
                  <c:v>126</c:v>
                </c:pt>
                <c:pt idx="81">
                  <c:v>127</c:v>
                </c:pt>
                <c:pt idx="82">
                  <c:v>128</c:v>
                </c:pt>
                <c:pt idx="83">
                  <c:v>129</c:v>
                </c:pt>
                <c:pt idx="84">
                  <c:v>130</c:v>
                </c:pt>
                <c:pt idx="85">
                  <c:v>131</c:v>
                </c:pt>
                <c:pt idx="86">
                  <c:v>132</c:v>
                </c:pt>
                <c:pt idx="87">
                  <c:v>133</c:v>
                </c:pt>
                <c:pt idx="88">
                  <c:v>134</c:v>
                </c:pt>
                <c:pt idx="89">
                  <c:v>135</c:v>
                </c:pt>
                <c:pt idx="90">
                  <c:v>136</c:v>
                </c:pt>
                <c:pt idx="91">
                  <c:v>137</c:v>
                </c:pt>
                <c:pt idx="92">
                  <c:v>138</c:v>
                </c:pt>
                <c:pt idx="93">
                  <c:v>139</c:v>
                </c:pt>
                <c:pt idx="94">
                  <c:v>140</c:v>
                </c:pt>
              </c:numCache>
            </c:numRef>
          </c:xVal>
          <c:yVal>
            <c:numRef>
              <c:f>'Well_A-3'!$AE$48:$AE$142</c:f>
              <c:numCache>
                <c:formatCode>0</c:formatCode>
                <c:ptCount val="95"/>
                <c:pt idx="0">
                  <c:v>1008465.6440000001</c:v>
                </c:pt>
                <c:pt idx="1">
                  <c:v>1022291.5540000001</c:v>
                </c:pt>
                <c:pt idx="2">
                  <c:v>1037369.3950000001</c:v>
                </c:pt>
                <c:pt idx="3">
                  <c:v>1050475.5550000002</c:v>
                </c:pt>
                <c:pt idx="4">
                  <c:v>1064824.4950000001</c:v>
                </c:pt>
                <c:pt idx="5">
                  <c:v>1078566.4890000001</c:v>
                </c:pt>
                <c:pt idx="6">
                  <c:v>1092248.9300000002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E8-4B1E-AE01-D3C497604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84864"/>
        <c:axId val="197785344"/>
      </c:scatterChart>
      <c:valAx>
        <c:axId val="19778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5344"/>
        <c:crosses val="autoZero"/>
        <c:crossBetween val="midCat"/>
      </c:valAx>
      <c:valAx>
        <c:axId val="1977853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floew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4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FLOW RATE V/S TIME (SEMI LOG)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PRODUCTION HISTORY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'Well_A-3'!$W$2:$W$54</c:f>
              <c:numCache>
                <c:formatCode>General</c:formatCode>
                <c:ptCount val="53"/>
                <c:pt idx="0">
                  <c:v>0</c:v>
                </c:pt>
                <c:pt idx="1">
                  <c:v>1.0333333333333334</c:v>
                </c:pt>
                <c:pt idx="2">
                  <c:v>2.0333333333333332</c:v>
                </c:pt>
                <c:pt idx="3">
                  <c:v>3.0666666666666669</c:v>
                </c:pt>
                <c:pt idx="4">
                  <c:v>4.0666666666666664</c:v>
                </c:pt>
                <c:pt idx="5">
                  <c:v>5.0999999999999996</c:v>
                </c:pt>
                <c:pt idx="6">
                  <c:v>6.1333333333333337</c:v>
                </c:pt>
                <c:pt idx="7">
                  <c:v>7.1333333333333337</c:v>
                </c:pt>
                <c:pt idx="8">
                  <c:v>8.1666666666666661</c:v>
                </c:pt>
                <c:pt idx="9">
                  <c:v>9.1666666666666661</c:v>
                </c:pt>
                <c:pt idx="10">
                  <c:v>10.199999999999999</c:v>
                </c:pt>
                <c:pt idx="11">
                  <c:v>11.233333333333333</c:v>
                </c:pt>
                <c:pt idx="12">
                  <c:v>12.166666666666666</c:v>
                </c:pt>
                <c:pt idx="13">
                  <c:v>13.2</c:v>
                </c:pt>
                <c:pt idx="14">
                  <c:v>14.2</c:v>
                </c:pt>
                <c:pt idx="15">
                  <c:v>15.233333333333333</c:v>
                </c:pt>
                <c:pt idx="16">
                  <c:v>16.233333333333334</c:v>
                </c:pt>
                <c:pt idx="17">
                  <c:v>17.266666666666666</c:v>
                </c:pt>
                <c:pt idx="18">
                  <c:v>18.3</c:v>
                </c:pt>
                <c:pt idx="19">
                  <c:v>19.3</c:v>
                </c:pt>
                <c:pt idx="20">
                  <c:v>20.333333333333332</c:v>
                </c:pt>
                <c:pt idx="21">
                  <c:v>21.333333333333332</c:v>
                </c:pt>
                <c:pt idx="22">
                  <c:v>22.366666666666667</c:v>
                </c:pt>
                <c:pt idx="23">
                  <c:v>23.4</c:v>
                </c:pt>
                <c:pt idx="24">
                  <c:v>24.333333333333332</c:v>
                </c:pt>
                <c:pt idx="25">
                  <c:v>25.366666666666667</c:v>
                </c:pt>
                <c:pt idx="26">
                  <c:v>26.366666666666667</c:v>
                </c:pt>
                <c:pt idx="27">
                  <c:v>27.4</c:v>
                </c:pt>
                <c:pt idx="28">
                  <c:v>28.4</c:v>
                </c:pt>
                <c:pt idx="29">
                  <c:v>29.433333333333334</c:v>
                </c:pt>
                <c:pt idx="30">
                  <c:v>30.466666666666665</c:v>
                </c:pt>
                <c:pt idx="31">
                  <c:v>31.466666666666665</c:v>
                </c:pt>
                <c:pt idx="32">
                  <c:v>32.5</c:v>
                </c:pt>
                <c:pt idx="33">
                  <c:v>33.5</c:v>
                </c:pt>
                <c:pt idx="34">
                  <c:v>34.533333333333331</c:v>
                </c:pt>
                <c:pt idx="35">
                  <c:v>35.56666666666667</c:v>
                </c:pt>
                <c:pt idx="36">
                  <c:v>36.533333333333331</c:v>
                </c:pt>
                <c:pt idx="37">
                  <c:v>37.56666666666667</c:v>
                </c:pt>
                <c:pt idx="38">
                  <c:v>38.56666666666667</c:v>
                </c:pt>
                <c:pt idx="39">
                  <c:v>39.6</c:v>
                </c:pt>
                <c:pt idx="40">
                  <c:v>40.6</c:v>
                </c:pt>
                <c:pt idx="41">
                  <c:v>41.633333333333333</c:v>
                </c:pt>
                <c:pt idx="42">
                  <c:v>42.666666666666664</c:v>
                </c:pt>
                <c:pt idx="43">
                  <c:v>43.666666666666664</c:v>
                </c:pt>
                <c:pt idx="44">
                  <c:v>44.7</c:v>
                </c:pt>
                <c:pt idx="45">
                  <c:v>45.7</c:v>
                </c:pt>
                <c:pt idx="46">
                  <c:v>46.733333333333334</c:v>
                </c:pt>
                <c:pt idx="47">
                  <c:v>47.766666666666666</c:v>
                </c:pt>
                <c:pt idx="48">
                  <c:v>48.7</c:v>
                </c:pt>
                <c:pt idx="49">
                  <c:v>49.733333333333334</c:v>
                </c:pt>
                <c:pt idx="50">
                  <c:v>50.733333333333334</c:v>
                </c:pt>
                <c:pt idx="51">
                  <c:v>51.766666666666666</c:v>
                </c:pt>
                <c:pt idx="52">
                  <c:v>52.766666666666666</c:v>
                </c:pt>
              </c:numCache>
            </c:numRef>
          </c:xVal>
          <c:yVal>
            <c:numRef>
              <c:f>'Well_A-3'!$G$2:$G$54</c:f>
              <c:numCache>
                <c:formatCode>0</c:formatCode>
                <c:ptCount val="53"/>
                <c:pt idx="0">
                  <c:v>15780.215</c:v>
                </c:pt>
                <c:pt idx="1">
                  <c:v>27765.237000000001</c:v>
                </c:pt>
                <c:pt idx="2">
                  <c:v>28641.342000000001</c:v>
                </c:pt>
                <c:pt idx="3">
                  <c:v>28899.748</c:v>
                </c:pt>
                <c:pt idx="4">
                  <c:v>28648.315999999999</c:v>
                </c:pt>
                <c:pt idx="5">
                  <c:v>29304.605</c:v>
                </c:pt>
                <c:pt idx="6">
                  <c:v>27734.237000000001</c:v>
                </c:pt>
                <c:pt idx="7">
                  <c:v>28120.734</c:v>
                </c:pt>
                <c:pt idx="8">
                  <c:v>28040.663</c:v>
                </c:pt>
                <c:pt idx="9">
                  <c:v>28660.763999999999</c:v>
                </c:pt>
                <c:pt idx="10">
                  <c:v>22010.829000000002</c:v>
                </c:pt>
                <c:pt idx="11">
                  <c:v>20219.286</c:v>
                </c:pt>
                <c:pt idx="12">
                  <c:v>22081.853999999999</c:v>
                </c:pt>
                <c:pt idx="13">
                  <c:v>21111.174999999999</c:v>
                </c:pt>
                <c:pt idx="14">
                  <c:v>20937.809000000001</c:v>
                </c:pt>
                <c:pt idx="15">
                  <c:v>19335.098999999998</c:v>
                </c:pt>
                <c:pt idx="16">
                  <c:v>18158.577000000001</c:v>
                </c:pt>
                <c:pt idx="17">
                  <c:v>19137.821</c:v>
                </c:pt>
                <c:pt idx="18">
                  <c:v>19284.48</c:v>
                </c:pt>
                <c:pt idx="19">
                  <c:v>21163.19</c:v>
                </c:pt>
                <c:pt idx="20">
                  <c:v>18551.774000000001</c:v>
                </c:pt>
                <c:pt idx="21">
                  <c:v>17502.300999999999</c:v>
                </c:pt>
                <c:pt idx="22">
                  <c:v>20106.677</c:v>
                </c:pt>
                <c:pt idx="23">
                  <c:v>17583.12</c:v>
                </c:pt>
                <c:pt idx="24">
                  <c:v>19807.341</c:v>
                </c:pt>
                <c:pt idx="25">
                  <c:v>18886.429</c:v>
                </c:pt>
                <c:pt idx="26">
                  <c:v>19323.748</c:v>
                </c:pt>
                <c:pt idx="27">
                  <c:v>21909.667000000001</c:v>
                </c:pt>
                <c:pt idx="28">
                  <c:v>25900.103999999999</c:v>
                </c:pt>
                <c:pt idx="29">
                  <c:v>21961.391</c:v>
                </c:pt>
                <c:pt idx="30">
                  <c:v>19115.058000000001</c:v>
                </c:pt>
                <c:pt idx="31">
                  <c:v>23083.048999999999</c:v>
                </c:pt>
                <c:pt idx="32">
                  <c:v>23058.662</c:v>
                </c:pt>
                <c:pt idx="33">
                  <c:v>22717.611000000001</c:v>
                </c:pt>
                <c:pt idx="34">
                  <c:v>21282.964</c:v>
                </c:pt>
                <c:pt idx="35">
                  <c:v>20801.54</c:v>
                </c:pt>
                <c:pt idx="36">
                  <c:v>21852.15</c:v>
                </c:pt>
                <c:pt idx="37">
                  <c:v>20968.560000000001</c:v>
                </c:pt>
                <c:pt idx="38">
                  <c:v>20126.666000000001</c:v>
                </c:pt>
                <c:pt idx="39">
                  <c:v>18187.481</c:v>
                </c:pt>
                <c:pt idx="40">
                  <c:v>18566.488000000001</c:v>
                </c:pt>
                <c:pt idx="41">
                  <c:v>18721.722000000002</c:v>
                </c:pt>
                <c:pt idx="42">
                  <c:v>17798.917000000001</c:v>
                </c:pt>
                <c:pt idx="43">
                  <c:v>17161.692999999999</c:v>
                </c:pt>
                <c:pt idx="44">
                  <c:v>16421.181</c:v>
                </c:pt>
                <c:pt idx="45">
                  <c:v>16271.686</c:v>
                </c:pt>
                <c:pt idx="46">
                  <c:v>15761.683000000001</c:v>
                </c:pt>
                <c:pt idx="47">
                  <c:v>13825.91</c:v>
                </c:pt>
                <c:pt idx="48">
                  <c:v>15077.841</c:v>
                </c:pt>
                <c:pt idx="49">
                  <c:v>13106.16</c:v>
                </c:pt>
                <c:pt idx="50">
                  <c:v>14348.94</c:v>
                </c:pt>
                <c:pt idx="51">
                  <c:v>13741.994000000001</c:v>
                </c:pt>
                <c:pt idx="52">
                  <c:v>13682.441000000001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FC-420B-98C2-19C9BE386E1D}"/>
            </c:ext>
          </c:extLst>
        </c:ser>
        <c:ser>
          <c:idx val="0"/>
          <c:order val="1"/>
          <c:tx>
            <c:v>NEW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2.7303023425910022E-2"/>
                  <c:y val="-0.177338266147248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 = 60989e-0.029x</a:t>
                    </a:r>
                    <a:br>
                      <a:rPr lang="en-US"/>
                    </a:br>
                    <a:r>
                      <a:rPr lang="en-US"/>
                      <a:t>R² = 0.9443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'Well_A-3'!$W$37:$W$54</c:f>
              <c:numCache>
                <c:formatCode>General</c:formatCode>
                <c:ptCount val="18"/>
                <c:pt idx="0">
                  <c:v>35.56666666666667</c:v>
                </c:pt>
                <c:pt idx="1">
                  <c:v>36.533333333333331</c:v>
                </c:pt>
                <c:pt idx="2">
                  <c:v>37.56666666666667</c:v>
                </c:pt>
                <c:pt idx="3">
                  <c:v>38.56666666666667</c:v>
                </c:pt>
                <c:pt idx="4">
                  <c:v>39.6</c:v>
                </c:pt>
                <c:pt idx="5">
                  <c:v>40.6</c:v>
                </c:pt>
                <c:pt idx="6">
                  <c:v>41.633333333333333</c:v>
                </c:pt>
                <c:pt idx="7">
                  <c:v>42.666666666666664</c:v>
                </c:pt>
                <c:pt idx="8">
                  <c:v>43.666666666666664</c:v>
                </c:pt>
                <c:pt idx="9">
                  <c:v>44.7</c:v>
                </c:pt>
                <c:pt idx="10">
                  <c:v>45.7</c:v>
                </c:pt>
                <c:pt idx="11">
                  <c:v>46.733333333333334</c:v>
                </c:pt>
                <c:pt idx="12">
                  <c:v>47.766666666666666</c:v>
                </c:pt>
                <c:pt idx="13">
                  <c:v>48.7</c:v>
                </c:pt>
                <c:pt idx="14">
                  <c:v>49.733333333333334</c:v>
                </c:pt>
                <c:pt idx="15">
                  <c:v>50.733333333333334</c:v>
                </c:pt>
                <c:pt idx="16">
                  <c:v>51.766666666666666</c:v>
                </c:pt>
                <c:pt idx="17">
                  <c:v>52.766666666666666</c:v>
                </c:pt>
              </c:numCache>
            </c:numRef>
          </c:xVal>
          <c:yVal>
            <c:numRef>
              <c:f>'Well_A-3'!$G$37:$G$54</c:f>
              <c:numCache>
                <c:formatCode>0</c:formatCode>
                <c:ptCount val="18"/>
                <c:pt idx="0">
                  <c:v>20801.54</c:v>
                </c:pt>
                <c:pt idx="1">
                  <c:v>21852.15</c:v>
                </c:pt>
                <c:pt idx="2">
                  <c:v>20968.560000000001</c:v>
                </c:pt>
                <c:pt idx="3">
                  <c:v>20126.666000000001</c:v>
                </c:pt>
                <c:pt idx="4">
                  <c:v>18187.481</c:v>
                </c:pt>
                <c:pt idx="5">
                  <c:v>18566.488000000001</c:v>
                </c:pt>
                <c:pt idx="6">
                  <c:v>18721.722000000002</c:v>
                </c:pt>
                <c:pt idx="7">
                  <c:v>17798.917000000001</c:v>
                </c:pt>
                <c:pt idx="8">
                  <c:v>17161.692999999999</c:v>
                </c:pt>
                <c:pt idx="9">
                  <c:v>16421.181</c:v>
                </c:pt>
                <c:pt idx="10">
                  <c:v>16271.686</c:v>
                </c:pt>
                <c:pt idx="11">
                  <c:v>15761.683000000001</c:v>
                </c:pt>
                <c:pt idx="12">
                  <c:v>13825.91</c:v>
                </c:pt>
                <c:pt idx="13">
                  <c:v>15077.841</c:v>
                </c:pt>
                <c:pt idx="14">
                  <c:v>13106.16</c:v>
                </c:pt>
                <c:pt idx="15">
                  <c:v>14348.94</c:v>
                </c:pt>
                <c:pt idx="16">
                  <c:v>13741.994000000001</c:v>
                </c:pt>
                <c:pt idx="17">
                  <c:v>13682.441000000001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E3F-4D29-BD23-4927E0BB4DB3}"/>
            </c:ext>
          </c:extLst>
        </c:ser>
        <c:ser>
          <c:idx val="2"/>
          <c:order val="2"/>
          <c:tx>
            <c:v>EXPONENTIAL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'Well_A-3'!$W$54:$W$192</c:f>
              <c:numCache>
                <c:formatCode>General</c:formatCode>
                <c:ptCount val="139"/>
                <c:pt idx="0">
                  <c:v>52.766666666666666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79</c:v>
                </c:pt>
                <c:pt idx="28">
                  <c:v>80</c:v>
                </c:pt>
                <c:pt idx="29">
                  <c:v>81</c:v>
                </c:pt>
                <c:pt idx="30">
                  <c:v>82</c:v>
                </c:pt>
                <c:pt idx="31">
                  <c:v>83</c:v>
                </c:pt>
                <c:pt idx="32">
                  <c:v>84</c:v>
                </c:pt>
                <c:pt idx="33">
                  <c:v>85</c:v>
                </c:pt>
                <c:pt idx="34">
                  <c:v>86</c:v>
                </c:pt>
                <c:pt idx="35">
                  <c:v>87</c:v>
                </c:pt>
                <c:pt idx="36">
                  <c:v>88</c:v>
                </c:pt>
                <c:pt idx="37">
                  <c:v>89</c:v>
                </c:pt>
                <c:pt idx="38">
                  <c:v>90</c:v>
                </c:pt>
                <c:pt idx="39">
                  <c:v>91</c:v>
                </c:pt>
                <c:pt idx="40">
                  <c:v>92</c:v>
                </c:pt>
                <c:pt idx="41">
                  <c:v>93</c:v>
                </c:pt>
                <c:pt idx="42">
                  <c:v>94</c:v>
                </c:pt>
                <c:pt idx="43">
                  <c:v>95</c:v>
                </c:pt>
                <c:pt idx="44">
                  <c:v>96</c:v>
                </c:pt>
                <c:pt idx="45">
                  <c:v>97</c:v>
                </c:pt>
                <c:pt idx="46">
                  <c:v>98</c:v>
                </c:pt>
                <c:pt idx="47">
                  <c:v>99</c:v>
                </c:pt>
                <c:pt idx="48">
                  <c:v>100</c:v>
                </c:pt>
                <c:pt idx="49">
                  <c:v>101</c:v>
                </c:pt>
                <c:pt idx="50">
                  <c:v>102</c:v>
                </c:pt>
                <c:pt idx="51">
                  <c:v>103</c:v>
                </c:pt>
                <c:pt idx="52">
                  <c:v>104</c:v>
                </c:pt>
                <c:pt idx="53">
                  <c:v>105</c:v>
                </c:pt>
                <c:pt idx="54">
                  <c:v>106</c:v>
                </c:pt>
                <c:pt idx="55">
                  <c:v>107</c:v>
                </c:pt>
                <c:pt idx="56">
                  <c:v>108</c:v>
                </c:pt>
                <c:pt idx="57">
                  <c:v>109</c:v>
                </c:pt>
                <c:pt idx="58">
                  <c:v>110</c:v>
                </c:pt>
                <c:pt idx="59">
                  <c:v>111</c:v>
                </c:pt>
                <c:pt idx="60">
                  <c:v>112</c:v>
                </c:pt>
                <c:pt idx="61">
                  <c:v>113</c:v>
                </c:pt>
                <c:pt idx="62">
                  <c:v>114</c:v>
                </c:pt>
                <c:pt idx="63">
                  <c:v>115</c:v>
                </c:pt>
                <c:pt idx="64">
                  <c:v>116</c:v>
                </c:pt>
                <c:pt idx="65">
                  <c:v>117</c:v>
                </c:pt>
                <c:pt idx="66">
                  <c:v>118</c:v>
                </c:pt>
                <c:pt idx="67">
                  <c:v>119</c:v>
                </c:pt>
                <c:pt idx="68">
                  <c:v>120</c:v>
                </c:pt>
                <c:pt idx="69">
                  <c:v>121</c:v>
                </c:pt>
                <c:pt idx="70">
                  <c:v>122</c:v>
                </c:pt>
                <c:pt idx="71">
                  <c:v>123</c:v>
                </c:pt>
                <c:pt idx="72">
                  <c:v>124</c:v>
                </c:pt>
                <c:pt idx="73">
                  <c:v>125</c:v>
                </c:pt>
                <c:pt idx="74">
                  <c:v>126</c:v>
                </c:pt>
                <c:pt idx="75">
                  <c:v>127</c:v>
                </c:pt>
                <c:pt idx="76">
                  <c:v>128</c:v>
                </c:pt>
                <c:pt idx="77">
                  <c:v>129</c:v>
                </c:pt>
                <c:pt idx="78">
                  <c:v>130</c:v>
                </c:pt>
                <c:pt idx="79">
                  <c:v>131</c:v>
                </c:pt>
                <c:pt idx="80">
                  <c:v>132</c:v>
                </c:pt>
                <c:pt idx="81">
                  <c:v>133</c:v>
                </c:pt>
                <c:pt idx="82">
                  <c:v>134</c:v>
                </c:pt>
                <c:pt idx="83">
                  <c:v>135</c:v>
                </c:pt>
                <c:pt idx="84">
                  <c:v>136</c:v>
                </c:pt>
                <c:pt idx="85">
                  <c:v>137</c:v>
                </c:pt>
                <c:pt idx="86">
                  <c:v>138</c:v>
                </c:pt>
                <c:pt idx="87">
                  <c:v>139</c:v>
                </c:pt>
                <c:pt idx="88">
                  <c:v>140</c:v>
                </c:pt>
                <c:pt idx="89">
                  <c:v>141</c:v>
                </c:pt>
                <c:pt idx="90">
                  <c:v>142</c:v>
                </c:pt>
                <c:pt idx="91">
                  <c:v>143</c:v>
                </c:pt>
                <c:pt idx="92">
                  <c:v>144</c:v>
                </c:pt>
                <c:pt idx="93">
                  <c:v>145</c:v>
                </c:pt>
                <c:pt idx="94">
                  <c:v>146</c:v>
                </c:pt>
                <c:pt idx="95">
                  <c:v>147</c:v>
                </c:pt>
                <c:pt idx="96">
                  <c:v>148</c:v>
                </c:pt>
                <c:pt idx="97">
                  <c:v>149</c:v>
                </c:pt>
                <c:pt idx="98">
                  <c:v>150</c:v>
                </c:pt>
                <c:pt idx="99">
                  <c:v>151</c:v>
                </c:pt>
                <c:pt idx="100">
                  <c:v>152</c:v>
                </c:pt>
                <c:pt idx="101">
                  <c:v>153</c:v>
                </c:pt>
                <c:pt idx="102">
                  <c:v>154</c:v>
                </c:pt>
                <c:pt idx="103">
                  <c:v>155</c:v>
                </c:pt>
                <c:pt idx="104">
                  <c:v>156</c:v>
                </c:pt>
                <c:pt idx="105">
                  <c:v>157</c:v>
                </c:pt>
                <c:pt idx="106">
                  <c:v>158</c:v>
                </c:pt>
                <c:pt idx="107">
                  <c:v>159</c:v>
                </c:pt>
                <c:pt idx="108">
                  <c:v>160</c:v>
                </c:pt>
                <c:pt idx="109">
                  <c:v>161</c:v>
                </c:pt>
                <c:pt idx="110">
                  <c:v>162</c:v>
                </c:pt>
                <c:pt idx="111">
                  <c:v>163</c:v>
                </c:pt>
                <c:pt idx="112">
                  <c:v>164</c:v>
                </c:pt>
                <c:pt idx="113">
                  <c:v>165</c:v>
                </c:pt>
                <c:pt idx="114">
                  <c:v>166</c:v>
                </c:pt>
                <c:pt idx="115">
                  <c:v>167</c:v>
                </c:pt>
                <c:pt idx="116">
                  <c:v>168</c:v>
                </c:pt>
                <c:pt idx="117">
                  <c:v>169</c:v>
                </c:pt>
                <c:pt idx="118">
                  <c:v>170</c:v>
                </c:pt>
                <c:pt idx="119">
                  <c:v>171</c:v>
                </c:pt>
                <c:pt idx="120">
                  <c:v>172</c:v>
                </c:pt>
                <c:pt idx="121">
                  <c:v>173</c:v>
                </c:pt>
                <c:pt idx="122">
                  <c:v>174</c:v>
                </c:pt>
                <c:pt idx="123">
                  <c:v>175</c:v>
                </c:pt>
                <c:pt idx="124">
                  <c:v>176</c:v>
                </c:pt>
                <c:pt idx="125">
                  <c:v>177</c:v>
                </c:pt>
                <c:pt idx="126">
                  <c:v>178</c:v>
                </c:pt>
                <c:pt idx="127">
                  <c:v>179</c:v>
                </c:pt>
                <c:pt idx="128">
                  <c:v>180</c:v>
                </c:pt>
                <c:pt idx="129">
                  <c:v>181</c:v>
                </c:pt>
                <c:pt idx="130">
                  <c:v>182</c:v>
                </c:pt>
                <c:pt idx="131">
                  <c:v>183</c:v>
                </c:pt>
                <c:pt idx="132">
                  <c:v>184</c:v>
                </c:pt>
                <c:pt idx="133">
                  <c:v>185</c:v>
                </c:pt>
                <c:pt idx="134">
                  <c:v>186</c:v>
                </c:pt>
                <c:pt idx="135">
                  <c:v>187</c:v>
                </c:pt>
                <c:pt idx="136">
                  <c:v>188</c:v>
                </c:pt>
                <c:pt idx="137">
                  <c:v>189</c:v>
                </c:pt>
                <c:pt idx="138">
                  <c:v>190</c:v>
                </c:pt>
              </c:numCache>
            </c:numRef>
          </c:xVal>
          <c:yVal>
            <c:numRef>
              <c:f>'Well_A-3'!$AA$54:$AA$192</c:f>
              <c:numCache>
                <c:formatCode>General</c:formatCode>
                <c:ptCount val="139"/>
                <c:pt idx="0">
                  <c:v>13203.212704856074</c:v>
                </c:pt>
                <c:pt idx="1">
                  <c:v>13114.172557796379</c:v>
                </c:pt>
                <c:pt idx="2">
                  <c:v>12739.323140499531</c:v>
                </c:pt>
                <c:pt idx="3">
                  <c:v>12375.18824484166</c:v>
                </c:pt>
                <c:pt idx="4">
                  <c:v>12021.461611912773</c:v>
                </c:pt>
                <c:pt idx="5">
                  <c:v>11677.845736765319</c:v>
                </c:pt>
                <c:pt idx="6">
                  <c:v>11344.051618194979</c:v>
                </c:pt>
                <c:pt idx="7">
                  <c:v>11019.798515673634</c:v>
                </c:pt>
                <c:pt idx="8">
                  <c:v>10704.813713230022</c:v>
                </c:pt>
                <c:pt idx="9">
                  <c:v>10398.832290079536</c:v>
                </c:pt>
                <c:pt idx="10">
                  <c:v>10101.59689781023</c:v>
                </c:pt>
                <c:pt idx="11">
                  <c:v>9812.8575439376345</c:v>
                </c:pt>
                <c:pt idx="12">
                  <c:v>9532.3713816463496</c:v>
                </c:pt>
                <c:pt idx="13">
                  <c:v>9259.9025055415423</c:v>
                </c:pt>
                <c:pt idx="14">
                  <c:v>8995.2217532386203</c:v>
                </c:pt>
                <c:pt idx="15">
                  <c:v>8738.1065126241556</c:v>
                </c:pt>
                <c:pt idx="16">
                  <c:v>8488.3405346259715</c:v>
                </c:pt>
                <c:pt idx="17">
                  <c:v>8245.7137513349335</c:v>
                </c:pt>
                <c:pt idx="18">
                  <c:v>8010.0220993254416</c:v>
                </c:pt>
                <c:pt idx="19">
                  <c:v>7781.0673480260939</c:v>
                </c:pt>
                <c:pt idx="20">
                  <c:v>7558.6569329960494</c:v>
                </c:pt>
                <c:pt idx="21">
                  <c:v>7342.6037939670132</c:v>
                </c:pt>
                <c:pt idx="22">
                  <c:v>7132.7262175145161</c:v>
                </c:pt>
                <c:pt idx="23">
                  <c:v>6928.847684226208</c:v>
                </c:pt>
                <c:pt idx="24">
                  <c:v>6730.7967202386453</c:v>
                </c:pt>
                <c:pt idx="25">
                  <c:v>6538.4067530176453</c:v>
                </c:pt>
                <c:pt idx="26">
                  <c:v>6351.5159712609748</c:v>
                </c:pt>
                <c:pt idx="27">
                  <c:v>6169.9671888055109</c:v>
                </c:pt>
                <c:pt idx="28">
                  <c:v>5993.6077124244039</c:v>
                </c:pt>
                <c:pt idx="29">
                  <c:v>5822.2892134030899</c:v>
                </c:pt>
                <c:pt idx="30">
                  <c:v>5655.8676027860793</c:v>
                </c:pt>
                <c:pt idx="31">
                  <c:v>5494.202910189666</c:v>
                </c:pt>
                <c:pt idx="32">
                  <c:v>5337.1591660785762</c:v>
                </c:pt>
                <c:pt idx="33">
                  <c:v>5184.604287407582</c:v>
                </c:pt>
                <c:pt idx="34">
                  <c:v>5036.4099665318754</c:v>
                </c:pt>
                <c:pt idx="35">
                  <c:v>4892.451563292766</c:v>
                </c:pt>
                <c:pt idx="36">
                  <c:v>4752.6080001879727</c:v>
                </c:pt>
                <c:pt idx="37">
                  <c:v>4616.7616605383018</c:v>
                </c:pt>
                <c:pt idx="38">
                  <c:v>4484.7982895650875</c:v>
                </c:pt>
                <c:pt idx="39">
                  <c:v>4356.6068982951938</c:v>
                </c:pt>
                <c:pt idx="40">
                  <c:v>4232.0796702127391</c:v>
                </c:pt>
                <c:pt idx="41">
                  <c:v>4111.111870579055</c:v>
                </c:pt>
                <c:pt idx="42">
                  <c:v>3993.6017583445955</c:v>
                </c:pt>
                <c:pt idx="43">
                  <c:v>3879.4505005787219</c:v>
                </c:pt>
                <c:pt idx="44">
                  <c:v>3768.5620893453829</c:v>
                </c:pt>
                <c:pt idx="45">
                  <c:v>3660.8432609547735</c:v>
                </c:pt>
                <c:pt idx="46">
                  <c:v>3556.2034175230829</c:v>
                </c:pt>
                <c:pt idx="47">
                  <c:v>3454.5545507743304</c:v>
                </c:pt>
                <c:pt idx="48">
                  <c:v>3355.8111680202192</c:v>
                </c:pt>
                <c:pt idx="49">
                  <c:v>3259.8902202557492</c:v>
                </c:pt>
                <c:pt idx="50">
                  <c:v>3166.7110323101019</c:v>
                </c:pt>
                <c:pt idx="51">
                  <c:v>3076.1952349940721</c:v>
                </c:pt>
                <c:pt idx="52">
                  <c:v>2988.2666991869582</c:v>
                </c:pt>
                <c:pt idx="53">
                  <c:v>2902.8514718074853</c:v>
                </c:pt>
                <c:pt idx="54">
                  <c:v>2819.8777136149074</c:v>
                </c:pt>
                <c:pt idx="55">
                  <c:v>2739.2756387879672</c:v>
                </c:pt>
                <c:pt idx="56">
                  <c:v>2660.9774562309076</c:v>
                </c:pt>
                <c:pt idx="57">
                  <c:v>2584.9173125571683</c:v>
                </c:pt>
                <c:pt idx="58">
                  <c:v>2511.0312367028023</c:v>
                </c:pt>
                <c:pt idx="59">
                  <c:v>2439.2570861230415</c:v>
                </c:pt>
                <c:pt idx="60">
                  <c:v>2369.534494526758</c:v>
                </c:pt>
                <c:pt idx="61">
                  <c:v>2301.8048211048467</c:v>
                </c:pt>
                <c:pt idx="62">
                  <c:v>2236.0111012098564</c:v>
                </c:pt>
                <c:pt idx="63">
                  <c:v>2172.0979984453584</c:v>
                </c:pt>
                <c:pt idx="64">
                  <c:v>2110.0117581247787</c:v>
                </c:pt>
                <c:pt idx="65">
                  <c:v>2049.7001620605374</c:v>
                </c:pt>
                <c:pt idx="66">
                  <c:v>1991.1124846454743</c:v>
                </c:pt>
                <c:pt idx="67">
                  <c:v>1934.1994501896238</c:v>
                </c:pt>
                <c:pt idx="68">
                  <c:v>1878.9131914764553</c:v>
                </c:pt>
                <c:pt idx="69">
                  <c:v>1825.2072095037227</c:v>
                </c:pt>
                <c:pt idx="70">
                  <c:v>1773.0363343750639</c:v>
                </c:pt>
                <c:pt idx="71">
                  <c:v>1722.3566873094537</c:v>
                </c:pt>
                <c:pt idx="72">
                  <c:v>1673.1256437365632</c:v>
                </c:pt>
                <c:pt idx="73">
                  <c:v>1625.3017974469847</c:v>
                </c:pt>
                <c:pt idx="74">
                  <c:v>1578.8449257671671</c:v>
                </c:pt>
                <c:pt idx="75">
                  <c:v>1533.7159557297807</c:v>
                </c:pt>
                <c:pt idx="76">
                  <c:v>1489.8769312110437</c:v>
                </c:pt>
                <c:pt idx="77">
                  <c:v>1447.290981007387</c:v>
                </c:pt>
                <c:pt idx="78">
                  <c:v>1405.9222878246003</c:v>
                </c:pt>
                <c:pt idx="79">
                  <c:v>1365.7360581533731</c:v>
                </c:pt>
                <c:pt idx="80">
                  <c:v>1326.6984930059073</c:v>
                </c:pt>
                <c:pt idx="81">
                  <c:v>1288.7767594889713</c:v>
                </c:pt>
                <c:pt idx="82">
                  <c:v>1251.9389631895044</c:v>
                </c:pt>
                <c:pt idx="83">
                  <c:v>1216.1541213495354</c:v>
                </c:pt>
                <c:pt idx="84">
                  <c:v>1181.3921368078554</c:v>
                </c:pt>
                <c:pt idx="85">
                  <c:v>1147.6237726865345</c:v>
                </c:pt>
                <c:pt idx="86">
                  <c:v>1114.8206278009804</c:v>
                </c:pt>
                <c:pt idx="87">
                  <c:v>1082.9551127728685</c:v>
                </c:pt>
                <c:pt idx="88">
                  <c:v>1052.0004268258533</c:v>
                </c:pt>
                <c:pt idx="89">
                  <c:v>1021.9305352445298</c:v>
                </c:pt>
                <c:pt idx="90">
                  <c:v>992.72014747770618</c:v>
                </c:pt>
                <c:pt idx="91">
                  <c:v>964.34469586755995</c:v>
                </c:pt>
                <c:pt idx="92">
                  <c:v>936.78031498678854</c:v>
                </c:pt>
                <c:pt idx="93">
                  <c:v>910.00382156637863</c:v>
                </c:pt>
                <c:pt idx="94">
                  <c:v>883.99269499711068</c:v>
                </c:pt>
                <c:pt idx="95">
                  <c:v>858.72505838839913</c:v>
                </c:pt>
                <c:pt idx="96">
                  <c:v>834.17966016853745</c:v>
                </c:pt>
                <c:pt idx="97">
                  <c:v>810.33585621087389</c:v>
                </c:pt>
                <c:pt idx="98">
                  <c:v>787.17359247088632</c:v>
                </c:pt>
                <c:pt idx="99">
                  <c:v>764.67338811954448</c:v>
                </c:pt>
                <c:pt idx="100">
                  <c:v>742.81631915878779</c:v>
                </c:pt>
                <c:pt idx="101">
                  <c:v>721.58400250532691</c:v>
                </c:pt>
                <c:pt idx="102">
                  <c:v>700.95858052938638</c:v>
                </c:pt>
                <c:pt idx="103">
                  <c:v>680.92270603538645</c:v>
                </c:pt>
                <c:pt idx="104">
                  <c:v>661.45952767192853</c:v>
                </c:pt>
                <c:pt idx="105">
                  <c:v>642.55267575881521</c:v>
                </c:pt>
                <c:pt idx="106">
                  <c:v>624.18624851918503</c:v>
                </c:pt>
                <c:pt idx="107">
                  <c:v>606.34479870517976</c:v>
                </c:pt>
                <c:pt idx="108">
                  <c:v>589.01332060590096</c:v>
                </c:pt>
                <c:pt idx="109">
                  <c:v>572.1772374267191</c:v>
                </c:pt>
                <c:pt idx="110">
                  <c:v>555.82238902933273</c:v>
                </c:pt>
                <c:pt idx="111">
                  <c:v>539.93502002225614</c:v>
                </c:pt>
                <c:pt idx="112">
                  <c:v>524.50176819172566</c:v>
                </c:pt>
                <c:pt idx="113">
                  <c:v>509.5096532632889</c:v>
                </c:pt>
                <c:pt idx="114">
                  <c:v>494.94606598462991</c:v>
                </c:pt>
                <c:pt idx="115">
                  <c:v>480.7987575204441</c:v>
                </c:pt>
                <c:pt idx="116">
                  <c:v>467.05582915044624</c:v>
                </c:pt>
                <c:pt idx="117">
                  <c:v>453.70572226184476</c:v>
                </c:pt>
                <c:pt idx="118">
                  <c:v>440.73720862786865</c:v>
                </c:pt>
                <c:pt idx="119">
                  <c:v>428.13938096416462</c:v>
                </c:pt>
                <c:pt idx="120">
                  <c:v>415.90164375512961</c:v>
                </c:pt>
                <c:pt idx="121">
                  <c:v>404.01370434245746</c:v>
                </c:pt>
                <c:pt idx="122">
                  <c:v>392.46556426840624</c:v>
                </c:pt>
                <c:pt idx="123">
                  <c:v>381.24751086650633</c:v>
                </c:pt>
                <c:pt idx="124">
                  <c:v>370.35010909263514</c:v>
                </c:pt>
                <c:pt idx="125">
                  <c:v>359.76419358958901</c:v>
                </c:pt>
                <c:pt idx="126">
                  <c:v>349.48086097847778</c:v>
                </c:pt>
                <c:pt idx="127">
                  <c:v>339.49146237045795</c:v>
                </c:pt>
                <c:pt idx="128">
                  <c:v>329.78759609250739</c:v>
                </c:pt>
                <c:pt idx="129">
                  <c:v>320.36110062112425</c:v>
                </c:pt>
                <c:pt idx="130">
                  <c:v>311.20404771800281</c:v>
                </c:pt>
                <c:pt idx="131">
                  <c:v>302.30873576191891</c:v>
                </c:pt>
                <c:pt idx="132">
                  <c:v>293.6676832712123</c:v>
                </c:pt>
                <c:pt idx="133">
                  <c:v>285.2736226114198</c:v>
                </c:pt>
                <c:pt idx="134">
                  <c:v>277.11949388276594</c:v>
                </c:pt>
                <c:pt idx="135">
                  <c:v>269.19843898237144</c:v>
                </c:pt>
                <c:pt idx="136">
                  <c:v>261.50379583618434</c:v>
                </c:pt>
                <c:pt idx="137">
                  <c:v>254.02909279578304</c:v>
                </c:pt>
                <c:pt idx="138">
                  <c:v>246.76804319533849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F7-48AB-A685-FC683FE97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84864"/>
        <c:axId val="197785344"/>
      </c:scatterChart>
      <c:valAx>
        <c:axId val="19778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5344"/>
        <c:crosses val="autoZero"/>
        <c:crossBetween val="midCat"/>
      </c:valAx>
      <c:valAx>
        <c:axId val="1977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floew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4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WOR</a:t>
            </a:r>
            <a:r>
              <a:rPr lang="en-IN" baseline="0"/>
              <a:t> &amp; WOR'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'Well_A-5'!$N$1:$N$23</c:f>
              <c:strCache>
                <c:ptCount val="23"/>
                <c:pt idx="0">
                  <c:v>TIME</c:v>
                </c:pt>
                <c:pt idx="1">
                  <c:v>0</c:v>
                </c:pt>
                <c:pt idx="2">
                  <c:v>29</c:v>
                </c:pt>
                <c:pt idx="3">
                  <c:v>60</c:v>
                </c:pt>
                <c:pt idx="4">
                  <c:v>90</c:v>
                </c:pt>
                <c:pt idx="5">
                  <c:v>121</c:v>
                </c:pt>
                <c:pt idx="6">
                  <c:v>151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304</c:v>
                </c:pt>
                <c:pt idx="12">
                  <c:v>335</c:v>
                </c:pt>
                <c:pt idx="13">
                  <c:v>366</c:v>
                </c:pt>
                <c:pt idx="14">
                  <c:v>394</c:v>
                </c:pt>
                <c:pt idx="15">
                  <c:v>425</c:v>
                </c:pt>
                <c:pt idx="16">
                  <c:v>455</c:v>
                </c:pt>
                <c:pt idx="17">
                  <c:v>486</c:v>
                </c:pt>
                <c:pt idx="18">
                  <c:v>516</c:v>
                </c:pt>
                <c:pt idx="19">
                  <c:v>547</c:v>
                </c:pt>
                <c:pt idx="20">
                  <c:v>578</c:v>
                </c:pt>
                <c:pt idx="21">
                  <c:v>608</c:v>
                </c:pt>
                <c:pt idx="22">
                  <c:v>639</c:v>
                </c:pt>
              </c:strCache>
            </c:strRef>
          </c:xVal>
          <c:yVal>
            <c:numRef>
              <c:f>'Well_A-5'!$O$1:$O$15</c:f>
              <c:numCache>
                <c:formatCode>General</c:formatCode>
                <c:ptCount val="15"/>
                <c:pt idx="0">
                  <c:v>0</c:v>
                </c:pt>
                <c:pt idx="1">
                  <c:v>1.5368681047200898E-2</c:v>
                </c:pt>
                <c:pt idx="2">
                  <c:v>1.8208420702960641E-2</c:v>
                </c:pt>
                <c:pt idx="3">
                  <c:v>2.0091307096382061E-2</c:v>
                </c:pt>
                <c:pt idx="4">
                  <c:v>0.18300322037303068</c:v>
                </c:pt>
                <c:pt idx="5">
                  <c:v>0.51473200425652577</c:v>
                </c:pt>
                <c:pt idx="6">
                  <c:v>1.2404915668459859</c:v>
                </c:pt>
                <c:pt idx="7">
                  <c:v>1.6432114709759238</c:v>
                </c:pt>
                <c:pt idx="8">
                  <c:v>3.1985199122570815</c:v>
                </c:pt>
                <c:pt idx="9">
                  <c:v>4.1296428461885943</c:v>
                </c:pt>
                <c:pt idx="10">
                  <c:v>4.2845792456633571</c:v>
                </c:pt>
                <c:pt idx="11">
                  <c:v>4.2982522054063725</c:v>
                </c:pt>
                <c:pt idx="12">
                  <c:v>3.4688291212010789</c:v>
                </c:pt>
                <c:pt idx="13">
                  <c:v>1.9807388088631874</c:v>
                </c:pt>
                <c:pt idx="14">
                  <c:v>2.4337982550290129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E8-42D3-91E8-15ECD653D793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'Well_A-5'!$N$1:$N$20</c:f>
              <c:strCache>
                <c:ptCount val="20"/>
                <c:pt idx="0">
                  <c:v>TIME</c:v>
                </c:pt>
                <c:pt idx="1">
                  <c:v>0</c:v>
                </c:pt>
                <c:pt idx="2">
                  <c:v>29</c:v>
                </c:pt>
                <c:pt idx="3">
                  <c:v>60</c:v>
                </c:pt>
                <c:pt idx="4">
                  <c:v>90</c:v>
                </c:pt>
                <c:pt idx="5">
                  <c:v>121</c:v>
                </c:pt>
                <c:pt idx="6">
                  <c:v>151</c:v>
                </c:pt>
                <c:pt idx="7">
                  <c:v>182</c:v>
                </c:pt>
                <c:pt idx="8">
                  <c:v>213</c:v>
                </c:pt>
                <c:pt idx="9">
                  <c:v>243</c:v>
                </c:pt>
                <c:pt idx="10">
                  <c:v>274</c:v>
                </c:pt>
                <c:pt idx="11">
                  <c:v>304</c:v>
                </c:pt>
                <c:pt idx="12">
                  <c:v>335</c:v>
                </c:pt>
                <c:pt idx="13">
                  <c:v>366</c:v>
                </c:pt>
                <c:pt idx="14">
                  <c:v>394</c:v>
                </c:pt>
                <c:pt idx="15">
                  <c:v>425</c:v>
                </c:pt>
                <c:pt idx="16">
                  <c:v>455</c:v>
                </c:pt>
                <c:pt idx="17">
                  <c:v>486</c:v>
                </c:pt>
                <c:pt idx="18">
                  <c:v>516</c:v>
                </c:pt>
                <c:pt idx="19">
                  <c:v>547</c:v>
                </c:pt>
              </c:strCache>
            </c:strRef>
          </c:xVal>
          <c:yVal>
            <c:numRef>
              <c:f>'Well_A-5'!$R:$R</c:f>
              <c:numCache>
                <c:formatCode>General</c:formatCode>
                <c:ptCount val="1048576"/>
                <c:pt idx="0">
                  <c:v>0</c:v>
                </c:pt>
                <c:pt idx="1">
                  <c:v>9.7922057095163533E-5</c:v>
                </c:pt>
                <c:pt idx="2">
                  <c:v>6.0738270755529698E-5</c:v>
                </c:pt>
                <c:pt idx="3">
                  <c:v>5.4303971092216205E-3</c:v>
                </c:pt>
                <c:pt idx="4">
                  <c:v>1.0700928512370809E-2</c:v>
                </c:pt>
                <c:pt idx="5">
                  <c:v>2.4191985419648673E-2</c:v>
                </c:pt>
                <c:pt idx="6">
                  <c:v>1.2990964649352834E-2</c:v>
                </c:pt>
                <c:pt idx="7">
                  <c:v>5.0171240041327669E-2</c:v>
                </c:pt>
                <c:pt idx="8">
                  <c:v>3.1037431131050428E-2</c:v>
                </c:pt>
                <c:pt idx="9">
                  <c:v>4.9979483701536381E-3</c:v>
                </c:pt>
                <c:pt idx="10">
                  <c:v>4.5576532476718039E-4</c:v>
                </c:pt>
                <c:pt idx="11">
                  <c:v>-2.6755583361461086E-2</c:v>
                </c:pt>
                <c:pt idx="12">
                  <c:v>-4.8002913301222305E-2</c:v>
                </c:pt>
                <c:pt idx="13">
                  <c:v>1.6180694505922338E-2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E8-42D3-91E8-15ECD653D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834736"/>
        <c:axId val="345834256"/>
      </c:scatterChart>
      <c:valAx>
        <c:axId val="3458347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34256"/>
        <c:crosses val="autoZero"/>
        <c:crossBetween val="midCat"/>
      </c:valAx>
      <c:valAx>
        <c:axId val="3458342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3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11908845895399E-2"/>
          <c:y val="2.523080462231379E-2"/>
          <c:w val="0.8774970491739571"/>
          <c:h val="0.72305579387964447"/>
        </c:manualLayout>
      </c:layout>
      <c:scatterChart>
        <c:scatterStyle val="lineMarker"/>
        <c:varyColors val="0"/>
        <c:ser>
          <c:idx val="0"/>
          <c:order val="0"/>
          <c:tx>
            <c:v>PRODUCTION HISTORY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'Well_A-5'!$W$2:$W$67</c:f>
              <c:numCache>
                <c:formatCode>General</c:formatCode>
                <c:ptCount val="66"/>
                <c:pt idx="0">
                  <c:v>0</c:v>
                </c:pt>
                <c:pt idx="1">
                  <c:v>0.96666666666666667</c:v>
                </c:pt>
                <c:pt idx="2">
                  <c:v>2</c:v>
                </c:pt>
                <c:pt idx="3">
                  <c:v>3</c:v>
                </c:pt>
                <c:pt idx="4">
                  <c:v>4.0333333333333332</c:v>
                </c:pt>
                <c:pt idx="5">
                  <c:v>5.0333333333333332</c:v>
                </c:pt>
                <c:pt idx="6">
                  <c:v>6.0666666666666664</c:v>
                </c:pt>
                <c:pt idx="7">
                  <c:v>7.1</c:v>
                </c:pt>
                <c:pt idx="8">
                  <c:v>8.1</c:v>
                </c:pt>
                <c:pt idx="9">
                  <c:v>9.1333333333333329</c:v>
                </c:pt>
                <c:pt idx="10">
                  <c:v>10.133333333333333</c:v>
                </c:pt>
                <c:pt idx="11">
                  <c:v>11.166666666666666</c:v>
                </c:pt>
                <c:pt idx="12">
                  <c:v>12.2</c:v>
                </c:pt>
                <c:pt idx="13">
                  <c:v>13.133333333333333</c:v>
                </c:pt>
                <c:pt idx="14">
                  <c:v>14.166666666666666</c:v>
                </c:pt>
                <c:pt idx="15">
                  <c:v>15.166666666666666</c:v>
                </c:pt>
                <c:pt idx="16">
                  <c:v>16.2</c:v>
                </c:pt>
                <c:pt idx="17">
                  <c:v>17.2</c:v>
                </c:pt>
                <c:pt idx="18">
                  <c:v>18.233333333333334</c:v>
                </c:pt>
                <c:pt idx="19">
                  <c:v>19.266666666666666</c:v>
                </c:pt>
                <c:pt idx="20">
                  <c:v>20.266666666666666</c:v>
                </c:pt>
                <c:pt idx="21">
                  <c:v>21.3</c:v>
                </c:pt>
                <c:pt idx="22">
                  <c:v>22.3</c:v>
                </c:pt>
                <c:pt idx="23">
                  <c:v>23.333333333333332</c:v>
                </c:pt>
                <c:pt idx="24">
                  <c:v>24.366666666666667</c:v>
                </c:pt>
                <c:pt idx="25">
                  <c:v>25.3</c:v>
                </c:pt>
                <c:pt idx="26">
                  <c:v>26.333333333333332</c:v>
                </c:pt>
                <c:pt idx="27">
                  <c:v>27.333333333333332</c:v>
                </c:pt>
                <c:pt idx="28">
                  <c:v>28.366666666666667</c:v>
                </c:pt>
                <c:pt idx="29">
                  <c:v>29.366666666666667</c:v>
                </c:pt>
                <c:pt idx="30">
                  <c:v>30.4</c:v>
                </c:pt>
                <c:pt idx="31">
                  <c:v>31.433333333333334</c:v>
                </c:pt>
                <c:pt idx="32">
                  <c:v>32.43333333333333</c:v>
                </c:pt>
                <c:pt idx="33">
                  <c:v>33.466666666666669</c:v>
                </c:pt>
                <c:pt idx="34">
                  <c:v>34.466666666666669</c:v>
                </c:pt>
                <c:pt idx="35">
                  <c:v>35.5</c:v>
                </c:pt>
                <c:pt idx="36">
                  <c:v>36.533333333333331</c:v>
                </c:pt>
                <c:pt idx="37">
                  <c:v>37.466666666666669</c:v>
                </c:pt>
                <c:pt idx="38">
                  <c:v>38.5</c:v>
                </c:pt>
                <c:pt idx="39">
                  <c:v>39.5</c:v>
                </c:pt>
                <c:pt idx="40">
                  <c:v>40.533333333333331</c:v>
                </c:pt>
                <c:pt idx="41">
                  <c:v>41.533333333333331</c:v>
                </c:pt>
                <c:pt idx="42">
                  <c:v>42.56666666666667</c:v>
                </c:pt>
                <c:pt idx="43">
                  <c:v>43.6</c:v>
                </c:pt>
                <c:pt idx="44">
                  <c:v>44.6</c:v>
                </c:pt>
                <c:pt idx="45">
                  <c:v>45.633333333333333</c:v>
                </c:pt>
                <c:pt idx="46">
                  <c:v>46.633333333333333</c:v>
                </c:pt>
                <c:pt idx="47">
                  <c:v>47.666666666666664</c:v>
                </c:pt>
                <c:pt idx="48">
                  <c:v>48.7</c:v>
                </c:pt>
                <c:pt idx="49">
                  <c:v>49.666666666666664</c:v>
                </c:pt>
                <c:pt idx="50">
                  <c:v>50.7</c:v>
                </c:pt>
                <c:pt idx="51">
                  <c:v>51.7</c:v>
                </c:pt>
                <c:pt idx="52">
                  <c:v>52.733333333333334</c:v>
                </c:pt>
                <c:pt idx="53">
                  <c:v>53.733333333333334</c:v>
                </c:pt>
                <c:pt idx="54">
                  <c:v>54.766666666666666</c:v>
                </c:pt>
                <c:pt idx="55">
                  <c:v>55.8</c:v>
                </c:pt>
                <c:pt idx="56">
                  <c:v>56.8</c:v>
                </c:pt>
                <c:pt idx="57">
                  <c:v>57.833333333333336</c:v>
                </c:pt>
                <c:pt idx="58">
                  <c:v>58.833333333333336</c:v>
                </c:pt>
                <c:pt idx="59">
                  <c:v>59.866666666666667</c:v>
                </c:pt>
                <c:pt idx="60">
                  <c:v>60.9</c:v>
                </c:pt>
                <c:pt idx="61">
                  <c:v>61.833333333333336</c:v>
                </c:pt>
                <c:pt idx="62">
                  <c:v>62.866666666666667</c:v>
                </c:pt>
                <c:pt idx="63">
                  <c:v>63.866666666666667</c:v>
                </c:pt>
                <c:pt idx="64">
                  <c:v>64.900000000000006</c:v>
                </c:pt>
                <c:pt idx="65">
                  <c:v>65.900000000000006</c:v>
                </c:pt>
              </c:numCache>
            </c:numRef>
          </c:xVal>
          <c:yVal>
            <c:numRef>
              <c:f>'Well_A-5'!$C$2:$C$67</c:f>
              <c:numCache>
                <c:formatCode>0</c:formatCode>
                <c:ptCount val="66"/>
                <c:pt idx="0">
                  <c:v>592.9343448275863</c:v>
                </c:pt>
                <c:pt idx="1">
                  <c:v>977.87790322580645</c:v>
                </c:pt>
                <c:pt idx="2">
                  <c:v>974.21379999999999</c:v>
                </c:pt>
                <c:pt idx="3">
                  <c:v>899.5852258064516</c:v>
                </c:pt>
                <c:pt idx="4">
                  <c:v>849.55043333333333</c:v>
                </c:pt>
                <c:pt idx="5">
                  <c:v>611.5181878493031</c:v>
                </c:pt>
                <c:pt idx="6">
                  <c:v>510.71448387096774</c:v>
                </c:pt>
                <c:pt idx="7">
                  <c:v>327.06153333333333</c:v>
                </c:pt>
                <c:pt idx="8">
                  <c:v>293.21748387096773</c:v>
                </c:pt>
                <c:pt idx="9">
                  <c:v>240.76606666666666</c:v>
                </c:pt>
                <c:pt idx="10">
                  <c:v>205.15932258064518</c:v>
                </c:pt>
                <c:pt idx="11">
                  <c:v>209.63509677419356</c:v>
                </c:pt>
                <c:pt idx="12">
                  <c:v>189.87203571428572</c:v>
                </c:pt>
                <c:pt idx="13">
                  <c:v>54.309064516129027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B-4977-9941-A8F5591C7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636880"/>
        <c:axId val="931640240"/>
      </c:scatterChart>
      <c:valAx>
        <c:axId val="93163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40240"/>
        <c:crosses val="autoZero"/>
        <c:crossBetween val="midCat"/>
      </c:valAx>
      <c:valAx>
        <c:axId val="9316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3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</a:t>
            </a:r>
            <a:r>
              <a:rPr lang="en-IN" baseline="0"/>
              <a:t> 7 WOR' VS TIME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'Well_A-7'!$N$1:$N$69</c:f>
              <c:strCache>
                <c:ptCount val="69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62</c:v>
                </c:pt>
                <c:pt idx="4">
                  <c:v>91</c:v>
                </c:pt>
                <c:pt idx="5">
                  <c:v>122</c:v>
                </c:pt>
                <c:pt idx="6">
                  <c:v>152</c:v>
                </c:pt>
                <c:pt idx="7">
                  <c:v>183</c:v>
                </c:pt>
                <c:pt idx="8">
                  <c:v>213</c:v>
                </c:pt>
                <c:pt idx="9">
                  <c:v>244</c:v>
                </c:pt>
                <c:pt idx="10">
                  <c:v>275</c:v>
                </c:pt>
                <c:pt idx="11">
                  <c:v>305</c:v>
                </c:pt>
                <c:pt idx="12">
                  <c:v>336</c:v>
                </c:pt>
                <c:pt idx="13">
                  <c:v>366</c:v>
                </c:pt>
                <c:pt idx="14">
                  <c:v>397</c:v>
                </c:pt>
                <c:pt idx="15">
                  <c:v>428</c:v>
                </c:pt>
                <c:pt idx="16">
                  <c:v>456</c:v>
                </c:pt>
                <c:pt idx="17">
                  <c:v>487</c:v>
                </c:pt>
                <c:pt idx="18">
                  <c:v>517</c:v>
                </c:pt>
                <c:pt idx="19">
                  <c:v>548</c:v>
                </c:pt>
                <c:pt idx="20">
                  <c:v>578</c:v>
                </c:pt>
                <c:pt idx="21">
                  <c:v>609</c:v>
                </c:pt>
                <c:pt idx="22">
                  <c:v>640</c:v>
                </c:pt>
                <c:pt idx="23">
                  <c:v>670</c:v>
                </c:pt>
                <c:pt idx="24">
                  <c:v>701</c:v>
                </c:pt>
                <c:pt idx="25">
                  <c:v>731</c:v>
                </c:pt>
                <c:pt idx="26">
                  <c:v>762</c:v>
                </c:pt>
                <c:pt idx="27">
                  <c:v>793</c:v>
                </c:pt>
                <c:pt idx="28">
                  <c:v>821</c:v>
                </c:pt>
                <c:pt idx="29">
                  <c:v>852</c:v>
                </c:pt>
                <c:pt idx="30">
                  <c:v>882</c:v>
                </c:pt>
                <c:pt idx="31">
                  <c:v>913</c:v>
                </c:pt>
                <c:pt idx="32">
                  <c:v>943</c:v>
                </c:pt>
                <c:pt idx="33">
                  <c:v>974</c:v>
                </c:pt>
                <c:pt idx="34">
                  <c:v>1005</c:v>
                </c:pt>
                <c:pt idx="35">
                  <c:v>1035</c:v>
                </c:pt>
                <c:pt idx="36">
                  <c:v>1066</c:v>
                </c:pt>
                <c:pt idx="37">
                  <c:v>1096</c:v>
                </c:pt>
                <c:pt idx="38">
                  <c:v>1127</c:v>
                </c:pt>
                <c:pt idx="39">
                  <c:v>1158</c:v>
                </c:pt>
                <c:pt idx="40">
                  <c:v>1186</c:v>
                </c:pt>
                <c:pt idx="41">
                  <c:v>1217</c:v>
                </c:pt>
                <c:pt idx="42">
                  <c:v>1247</c:v>
                </c:pt>
                <c:pt idx="43">
                  <c:v>1278</c:v>
                </c:pt>
                <c:pt idx="44">
                  <c:v>1308</c:v>
                </c:pt>
                <c:pt idx="45">
                  <c:v>1339</c:v>
                </c:pt>
                <c:pt idx="46">
                  <c:v>1370</c:v>
                </c:pt>
                <c:pt idx="47">
                  <c:v>1400</c:v>
                </c:pt>
                <c:pt idx="48">
                  <c:v>1431</c:v>
                </c:pt>
                <c:pt idx="49">
                  <c:v>1461</c:v>
                </c:pt>
                <c:pt idx="50">
                  <c:v>1492</c:v>
                </c:pt>
                <c:pt idx="51">
                  <c:v>1523</c:v>
                </c:pt>
                <c:pt idx="52">
                  <c:v>1552</c:v>
                </c:pt>
                <c:pt idx="53">
                  <c:v>1583</c:v>
                </c:pt>
                <c:pt idx="54">
                  <c:v>1613</c:v>
                </c:pt>
                <c:pt idx="55">
                  <c:v>1644</c:v>
                </c:pt>
                <c:pt idx="56">
                  <c:v>1674</c:v>
                </c:pt>
                <c:pt idx="57">
                  <c:v>1705</c:v>
                </c:pt>
                <c:pt idx="58">
                  <c:v>1736</c:v>
                </c:pt>
                <c:pt idx="59">
                  <c:v>1766</c:v>
                </c:pt>
                <c:pt idx="60">
                  <c:v>1797</c:v>
                </c:pt>
                <c:pt idx="61">
                  <c:v>1827</c:v>
                </c:pt>
                <c:pt idx="62">
                  <c:v>1858</c:v>
                </c:pt>
                <c:pt idx="63">
                  <c:v>1889</c:v>
                </c:pt>
                <c:pt idx="64">
                  <c:v>1917</c:v>
                </c:pt>
                <c:pt idx="65">
                  <c:v>1948</c:v>
                </c:pt>
                <c:pt idx="66">
                  <c:v>1978</c:v>
                </c:pt>
                <c:pt idx="67">
                  <c:v>2009</c:v>
                </c:pt>
                <c:pt idx="68">
                  <c:v>2039</c:v>
                </c:pt>
              </c:strCache>
            </c:strRef>
          </c:xVal>
          <c:yVal>
            <c:numRef>
              <c:f>'Well_A-7'!$O$1:$O$69</c:f>
              <c:numCache>
                <c:formatCode>General</c:formatCode>
                <c:ptCount val="69"/>
                <c:pt idx="0">
                  <c:v>0</c:v>
                </c:pt>
                <c:pt idx="1">
                  <c:v>1.7699428489588154E-2</c:v>
                </c:pt>
                <c:pt idx="2">
                  <c:v>5.3269571788964656E-3</c:v>
                </c:pt>
                <c:pt idx="3">
                  <c:v>1.2039980063251628E-2</c:v>
                </c:pt>
                <c:pt idx="4">
                  <c:v>1.8209121118868146E-2</c:v>
                </c:pt>
                <c:pt idx="5">
                  <c:v>2.0091697566663399E-2</c:v>
                </c:pt>
                <c:pt idx="6">
                  <c:v>2.0246322997823613E-2</c:v>
                </c:pt>
                <c:pt idx="7">
                  <c:v>2.426981089985851E-2</c:v>
                </c:pt>
                <c:pt idx="8">
                  <c:v>2.2136866664839161E-2</c:v>
                </c:pt>
                <c:pt idx="9">
                  <c:v>2.5211947895282642E-2</c:v>
                </c:pt>
                <c:pt idx="10">
                  <c:v>2.8290634287758513E-2</c:v>
                </c:pt>
                <c:pt idx="11">
                  <c:v>3.6525981791487187E-2</c:v>
                </c:pt>
                <c:pt idx="12">
                  <c:v>4.0071784545251898E-2</c:v>
                </c:pt>
                <c:pt idx="13">
                  <c:v>3.6622750732759481E-2</c:v>
                </c:pt>
                <c:pt idx="14">
                  <c:v>2.4603158081049292E-2</c:v>
                </c:pt>
                <c:pt idx="15">
                  <c:v>1.7694941338418008E-2</c:v>
                </c:pt>
                <c:pt idx="16">
                  <c:v>4.8022575662541991E-2</c:v>
                </c:pt>
                <c:pt idx="17">
                  <c:v>7.7522123999804876E-2</c:v>
                </c:pt>
                <c:pt idx="18">
                  <c:v>5.0142533264232111E-2</c:v>
                </c:pt>
                <c:pt idx="19">
                  <c:v>0.10007905459332946</c:v>
                </c:pt>
                <c:pt idx="20">
                  <c:v>0.16448197677998286</c:v>
                </c:pt>
                <c:pt idx="21">
                  <c:v>0.13598410213006065</c:v>
                </c:pt>
                <c:pt idx="22">
                  <c:v>0.18009598585247036</c:v>
                </c:pt>
                <c:pt idx="23">
                  <c:v>0.46032888728559379</c:v>
                </c:pt>
                <c:pt idx="24">
                  <c:v>0.54618090656266893</c:v>
                </c:pt>
                <c:pt idx="25">
                  <c:v>0.56267241299065418</c:v>
                </c:pt>
                <c:pt idx="26">
                  <c:v>0.83734350059610363</c:v>
                </c:pt>
                <c:pt idx="27">
                  <c:v>0.83675680322438362</c:v>
                </c:pt>
                <c:pt idx="28">
                  <c:v>0.90782338610816515</c:v>
                </c:pt>
                <c:pt idx="29">
                  <c:v>0.74202178617578463</c:v>
                </c:pt>
                <c:pt idx="30">
                  <c:v>0.70556867372303311</c:v>
                </c:pt>
                <c:pt idx="31">
                  <c:v>0.74914003113246386</c:v>
                </c:pt>
                <c:pt idx="32">
                  <c:v>0.73137015574151332</c:v>
                </c:pt>
                <c:pt idx="33">
                  <c:v>0.85600333490307057</c:v>
                </c:pt>
                <c:pt idx="34">
                  <c:v>0.69154648353873305</c:v>
                </c:pt>
                <c:pt idx="35">
                  <c:v>0.61054577798321175</c:v>
                </c:pt>
                <c:pt idx="36">
                  <c:v>0.52427404528572319</c:v>
                </c:pt>
                <c:pt idx="37">
                  <c:v>0.71923526483724776</c:v>
                </c:pt>
                <c:pt idx="38">
                  <c:v>0.74614396076028255</c:v>
                </c:pt>
                <c:pt idx="39">
                  <c:v>0.86383694578143055</c:v>
                </c:pt>
                <c:pt idx="40">
                  <c:v>0.87326675058113867</c:v>
                </c:pt>
                <c:pt idx="41">
                  <c:v>0.64048867957630129</c:v>
                </c:pt>
                <c:pt idx="42">
                  <c:v>0.641595147483491</c:v>
                </c:pt>
                <c:pt idx="43">
                  <c:v>0.8715451884062444</c:v>
                </c:pt>
                <c:pt idx="44">
                  <c:v>0.66490889303944611</c:v>
                </c:pt>
                <c:pt idx="45">
                  <c:v>0.69713865440163247</c:v>
                </c:pt>
                <c:pt idx="46">
                  <c:v>0.73207525256082584</c:v>
                </c:pt>
                <c:pt idx="47">
                  <c:v>0.73796953890132266</c:v>
                </c:pt>
                <c:pt idx="48">
                  <c:v>0.78215097398780098</c:v>
                </c:pt>
                <c:pt idx="49">
                  <c:v>0.97974433791144144</c:v>
                </c:pt>
                <c:pt idx="50">
                  <c:v>1.0380681308336641</c:v>
                </c:pt>
                <c:pt idx="51">
                  <c:v>0.91462717668632787</c:v>
                </c:pt>
                <c:pt idx="52">
                  <c:v>0.97537538442118554</c:v>
                </c:pt>
                <c:pt idx="53">
                  <c:v>0.98252240399313706</c:v>
                </c:pt>
                <c:pt idx="54">
                  <c:v>0.84445552031985327</c:v>
                </c:pt>
                <c:pt idx="55">
                  <c:v>1.0475925272342235</c:v>
                </c:pt>
                <c:pt idx="56">
                  <c:v>1.0896197999642774</c:v>
                </c:pt>
                <c:pt idx="57">
                  <c:v>1.0155987164670042</c:v>
                </c:pt>
                <c:pt idx="58">
                  <c:v>0.99339901038694345</c:v>
                </c:pt>
                <c:pt idx="59">
                  <c:v>1.0300034246285035</c:v>
                </c:pt>
                <c:pt idx="60">
                  <c:v>1.0275757832405468</c:v>
                </c:pt>
                <c:pt idx="61">
                  <c:v>0.92372047927481082</c:v>
                </c:pt>
                <c:pt idx="62">
                  <c:v>0.93318430969299437</c:v>
                </c:pt>
                <c:pt idx="63">
                  <c:v>1.1135036486159828</c:v>
                </c:pt>
                <c:pt idx="64">
                  <c:v>1.4752419074221403</c:v>
                </c:pt>
                <c:pt idx="65">
                  <c:v>1.4696761546084374</c:v>
                </c:pt>
                <c:pt idx="66">
                  <c:v>1.4009288627650944</c:v>
                </c:pt>
                <c:pt idx="67">
                  <c:v>1.5154025246380687</c:v>
                </c:pt>
                <c:pt idx="68">
                  <c:v>1.5680455074548185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DF-4DEF-B3D3-CE79A7864742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'Well_A-7'!$N$1:$N$69</c:f>
              <c:strCache>
                <c:ptCount val="69"/>
                <c:pt idx="0">
                  <c:v>TIME</c:v>
                </c:pt>
                <c:pt idx="1">
                  <c:v>0</c:v>
                </c:pt>
                <c:pt idx="2">
                  <c:v>31</c:v>
                </c:pt>
                <c:pt idx="3">
                  <c:v>62</c:v>
                </c:pt>
                <c:pt idx="4">
                  <c:v>91</c:v>
                </c:pt>
                <c:pt idx="5">
                  <c:v>122</c:v>
                </c:pt>
                <c:pt idx="6">
                  <c:v>152</c:v>
                </c:pt>
                <c:pt idx="7">
                  <c:v>183</c:v>
                </c:pt>
                <c:pt idx="8">
                  <c:v>213</c:v>
                </c:pt>
                <c:pt idx="9">
                  <c:v>244</c:v>
                </c:pt>
                <c:pt idx="10">
                  <c:v>275</c:v>
                </c:pt>
                <c:pt idx="11">
                  <c:v>305</c:v>
                </c:pt>
                <c:pt idx="12">
                  <c:v>336</c:v>
                </c:pt>
                <c:pt idx="13">
                  <c:v>366</c:v>
                </c:pt>
                <c:pt idx="14">
                  <c:v>397</c:v>
                </c:pt>
                <c:pt idx="15">
                  <c:v>428</c:v>
                </c:pt>
                <c:pt idx="16">
                  <c:v>456</c:v>
                </c:pt>
                <c:pt idx="17">
                  <c:v>487</c:v>
                </c:pt>
                <c:pt idx="18">
                  <c:v>517</c:v>
                </c:pt>
                <c:pt idx="19">
                  <c:v>548</c:v>
                </c:pt>
                <c:pt idx="20">
                  <c:v>578</c:v>
                </c:pt>
                <c:pt idx="21">
                  <c:v>609</c:v>
                </c:pt>
                <c:pt idx="22">
                  <c:v>640</c:v>
                </c:pt>
                <c:pt idx="23">
                  <c:v>670</c:v>
                </c:pt>
                <c:pt idx="24">
                  <c:v>701</c:v>
                </c:pt>
                <c:pt idx="25">
                  <c:v>731</c:v>
                </c:pt>
                <c:pt idx="26">
                  <c:v>762</c:v>
                </c:pt>
                <c:pt idx="27">
                  <c:v>793</c:v>
                </c:pt>
                <c:pt idx="28">
                  <c:v>821</c:v>
                </c:pt>
                <c:pt idx="29">
                  <c:v>852</c:v>
                </c:pt>
                <c:pt idx="30">
                  <c:v>882</c:v>
                </c:pt>
                <c:pt idx="31">
                  <c:v>913</c:v>
                </c:pt>
                <c:pt idx="32">
                  <c:v>943</c:v>
                </c:pt>
                <c:pt idx="33">
                  <c:v>974</c:v>
                </c:pt>
                <c:pt idx="34">
                  <c:v>1005</c:v>
                </c:pt>
                <c:pt idx="35">
                  <c:v>1035</c:v>
                </c:pt>
                <c:pt idx="36">
                  <c:v>1066</c:v>
                </c:pt>
                <c:pt idx="37">
                  <c:v>1096</c:v>
                </c:pt>
                <c:pt idx="38">
                  <c:v>1127</c:v>
                </c:pt>
                <c:pt idx="39">
                  <c:v>1158</c:v>
                </c:pt>
                <c:pt idx="40">
                  <c:v>1186</c:v>
                </c:pt>
                <c:pt idx="41">
                  <c:v>1217</c:v>
                </c:pt>
                <c:pt idx="42">
                  <c:v>1247</c:v>
                </c:pt>
                <c:pt idx="43">
                  <c:v>1278</c:v>
                </c:pt>
                <c:pt idx="44">
                  <c:v>1308</c:v>
                </c:pt>
                <c:pt idx="45">
                  <c:v>1339</c:v>
                </c:pt>
                <c:pt idx="46">
                  <c:v>1370</c:v>
                </c:pt>
                <c:pt idx="47">
                  <c:v>1400</c:v>
                </c:pt>
                <c:pt idx="48">
                  <c:v>1431</c:v>
                </c:pt>
                <c:pt idx="49">
                  <c:v>1461</c:v>
                </c:pt>
                <c:pt idx="50">
                  <c:v>1492</c:v>
                </c:pt>
                <c:pt idx="51">
                  <c:v>1523</c:v>
                </c:pt>
                <c:pt idx="52">
                  <c:v>1552</c:v>
                </c:pt>
                <c:pt idx="53">
                  <c:v>1583</c:v>
                </c:pt>
                <c:pt idx="54">
                  <c:v>1613</c:v>
                </c:pt>
                <c:pt idx="55">
                  <c:v>1644</c:v>
                </c:pt>
                <c:pt idx="56">
                  <c:v>1674</c:v>
                </c:pt>
                <c:pt idx="57">
                  <c:v>1705</c:v>
                </c:pt>
                <c:pt idx="58">
                  <c:v>1736</c:v>
                </c:pt>
                <c:pt idx="59">
                  <c:v>1766</c:v>
                </c:pt>
                <c:pt idx="60">
                  <c:v>1797</c:v>
                </c:pt>
                <c:pt idx="61">
                  <c:v>1827</c:v>
                </c:pt>
                <c:pt idx="62">
                  <c:v>1858</c:v>
                </c:pt>
                <c:pt idx="63">
                  <c:v>1889</c:v>
                </c:pt>
                <c:pt idx="64">
                  <c:v>1917</c:v>
                </c:pt>
                <c:pt idx="65">
                  <c:v>1948</c:v>
                </c:pt>
                <c:pt idx="66">
                  <c:v>1978</c:v>
                </c:pt>
                <c:pt idx="67">
                  <c:v>2009</c:v>
                </c:pt>
                <c:pt idx="68">
                  <c:v>2039</c:v>
                </c:pt>
              </c:strCache>
            </c:strRef>
          </c:xVal>
          <c:yVal>
            <c:numRef>
              <c:f>'Well_A-7'!$R:$R</c:f>
              <c:numCache>
                <c:formatCode>General</c:formatCode>
                <c:ptCount val="1048576"/>
                <c:pt idx="0">
                  <c:v>0</c:v>
                </c:pt>
                <c:pt idx="1">
                  <c:v>-3.9911197776424805E-4</c:v>
                </c:pt>
                <c:pt idx="2">
                  <c:v>2.1654912530177944E-4</c:v>
                </c:pt>
                <c:pt idx="3">
                  <c:v>2.1272900191781095E-4</c:v>
                </c:pt>
                <c:pt idx="4">
                  <c:v>6.0728272509524276E-5</c:v>
                </c:pt>
                <c:pt idx="5">
                  <c:v>5.154181038673789E-6</c:v>
                </c:pt>
                <c:pt idx="6">
                  <c:v>1.2978993232370636E-4</c:v>
                </c:pt>
                <c:pt idx="7">
                  <c:v>-7.1098141167311635E-5</c:v>
                </c:pt>
                <c:pt idx="8">
                  <c:v>9.9196168723983248E-5</c:v>
                </c:pt>
                <c:pt idx="9">
                  <c:v>9.9312464273415218E-5</c:v>
                </c:pt>
                <c:pt idx="10">
                  <c:v>2.7451158345762245E-4</c:v>
                </c:pt>
                <c:pt idx="11">
                  <c:v>1.1438073399241004E-4</c:v>
                </c:pt>
                <c:pt idx="12">
                  <c:v>-1.1496779374974726E-4</c:v>
                </c:pt>
                <c:pt idx="13">
                  <c:v>-3.8772879521645768E-4</c:v>
                </c:pt>
                <c:pt idx="14">
                  <c:v>-2.2284570137520273E-4</c:v>
                </c:pt>
                <c:pt idx="15">
                  <c:v>1.0831297972901423E-3</c:v>
                </c:pt>
                <c:pt idx="16">
                  <c:v>9.5159833346009309E-4</c:v>
                </c:pt>
                <c:pt idx="17">
                  <c:v>-9.1265302451909219E-4</c:v>
                </c:pt>
                <c:pt idx="18">
                  <c:v>1.6108555267450755E-3</c:v>
                </c:pt>
                <c:pt idx="19">
                  <c:v>2.1467640728884468E-3</c:v>
                </c:pt>
                <c:pt idx="20">
                  <c:v>-9.1928627902974859E-4</c:v>
                </c:pt>
                <c:pt idx="21">
                  <c:v>1.4229639910454744E-3</c:v>
                </c:pt>
                <c:pt idx="22">
                  <c:v>9.3410967144374468E-3</c:v>
                </c:pt>
                <c:pt idx="23">
                  <c:v>2.7694199766798433E-3</c:v>
                </c:pt>
                <c:pt idx="24">
                  <c:v>5.4971688093284155E-4</c:v>
                </c:pt>
                <c:pt idx="25">
                  <c:v>8.8603576646919171E-3</c:v>
                </c:pt>
                <c:pt idx="26">
                  <c:v>-1.8925721668387517E-5</c:v>
                </c:pt>
                <c:pt idx="27">
                  <c:v>2.5380922458493405E-3</c:v>
                </c:pt>
                <c:pt idx="28">
                  <c:v>-5.3484387074961464E-3</c:v>
                </c:pt>
                <c:pt idx="29">
                  <c:v>-1.2151037484250504E-3</c:v>
                </c:pt>
                <c:pt idx="30">
                  <c:v>1.4055276583687336E-3</c:v>
                </c:pt>
                <c:pt idx="31">
                  <c:v>-5.9232917969835131E-4</c:v>
                </c:pt>
                <c:pt idx="32">
                  <c:v>4.0204251342437821E-3</c:v>
                </c:pt>
                <c:pt idx="33">
                  <c:v>-5.3050597214302428E-3</c:v>
                </c:pt>
                <c:pt idx="34">
                  <c:v>-2.7000235185173768E-3</c:v>
                </c:pt>
                <c:pt idx="35">
                  <c:v>-2.7829591192738245E-3</c:v>
                </c:pt>
                <c:pt idx="36">
                  <c:v>6.4987073183841526E-3</c:v>
                </c:pt>
                <c:pt idx="37">
                  <c:v>8.6802244913015481E-4</c:v>
                </c:pt>
                <c:pt idx="38">
                  <c:v>3.796547903908E-3</c:v>
                </c:pt>
                <c:pt idx="39">
                  <c:v>3.3677874284671853E-4</c:v>
                </c:pt>
                <c:pt idx="40">
                  <c:v>-7.508970032414109E-3</c:v>
                </c:pt>
                <c:pt idx="41">
                  <c:v>3.6882263572990402E-5</c:v>
                </c:pt>
                <c:pt idx="42">
                  <c:v>7.4177432555726898E-3</c:v>
                </c:pt>
                <c:pt idx="43">
                  <c:v>-6.8878765122266095E-3</c:v>
                </c:pt>
                <c:pt idx="44">
                  <c:v>1.0396697213608504E-3</c:v>
                </c:pt>
                <c:pt idx="45">
                  <c:v>1.1269870373933344E-3</c:v>
                </c:pt>
                <c:pt idx="46">
                  <c:v>1.9647621134989414E-4</c:v>
                </c:pt>
                <c:pt idx="47">
                  <c:v>1.4252075834347844E-3</c:v>
                </c:pt>
                <c:pt idx="48">
                  <c:v>6.5864454641213488E-3</c:v>
                </c:pt>
                <c:pt idx="49">
                  <c:v>1.8814126749104089E-3</c:v>
                </c:pt>
                <c:pt idx="50">
                  <c:v>-3.9819662628172983E-3</c:v>
                </c:pt>
                <c:pt idx="51">
                  <c:v>2.0947657839606093E-3</c:v>
                </c:pt>
                <c:pt idx="52">
                  <c:v>2.3054901845004897E-4</c:v>
                </c:pt>
                <c:pt idx="53">
                  <c:v>-4.6022294557761263E-3</c:v>
                </c:pt>
                <c:pt idx="54">
                  <c:v>6.5528066746571032E-3</c:v>
                </c:pt>
                <c:pt idx="55">
                  <c:v>1.4009090910017971E-3</c:v>
                </c:pt>
                <c:pt idx="56">
                  <c:v>-2.3877768870088131E-3</c:v>
                </c:pt>
                <c:pt idx="57">
                  <c:v>-7.1611955096970072E-4</c:v>
                </c:pt>
                <c:pt idx="58">
                  <c:v>1.2201471413853342E-3</c:v>
                </c:pt>
                <c:pt idx="59">
                  <c:v>-7.831101251473235E-5</c:v>
                </c:pt>
                <c:pt idx="60">
                  <c:v>-3.4618434655245317E-3</c:v>
                </c:pt>
                <c:pt idx="61">
                  <c:v>3.0528485219946937E-4</c:v>
                </c:pt>
                <c:pt idx="62">
                  <c:v>5.8167528684834983E-3</c:v>
                </c:pt>
                <c:pt idx="63">
                  <c:v>1.2919223528791339E-2</c:v>
                </c:pt>
                <c:pt idx="64">
                  <c:v>-1.795404133452572E-4</c:v>
                </c:pt>
                <c:pt idx="65">
                  <c:v>-2.2915763947780978E-3</c:v>
                </c:pt>
                <c:pt idx="66">
                  <c:v>3.6926987700959435E-3</c:v>
                </c:pt>
                <c:pt idx="67">
                  <c:v>1.7547660938916612E-3</c:v>
                </c:pt>
                <c:pt idx="68">
                  <c:v>7.6902673244473693E-4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DF-4DEF-B3D3-CE79A7864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295056"/>
        <c:axId val="316295536"/>
      </c:scatterChart>
      <c:valAx>
        <c:axId val="3162950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295536"/>
        <c:crosses val="autoZero"/>
        <c:crossBetween val="midCat"/>
      </c:valAx>
      <c:valAx>
        <c:axId val="3162955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295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Exponential</a:t>
            </a:r>
            <a:r>
              <a:rPr lang="en-IN" baseline="0"/>
              <a:t> Graph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07837589829708"/>
          <c:y val="8.7449058811272726E-2"/>
          <c:w val="0.7734712567231885"/>
          <c:h val="0.72661991773059864"/>
        </c:manualLayout>
      </c:layout>
      <c:scatterChart>
        <c:scatterStyle val="lineMarker"/>
        <c:varyColors val="0"/>
        <c:ser>
          <c:idx val="0"/>
          <c:order val="0"/>
          <c:tx>
            <c:v>production history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'Well_A-7'!$W$2:$W$69</c:f>
              <c:numCache>
                <c:formatCode>General</c:formatCode>
                <c:ptCount val="68"/>
                <c:pt idx="0">
                  <c:v>0</c:v>
                </c:pt>
                <c:pt idx="1">
                  <c:v>1.0333333333333334</c:v>
                </c:pt>
                <c:pt idx="2">
                  <c:v>2.0666666666666669</c:v>
                </c:pt>
                <c:pt idx="3">
                  <c:v>3.0333333333333332</c:v>
                </c:pt>
                <c:pt idx="4">
                  <c:v>4.0666666666666664</c:v>
                </c:pt>
                <c:pt idx="5">
                  <c:v>5.0666666666666664</c:v>
                </c:pt>
                <c:pt idx="6">
                  <c:v>6.1</c:v>
                </c:pt>
                <c:pt idx="7">
                  <c:v>7.1</c:v>
                </c:pt>
                <c:pt idx="8">
                  <c:v>8.1333333333333329</c:v>
                </c:pt>
                <c:pt idx="9">
                  <c:v>9.1666666666666661</c:v>
                </c:pt>
                <c:pt idx="10">
                  <c:v>10.166666666666666</c:v>
                </c:pt>
                <c:pt idx="11">
                  <c:v>11.2</c:v>
                </c:pt>
                <c:pt idx="12">
                  <c:v>12.2</c:v>
                </c:pt>
                <c:pt idx="13">
                  <c:v>13.233333333333333</c:v>
                </c:pt>
                <c:pt idx="14">
                  <c:v>14.266666666666667</c:v>
                </c:pt>
                <c:pt idx="15">
                  <c:v>15.2</c:v>
                </c:pt>
                <c:pt idx="16">
                  <c:v>16.233333333333334</c:v>
                </c:pt>
                <c:pt idx="17">
                  <c:v>17.233333333333334</c:v>
                </c:pt>
                <c:pt idx="18">
                  <c:v>18.266666666666666</c:v>
                </c:pt>
                <c:pt idx="19">
                  <c:v>19.266666666666666</c:v>
                </c:pt>
                <c:pt idx="20">
                  <c:v>20.3</c:v>
                </c:pt>
                <c:pt idx="21">
                  <c:v>21.333333333333332</c:v>
                </c:pt>
                <c:pt idx="22">
                  <c:v>22.333333333333332</c:v>
                </c:pt>
                <c:pt idx="23">
                  <c:v>23.366666666666667</c:v>
                </c:pt>
                <c:pt idx="24">
                  <c:v>24.366666666666667</c:v>
                </c:pt>
                <c:pt idx="25">
                  <c:v>25.4</c:v>
                </c:pt>
                <c:pt idx="26">
                  <c:v>26.433333333333334</c:v>
                </c:pt>
                <c:pt idx="27">
                  <c:v>27.366666666666667</c:v>
                </c:pt>
                <c:pt idx="28">
                  <c:v>28.4</c:v>
                </c:pt>
                <c:pt idx="29">
                  <c:v>29.4</c:v>
                </c:pt>
                <c:pt idx="30">
                  <c:v>30.433333333333334</c:v>
                </c:pt>
                <c:pt idx="31">
                  <c:v>31.433333333333334</c:v>
                </c:pt>
                <c:pt idx="32">
                  <c:v>32.466666666666669</c:v>
                </c:pt>
                <c:pt idx="33">
                  <c:v>33.5</c:v>
                </c:pt>
                <c:pt idx="34">
                  <c:v>34.5</c:v>
                </c:pt>
                <c:pt idx="35">
                  <c:v>35.533333333333331</c:v>
                </c:pt>
                <c:pt idx="36">
                  <c:v>36.533333333333331</c:v>
                </c:pt>
                <c:pt idx="37">
                  <c:v>37.56666666666667</c:v>
                </c:pt>
                <c:pt idx="38">
                  <c:v>38.6</c:v>
                </c:pt>
                <c:pt idx="39">
                  <c:v>39.533333333333331</c:v>
                </c:pt>
                <c:pt idx="40">
                  <c:v>40.56666666666667</c:v>
                </c:pt>
                <c:pt idx="41">
                  <c:v>41.56666666666667</c:v>
                </c:pt>
                <c:pt idx="42">
                  <c:v>42.6</c:v>
                </c:pt>
                <c:pt idx="43">
                  <c:v>43.6</c:v>
                </c:pt>
                <c:pt idx="44">
                  <c:v>44.633333333333333</c:v>
                </c:pt>
                <c:pt idx="45">
                  <c:v>45.666666666666664</c:v>
                </c:pt>
                <c:pt idx="46">
                  <c:v>46.666666666666664</c:v>
                </c:pt>
                <c:pt idx="47">
                  <c:v>47.7</c:v>
                </c:pt>
                <c:pt idx="48">
                  <c:v>48.7</c:v>
                </c:pt>
                <c:pt idx="49">
                  <c:v>49.733333333333334</c:v>
                </c:pt>
                <c:pt idx="50">
                  <c:v>50.766666666666666</c:v>
                </c:pt>
                <c:pt idx="51">
                  <c:v>51.733333333333334</c:v>
                </c:pt>
                <c:pt idx="52">
                  <c:v>52.766666666666666</c:v>
                </c:pt>
                <c:pt idx="53">
                  <c:v>53.766666666666666</c:v>
                </c:pt>
                <c:pt idx="54">
                  <c:v>54.8</c:v>
                </c:pt>
                <c:pt idx="55">
                  <c:v>55.8</c:v>
                </c:pt>
                <c:pt idx="56">
                  <c:v>56.833333333333336</c:v>
                </c:pt>
                <c:pt idx="57">
                  <c:v>57.866666666666667</c:v>
                </c:pt>
                <c:pt idx="58">
                  <c:v>58.866666666666667</c:v>
                </c:pt>
                <c:pt idx="59">
                  <c:v>59.9</c:v>
                </c:pt>
                <c:pt idx="60">
                  <c:v>60.9</c:v>
                </c:pt>
                <c:pt idx="61">
                  <c:v>61.93333333333333</c:v>
                </c:pt>
                <c:pt idx="62">
                  <c:v>62.966666666666669</c:v>
                </c:pt>
                <c:pt idx="63">
                  <c:v>63.9</c:v>
                </c:pt>
                <c:pt idx="64">
                  <c:v>64.933333333333337</c:v>
                </c:pt>
                <c:pt idx="65">
                  <c:v>65.933333333333337</c:v>
                </c:pt>
                <c:pt idx="66">
                  <c:v>66.966666666666669</c:v>
                </c:pt>
                <c:pt idx="67">
                  <c:v>67.966666666666669</c:v>
                </c:pt>
              </c:numCache>
            </c:numRef>
          </c:xVal>
          <c:yVal>
            <c:numRef>
              <c:f>'Well_A-7'!$G$2:$G$69</c:f>
              <c:numCache>
                <c:formatCode>0</c:formatCode>
                <c:ptCount val="68"/>
                <c:pt idx="0">
                  <c:v>16757.349999999999</c:v>
                </c:pt>
                <c:pt idx="1">
                  <c:v>34708.120000000003</c:v>
                </c:pt>
                <c:pt idx="2">
                  <c:v>30075.115000000002</c:v>
                </c:pt>
                <c:pt idx="3">
                  <c:v>34843.927000000003</c:v>
                </c:pt>
                <c:pt idx="4">
                  <c:v>33593.584999999999</c:v>
                </c:pt>
                <c:pt idx="5">
                  <c:v>35444.567000000003</c:v>
                </c:pt>
                <c:pt idx="6">
                  <c:v>35553.067000000003</c:v>
                </c:pt>
                <c:pt idx="7">
                  <c:v>35132.965327712998</c:v>
                </c:pt>
                <c:pt idx="8">
                  <c:v>36477.771999999997</c:v>
                </c:pt>
                <c:pt idx="9">
                  <c:v>32314.04</c:v>
                </c:pt>
                <c:pt idx="10">
                  <c:v>29935.887999999999</c:v>
                </c:pt>
                <c:pt idx="11">
                  <c:v>31034.786</c:v>
                </c:pt>
                <c:pt idx="12">
                  <c:v>30925.904999999999</c:v>
                </c:pt>
                <c:pt idx="13">
                  <c:v>35661.656000000003</c:v>
                </c:pt>
                <c:pt idx="14">
                  <c:v>29400.246999999999</c:v>
                </c:pt>
                <c:pt idx="15">
                  <c:v>29579.597000000002</c:v>
                </c:pt>
                <c:pt idx="16">
                  <c:v>31057.064999999999</c:v>
                </c:pt>
                <c:pt idx="17">
                  <c:v>26247.487000000001</c:v>
                </c:pt>
                <c:pt idx="18">
                  <c:v>26099.837</c:v>
                </c:pt>
                <c:pt idx="19">
                  <c:v>25872.762999999999</c:v>
                </c:pt>
                <c:pt idx="20">
                  <c:v>26938.2</c:v>
                </c:pt>
                <c:pt idx="21">
                  <c:v>25653.666000000001</c:v>
                </c:pt>
                <c:pt idx="22">
                  <c:v>25514.120999999999</c:v>
                </c:pt>
                <c:pt idx="23">
                  <c:v>25307.219000000001</c:v>
                </c:pt>
                <c:pt idx="24">
                  <c:v>25417.873</c:v>
                </c:pt>
                <c:pt idx="25">
                  <c:v>22681.456999999999</c:v>
                </c:pt>
                <c:pt idx="26">
                  <c:v>16689.329000000002</c:v>
                </c:pt>
                <c:pt idx="27">
                  <c:v>16357.291999999999</c:v>
                </c:pt>
                <c:pt idx="28">
                  <c:v>15924.043</c:v>
                </c:pt>
                <c:pt idx="29">
                  <c:v>17814.929</c:v>
                </c:pt>
                <c:pt idx="30">
                  <c:v>12254.732</c:v>
                </c:pt>
                <c:pt idx="31">
                  <c:v>6039.366</c:v>
                </c:pt>
                <c:pt idx="32">
                  <c:v>6527.6260000000002</c:v>
                </c:pt>
                <c:pt idx="33">
                  <c:v>7117.2830000000004</c:v>
                </c:pt>
                <c:pt idx="34">
                  <c:v>10665.815000000001</c:v>
                </c:pt>
                <c:pt idx="35">
                  <c:v>9452.3829999999998</c:v>
                </c:pt>
                <c:pt idx="36">
                  <c:v>9795.7520000000004</c:v>
                </c:pt>
                <c:pt idx="37">
                  <c:v>10485.906000000001</c:v>
                </c:pt>
                <c:pt idx="38">
                  <c:v>8933.2309999999998</c:v>
                </c:pt>
                <c:pt idx="39">
                  <c:v>10519.441000000001</c:v>
                </c:pt>
                <c:pt idx="40">
                  <c:v>10938.239</c:v>
                </c:pt>
                <c:pt idx="41">
                  <c:v>13497.409</c:v>
                </c:pt>
                <c:pt idx="42">
                  <c:v>15034.852000000001</c:v>
                </c:pt>
                <c:pt idx="43">
                  <c:v>17094.358</c:v>
                </c:pt>
                <c:pt idx="44">
                  <c:v>20185.294999999998</c:v>
                </c:pt>
                <c:pt idx="45">
                  <c:v>19322.771000000001</c:v>
                </c:pt>
                <c:pt idx="46">
                  <c:v>19451.498</c:v>
                </c:pt>
                <c:pt idx="47">
                  <c:v>18158.902999999998</c:v>
                </c:pt>
                <c:pt idx="48">
                  <c:v>18187.061000000002</c:v>
                </c:pt>
                <c:pt idx="49">
                  <c:v>17820.918000000001</c:v>
                </c:pt>
                <c:pt idx="50">
                  <c:v>17730.506000000001</c:v>
                </c:pt>
                <c:pt idx="51">
                  <c:v>18664.423999999999</c:v>
                </c:pt>
                <c:pt idx="52">
                  <c:v>18222.264999999999</c:v>
                </c:pt>
                <c:pt idx="53">
                  <c:v>18410.935000000001</c:v>
                </c:pt>
                <c:pt idx="54">
                  <c:v>17403.195</c:v>
                </c:pt>
                <c:pt idx="55">
                  <c:v>18083.77</c:v>
                </c:pt>
                <c:pt idx="56">
                  <c:v>18236.850999999999</c:v>
                </c:pt>
                <c:pt idx="57">
                  <c:v>17177.623</c:v>
                </c:pt>
                <c:pt idx="58">
                  <c:v>17105.213</c:v>
                </c:pt>
                <c:pt idx="59">
                  <c:v>16512.423999999999</c:v>
                </c:pt>
                <c:pt idx="60">
                  <c:v>16622.864000000001</c:v>
                </c:pt>
                <c:pt idx="61">
                  <c:v>17075.982</c:v>
                </c:pt>
                <c:pt idx="62">
                  <c:v>14669.397999999999</c:v>
                </c:pt>
                <c:pt idx="63">
                  <c:v>15203.808000000001</c:v>
                </c:pt>
                <c:pt idx="64">
                  <c:v>13334.433999999999</c:v>
                </c:pt>
                <c:pt idx="65">
                  <c:v>14653.647999999999</c:v>
                </c:pt>
                <c:pt idx="66">
                  <c:v>14250.914000000001</c:v>
                </c:pt>
                <c:pt idx="67">
                  <c:v>14709.546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85E-4099-8330-2B1D11E08E55}"/>
            </c:ext>
          </c:extLst>
        </c:ser>
        <c:ser>
          <c:idx val="1"/>
          <c:order val="1"/>
          <c:tx>
            <c:v>new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8885969769122597E-3"/>
                  <c:y val="-0.1614068710368216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chemeClr val="accent2"/>
                        </a:solidFill>
                      </a:rPr>
                      <a:t>y = 36934e</a:t>
                    </a:r>
                    <a:r>
                      <a:rPr lang="en-US" sz="1000" baseline="30000">
                        <a:solidFill>
                          <a:schemeClr val="accent2"/>
                        </a:solidFill>
                      </a:rPr>
                      <a:t>-0.014x</a:t>
                    </a:r>
                    <a:br>
                      <a:rPr lang="en-US" sz="1000" baseline="0">
                        <a:solidFill>
                          <a:schemeClr val="accent2"/>
                        </a:solidFill>
                      </a:rPr>
                    </a:br>
                    <a:r>
                      <a:rPr lang="en-US" sz="1000" baseline="0">
                        <a:solidFill>
                          <a:schemeClr val="accent2"/>
                        </a:solidFill>
                      </a:rPr>
                      <a:t>R² = 0.8187</a:t>
                    </a:r>
                    <a:endParaRPr lang="en-US" sz="1000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'Well_A-7'!$W$46:$W$69</c:f>
              <c:numCache>
                <c:formatCode>General</c:formatCode>
                <c:ptCount val="24"/>
                <c:pt idx="0">
                  <c:v>44.633333333333333</c:v>
                </c:pt>
                <c:pt idx="1">
                  <c:v>45.666666666666664</c:v>
                </c:pt>
                <c:pt idx="2">
                  <c:v>46.666666666666664</c:v>
                </c:pt>
                <c:pt idx="3">
                  <c:v>47.7</c:v>
                </c:pt>
                <c:pt idx="4">
                  <c:v>48.7</c:v>
                </c:pt>
                <c:pt idx="5">
                  <c:v>49.733333333333334</c:v>
                </c:pt>
                <c:pt idx="6">
                  <c:v>50.766666666666666</c:v>
                </c:pt>
                <c:pt idx="7">
                  <c:v>51.733333333333334</c:v>
                </c:pt>
                <c:pt idx="8">
                  <c:v>52.766666666666666</c:v>
                </c:pt>
                <c:pt idx="9">
                  <c:v>53.766666666666666</c:v>
                </c:pt>
                <c:pt idx="10">
                  <c:v>54.8</c:v>
                </c:pt>
                <c:pt idx="11">
                  <c:v>55.8</c:v>
                </c:pt>
                <c:pt idx="12">
                  <c:v>56.833333333333336</c:v>
                </c:pt>
                <c:pt idx="13">
                  <c:v>57.866666666666667</c:v>
                </c:pt>
                <c:pt idx="14">
                  <c:v>58.866666666666667</c:v>
                </c:pt>
                <c:pt idx="15">
                  <c:v>59.9</c:v>
                </c:pt>
                <c:pt idx="16">
                  <c:v>60.9</c:v>
                </c:pt>
                <c:pt idx="17">
                  <c:v>61.93333333333333</c:v>
                </c:pt>
                <c:pt idx="18">
                  <c:v>62.966666666666669</c:v>
                </c:pt>
                <c:pt idx="19">
                  <c:v>63.9</c:v>
                </c:pt>
                <c:pt idx="20">
                  <c:v>64.933333333333337</c:v>
                </c:pt>
                <c:pt idx="21">
                  <c:v>65.933333333333337</c:v>
                </c:pt>
                <c:pt idx="22">
                  <c:v>66.966666666666669</c:v>
                </c:pt>
                <c:pt idx="23">
                  <c:v>67.966666666666669</c:v>
                </c:pt>
              </c:numCache>
            </c:numRef>
          </c:xVal>
          <c:yVal>
            <c:numRef>
              <c:f>'Well_A-7'!$G$46:$G$69</c:f>
              <c:numCache>
                <c:formatCode>0</c:formatCode>
                <c:ptCount val="24"/>
                <c:pt idx="0">
                  <c:v>20185.294999999998</c:v>
                </c:pt>
                <c:pt idx="1">
                  <c:v>19322.771000000001</c:v>
                </c:pt>
                <c:pt idx="2">
                  <c:v>19451.498</c:v>
                </c:pt>
                <c:pt idx="3">
                  <c:v>18158.902999999998</c:v>
                </c:pt>
                <c:pt idx="4">
                  <c:v>18187.061000000002</c:v>
                </c:pt>
                <c:pt idx="5">
                  <c:v>17820.918000000001</c:v>
                </c:pt>
                <c:pt idx="6">
                  <c:v>17730.506000000001</c:v>
                </c:pt>
                <c:pt idx="7">
                  <c:v>18664.423999999999</c:v>
                </c:pt>
                <c:pt idx="8">
                  <c:v>18222.264999999999</c:v>
                </c:pt>
                <c:pt idx="9">
                  <c:v>18410.935000000001</c:v>
                </c:pt>
                <c:pt idx="10">
                  <c:v>17403.195</c:v>
                </c:pt>
                <c:pt idx="11">
                  <c:v>18083.77</c:v>
                </c:pt>
                <c:pt idx="12">
                  <c:v>18236.850999999999</c:v>
                </c:pt>
                <c:pt idx="13">
                  <c:v>17177.623</c:v>
                </c:pt>
                <c:pt idx="14">
                  <c:v>17105.213</c:v>
                </c:pt>
                <c:pt idx="15">
                  <c:v>16512.423999999999</c:v>
                </c:pt>
                <c:pt idx="16">
                  <c:v>16622.864000000001</c:v>
                </c:pt>
                <c:pt idx="17">
                  <c:v>17075.982</c:v>
                </c:pt>
                <c:pt idx="18">
                  <c:v>14669.397999999999</c:v>
                </c:pt>
                <c:pt idx="19">
                  <c:v>15203.808000000001</c:v>
                </c:pt>
                <c:pt idx="20">
                  <c:v>13334.433999999999</c:v>
                </c:pt>
                <c:pt idx="21">
                  <c:v>14653.647999999999</c:v>
                </c:pt>
                <c:pt idx="22">
                  <c:v>14250.914000000001</c:v>
                </c:pt>
                <c:pt idx="23">
                  <c:v>14709.546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85E-4099-8330-2B1D11E08E55}"/>
            </c:ext>
          </c:extLst>
        </c:ser>
        <c:ser>
          <c:idx val="2"/>
          <c:order val="2"/>
          <c:tx>
            <c:v>exponential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'Well_A-7'!$W$69:$W$360</c:f>
              <c:numCache>
                <c:formatCode>General</c:formatCode>
                <c:ptCount val="292"/>
                <c:pt idx="0">
                  <c:v>67.966666666666669</c:v>
                </c:pt>
                <c:pt idx="1">
                  <c:v>69</c:v>
                </c:pt>
                <c:pt idx="2">
                  <c:v>70</c:v>
                </c:pt>
                <c:pt idx="3">
                  <c:v>71</c:v>
                </c:pt>
                <c:pt idx="4">
                  <c:v>72</c:v>
                </c:pt>
                <c:pt idx="5">
                  <c:v>73</c:v>
                </c:pt>
                <c:pt idx="6">
                  <c:v>74</c:v>
                </c:pt>
                <c:pt idx="7">
                  <c:v>75</c:v>
                </c:pt>
                <c:pt idx="8">
                  <c:v>76</c:v>
                </c:pt>
                <c:pt idx="9">
                  <c:v>77</c:v>
                </c:pt>
                <c:pt idx="10">
                  <c:v>78</c:v>
                </c:pt>
                <c:pt idx="11">
                  <c:v>79</c:v>
                </c:pt>
                <c:pt idx="12">
                  <c:v>80</c:v>
                </c:pt>
                <c:pt idx="13">
                  <c:v>81</c:v>
                </c:pt>
                <c:pt idx="14">
                  <c:v>82</c:v>
                </c:pt>
                <c:pt idx="15">
                  <c:v>83</c:v>
                </c:pt>
                <c:pt idx="16">
                  <c:v>84</c:v>
                </c:pt>
                <c:pt idx="17">
                  <c:v>85</c:v>
                </c:pt>
                <c:pt idx="18">
                  <c:v>86</c:v>
                </c:pt>
                <c:pt idx="19">
                  <c:v>87</c:v>
                </c:pt>
                <c:pt idx="20">
                  <c:v>88</c:v>
                </c:pt>
                <c:pt idx="21">
                  <c:v>89</c:v>
                </c:pt>
                <c:pt idx="22">
                  <c:v>90</c:v>
                </c:pt>
                <c:pt idx="23">
                  <c:v>91</c:v>
                </c:pt>
                <c:pt idx="24">
                  <c:v>92</c:v>
                </c:pt>
                <c:pt idx="25">
                  <c:v>93</c:v>
                </c:pt>
                <c:pt idx="26">
                  <c:v>94</c:v>
                </c:pt>
                <c:pt idx="27">
                  <c:v>95</c:v>
                </c:pt>
                <c:pt idx="28">
                  <c:v>96</c:v>
                </c:pt>
                <c:pt idx="29">
                  <c:v>97</c:v>
                </c:pt>
                <c:pt idx="30">
                  <c:v>98</c:v>
                </c:pt>
                <c:pt idx="31">
                  <c:v>99</c:v>
                </c:pt>
                <c:pt idx="32">
                  <c:v>100</c:v>
                </c:pt>
                <c:pt idx="33">
                  <c:v>101</c:v>
                </c:pt>
                <c:pt idx="34">
                  <c:v>102</c:v>
                </c:pt>
                <c:pt idx="35">
                  <c:v>103</c:v>
                </c:pt>
                <c:pt idx="36">
                  <c:v>104</c:v>
                </c:pt>
                <c:pt idx="37">
                  <c:v>105</c:v>
                </c:pt>
                <c:pt idx="38">
                  <c:v>106</c:v>
                </c:pt>
                <c:pt idx="39">
                  <c:v>107</c:v>
                </c:pt>
                <c:pt idx="40">
                  <c:v>108</c:v>
                </c:pt>
                <c:pt idx="41">
                  <c:v>109</c:v>
                </c:pt>
                <c:pt idx="42">
                  <c:v>110</c:v>
                </c:pt>
                <c:pt idx="43">
                  <c:v>111</c:v>
                </c:pt>
                <c:pt idx="44">
                  <c:v>112</c:v>
                </c:pt>
                <c:pt idx="45">
                  <c:v>113</c:v>
                </c:pt>
                <c:pt idx="46">
                  <c:v>114</c:v>
                </c:pt>
                <c:pt idx="47">
                  <c:v>115</c:v>
                </c:pt>
                <c:pt idx="48">
                  <c:v>116</c:v>
                </c:pt>
                <c:pt idx="49">
                  <c:v>117</c:v>
                </c:pt>
                <c:pt idx="50">
                  <c:v>118</c:v>
                </c:pt>
                <c:pt idx="51">
                  <c:v>119</c:v>
                </c:pt>
                <c:pt idx="52">
                  <c:v>120</c:v>
                </c:pt>
                <c:pt idx="53">
                  <c:v>121</c:v>
                </c:pt>
                <c:pt idx="54">
                  <c:v>122</c:v>
                </c:pt>
                <c:pt idx="55">
                  <c:v>123</c:v>
                </c:pt>
                <c:pt idx="56">
                  <c:v>124</c:v>
                </c:pt>
                <c:pt idx="57">
                  <c:v>125</c:v>
                </c:pt>
                <c:pt idx="58">
                  <c:v>126</c:v>
                </c:pt>
                <c:pt idx="59">
                  <c:v>127</c:v>
                </c:pt>
                <c:pt idx="60">
                  <c:v>128</c:v>
                </c:pt>
                <c:pt idx="61">
                  <c:v>129</c:v>
                </c:pt>
                <c:pt idx="62">
                  <c:v>130</c:v>
                </c:pt>
                <c:pt idx="63">
                  <c:v>131</c:v>
                </c:pt>
                <c:pt idx="64">
                  <c:v>132</c:v>
                </c:pt>
                <c:pt idx="65">
                  <c:v>133</c:v>
                </c:pt>
                <c:pt idx="66">
                  <c:v>134</c:v>
                </c:pt>
                <c:pt idx="67">
                  <c:v>135</c:v>
                </c:pt>
                <c:pt idx="68">
                  <c:v>136</c:v>
                </c:pt>
                <c:pt idx="69">
                  <c:v>137</c:v>
                </c:pt>
                <c:pt idx="70">
                  <c:v>138</c:v>
                </c:pt>
                <c:pt idx="71">
                  <c:v>139</c:v>
                </c:pt>
                <c:pt idx="72">
                  <c:v>140</c:v>
                </c:pt>
                <c:pt idx="73">
                  <c:v>141</c:v>
                </c:pt>
                <c:pt idx="74">
                  <c:v>142</c:v>
                </c:pt>
                <c:pt idx="75">
                  <c:v>143</c:v>
                </c:pt>
                <c:pt idx="76">
                  <c:v>144</c:v>
                </c:pt>
                <c:pt idx="77">
                  <c:v>145</c:v>
                </c:pt>
                <c:pt idx="78">
                  <c:v>146</c:v>
                </c:pt>
                <c:pt idx="79">
                  <c:v>147</c:v>
                </c:pt>
                <c:pt idx="80">
                  <c:v>148</c:v>
                </c:pt>
                <c:pt idx="81">
                  <c:v>149</c:v>
                </c:pt>
                <c:pt idx="82">
                  <c:v>150</c:v>
                </c:pt>
                <c:pt idx="83">
                  <c:v>151</c:v>
                </c:pt>
                <c:pt idx="84">
                  <c:v>152</c:v>
                </c:pt>
                <c:pt idx="85">
                  <c:v>153</c:v>
                </c:pt>
                <c:pt idx="86">
                  <c:v>154</c:v>
                </c:pt>
                <c:pt idx="87">
                  <c:v>155</c:v>
                </c:pt>
                <c:pt idx="88">
                  <c:v>156</c:v>
                </c:pt>
                <c:pt idx="89">
                  <c:v>157</c:v>
                </c:pt>
                <c:pt idx="90">
                  <c:v>158</c:v>
                </c:pt>
                <c:pt idx="91">
                  <c:v>159</c:v>
                </c:pt>
                <c:pt idx="92">
                  <c:v>160</c:v>
                </c:pt>
                <c:pt idx="93">
                  <c:v>161</c:v>
                </c:pt>
                <c:pt idx="94">
                  <c:v>162</c:v>
                </c:pt>
                <c:pt idx="95">
                  <c:v>163</c:v>
                </c:pt>
                <c:pt idx="96">
                  <c:v>164</c:v>
                </c:pt>
                <c:pt idx="97">
                  <c:v>165</c:v>
                </c:pt>
                <c:pt idx="98">
                  <c:v>166</c:v>
                </c:pt>
                <c:pt idx="99">
                  <c:v>167</c:v>
                </c:pt>
                <c:pt idx="100">
                  <c:v>168</c:v>
                </c:pt>
                <c:pt idx="101">
                  <c:v>169</c:v>
                </c:pt>
                <c:pt idx="102">
                  <c:v>170</c:v>
                </c:pt>
                <c:pt idx="103">
                  <c:v>171</c:v>
                </c:pt>
                <c:pt idx="104">
                  <c:v>172</c:v>
                </c:pt>
                <c:pt idx="105">
                  <c:v>173</c:v>
                </c:pt>
                <c:pt idx="106">
                  <c:v>174</c:v>
                </c:pt>
                <c:pt idx="107">
                  <c:v>175</c:v>
                </c:pt>
                <c:pt idx="108">
                  <c:v>176</c:v>
                </c:pt>
                <c:pt idx="109">
                  <c:v>177</c:v>
                </c:pt>
                <c:pt idx="110">
                  <c:v>178</c:v>
                </c:pt>
                <c:pt idx="111">
                  <c:v>179</c:v>
                </c:pt>
                <c:pt idx="112">
                  <c:v>180</c:v>
                </c:pt>
                <c:pt idx="113">
                  <c:v>181</c:v>
                </c:pt>
                <c:pt idx="114">
                  <c:v>182</c:v>
                </c:pt>
                <c:pt idx="115">
                  <c:v>183</c:v>
                </c:pt>
                <c:pt idx="116">
                  <c:v>184</c:v>
                </c:pt>
                <c:pt idx="117">
                  <c:v>185</c:v>
                </c:pt>
                <c:pt idx="118">
                  <c:v>186</c:v>
                </c:pt>
                <c:pt idx="119">
                  <c:v>187</c:v>
                </c:pt>
                <c:pt idx="120">
                  <c:v>188</c:v>
                </c:pt>
                <c:pt idx="121">
                  <c:v>189</c:v>
                </c:pt>
                <c:pt idx="122">
                  <c:v>190</c:v>
                </c:pt>
                <c:pt idx="123">
                  <c:v>191</c:v>
                </c:pt>
                <c:pt idx="124">
                  <c:v>192</c:v>
                </c:pt>
                <c:pt idx="125">
                  <c:v>193</c:v>
                </c:pt>
                <c:pt idx="126">
                  <c:v>194</c:v>
                </c:pt>
                <c:pt idx="127">
                  <c:v>195</c:v>
                </c:pt>
                <c:pt idx="128">
                  <c:v>196</c:v>
                </c:pt>
                <c:pt idx="129">
                  <c:v>197</c:v>
                </c:pt>
                <c:pt idx="130">
                  <c:v>198</c:v>
                </c:pt>
                <c:pt idx="131">
                  <c:v>199</c:v>
                </c:pt>
                <c:pt idx="132">
                  <c:v>200</c:v>
                </c:pt>
                <c:pt idx="133">
                  <c:v>201</c:v>
                </c:pt>
                <c:pt idx="134">
                  <c:v>202</c:v>
                </c:pt>
                <c:pt idx="135">
                  <c:v>203</c:v>
                </c:pt>
                <c:pt idx="136">
                  <c:v>204</c:v>
                </c:pt>
                <c:pt idx="137">
                  <c:v>205</c:v>
                </c:pt>
                <c:pt idx="138">
                  <c:v>206</c:v>
                </c:pt>
                <c:pt idx="139">
                  <c:v>207</c:v>
                </c:pt>
                <c:pt idx="140">
                  <c:v>208</c:v>
                </c:pt>
                <c:pt idx="141">
                  <c:v>209</c:v>
                </c:pt>
                <c:pt idx="142">
                  <c:v>210</c:v>
                </c:pt>
                <c:pt idx="143">
                  <c:v>211</c:v>
                </c:pt>
                <c:pt idx="144">
                  <c:v>212</c:v>
                </c:pt>
                <c:pt idx="145">
                  <c:v>213</c:v>
                </c:pt>
                <c:pt idx="146">
                  <c:v>214</c:v>
                </c:pt>
                <c:pt idx="147">
                  <c:v>215</c:v>
                </c:pt>
                <c:pt idx="148">
                  <c:v>216</c:v>
                </c:pt>
                <c:pt idx="149">
                  <c:v>217</c:v>
                </c:pt>
                <c:pt idx="150">
                  <c:v>218</c:v>
                </c:pt>
                <c:pt idx="151">
                  <c:v>219</c:v>
                </c:pt>
                <c:pt idx="152">
                  <c:v>220</c:v>
                </c:pt>
                <c:pt idx="153">
                  <c:v>221</c:v>
                </c:pt>
                <c:pt idx="154">
                  <c:v>222</c:v>
                </c:pt>
                <c:pt idx="155">
                  <c:v>223</c:v>
                </c:pt>
                <c:pt idx="156">
                  <c:v>224</c:v>
                </c:pt>
                <c:pt idx="157">
                  <c:v>225</c:v>
                </c:pt>
                <c:pt idx="158">
                  <c:v>226</c:v>
                </c:pt>
                <c:pt idx="159">
                  <c:v>227</c:v>
                </c:pt>
                <c:pt idx="160">
                  <c:v>228</c:v>
                </c:pt>
                <c:pt idx="161">
                  <c:v>229</c:v>
                </c:pt>
                <c:pt idx="162">
                  <c:v>230</c:v>
                </c:pt>
                <c:pt idx="163">
                  <c:v>231</c:v>
                </c:pt>
                <c:pt idx="164">
                  <c:v>232</c:v>
                </c:pt>
                <c:pt idx="165">
                  <c:v>233</c:v>
                </c:pt>
                <c:pt idx="166">
                  <c:v>234</c:v>
                </c:pt>
                <c:pt idx="167">
                  <c:v>235</c:v>
                </c:pt>
                <c:pt idx="168">
                  <c:v>236</c:v>
                </c:pt>
                <c:pt idx="169">
                  <c:v>237</c:v>
                </c:pt>
                <c:pt idx="170">
                  <c:v>238</c:v>
                </c:pt>
                <c:pt idx="171">
                  <c:v>239</c:v>
                </c:pt>
                <c:pt idx="172">
                  <c:v>240</c:v>
                </c:pt>
                <c:pt idx="173">
                  <c:v>241</c:v>
                </c:pt>
                <c:pt idx="174">
                  <c:v>242</c:v>
                </c:pt>
                <c:pt idx="175">
                  <c:v>243</c:v>
                </c:pt>
                <c:pt idx="176">
                  <c:v>244</c:v>
                </c:pt>
                <c:pt idx="177">
                  <c:v>245</c:v>
                </c:pt>
                <c:pt idx="178">
                  <c:v>246</c:v>
                </c:pt>
                <c:pt idx="179">
                  <c:v>247</c:v>
                </c:pt>
                <c:pt idx="180">
                  <c:v>248</c:v>
                </c:pt>
                <c:pt idx="181">
                  <c:v>249</c:v>
                </c:pt>
                <c:pt idx="182">
                  <c:v>250</c:v>
                </c:pt>
                <c:pt idx="183">
                  <c:v>251</c:v>
                </c:pt>
                <c:pt idx="184">
                  <c:v>252</c:v>
                </c:pt>
                <c:pt idx="185">
                  <c:v>253</c:v>
                </c:pt>
                <c:pt idx="186">
                  <c:v>254</c:v>
                </c:pt>
                <c:pt idx="187">
                  <c:v>255</c:v>
                </c:pt>
                <c:pt idx="188">
                  <c:v>256</c:v>
                </c:pt>
                <c:pt idx="189">
                  <c:v>257</c:v>
                </c:pt>
                <c:pt idx="190">
                  <c:v>258</c:v>
                </c:pt>
                <c:pt idx="191">
                  <c:v>259</c:v>
                </c:pt>
                <c:pt idx="192">
                  <c:v>260</c:v>
                </c:pt>
                <c:pt idx="193">
                  <c:v>261</c:v>
                </c:pt>
                <c:pt idx="194">
                  <c:v>262</c:v>
                </c:pt>
                <c:pt idx="195">
                  <c:v>263</c:v>
                </c:pt>
                <c:pt idx="196">
                  <c:v>264</c:v>
                </c:pt>
                <c:pt idx="197">
                  <c:v>265</c:v>
                </c:pt>
                <c:pt idx="198">
                  <c:v>266</c:v>
                </c:pt>
                <c:pt idx="199">
                  <c:v>267</c:v>
                </c:pt>
                <c:pt idx="200">
                  <c:v>268</c:v>
                </c:pt>
                <c:pt idx="201">
                  <c:v>269</c:v>
                </c:pt>
                <c:pt idx="202">
                  <c:v>270</c:v>
                </c:pt>
                <c:pt idx="203">
                  <c:v>271</c:v>
                </c:pt>
                <c:pt idx="204">
                  <c:v>272</c:v>
                </c:pt>
                <c:pt idx="205">
                  <c:v>273</c:v>
                </c:pt>
                <c:pt idx="206">
                  <c:v>274</c:v>
                </c:pt>
                <c:pt idx="207">
                  <c:v>275</c:v>
                </c:pt>
                <c:pt idx="208">
                  <c:v>276</c:v>
                </c:pt>
                <c:pt idx="209">
                  <c:v>277</c:v>
                </c:pt>
                <c:pt idx="210">
                  <c:v>278</c:v>
                </c:pt>
                <c:pt idx="211">
                  <c:v>279</c:v>
                </c:pt>
                <c:pt idx="212">
                  <c:v>280</c:v>
                </c:pt>
                <c:pt idx="213">
                  <c:v>281</c:v>
                </c:pt>
                <c:pt idx="214">
                  <c:v>282</c:v>
                </c:pt>
                <c:pt idx="215">
                  <c:v>283</c:v>
                </c:pt>
                <c:pt idx="216">
                  <c:v>284</c:v>
                </c:pt>
                <c:pt idx="217">
                  <c:v>285</c:v>
                </c:pt>
                <c:pt idx="218">
                  <c:v>286</c:v>
                </c:pt>
                <c:pt idx="219">
                  <c:v>287</c:v>
                </c:pt>
                <c:pt idx="220">
                  <c:v>288</c:v>
                </c:pt>
                <c:pt idx="221">
                  <c:v>289</c:v>
                </c:pt>
                <c:pt idx="222">
                  <c:v>290</c:v>
                </c:pt>
                <c:pt idx="223">
                  <c:v>291</c:v>
                </c:pt>
                <c:pt idx="224">
                  <c:v>292</c:v>
                </c:pt>
                <c:pt idx="225">
                  <c:v>293</c:v>
                </c:pt>
                <c:pt idx="226">
                  <c:v>294</c:v>
                </c:pt>
                <c:pt idx="227">
                  <c:v>295</c:v>
                </c:pt>
                <c:pt idx="228">
                  <c:v>296</c:v>
                </c:pt>
                <c:pt idx="229">
                  <c:v>297</c:v>
                </c:pt>
                <c:pt idx="230">
                  <c:v>298</c:v>
                </c:pt>
                <c:pt idx="231">
                  <c:v>299</c:v>
                </c:pt>
                <c:pt idx="232">
                  <c:v>300</c:v>
                </c:pt>
                <c:pt idx="233">
                  <c:v>301</c:v>
                </c:pt>
                <c:pt idx="234">
                  <c:v>302</c:v>
                </c:pt>
                <c:pt idx="235">
                  <c:v>303</c:v>
                </c:pt>
                <c:pt idx="236">
                  <c:v>304</c:v>
                </c:pt>
                <c:pt idx="237">
                  <c:v>305</c:v>
                </c:pt>
                <c:pt idx="238">
                  <c:v>306</c:v>
                </c:pt>
                <c:pt idx="239">
                  <c:v>307</c:v>
                </c:pt>
                <c:pt idx="240">
                  <c:v>308</c:v>
                </c:pt>
                <c:pt idx="241">
                  <c:v>309</c:v>
                </c:pt>
                <c:pt idx="242">
                  <c:v>310</c:v>
                </c:pt>
                <c:pt idx="243">
                  <c:v>311</c:v>
                </c:pt>
                <c:pt idx="244">
                  <c:v>312</c:v>
                </c:pt>
                <c:pt idx="245">
                  <c:v>313</c:v>
                </c:pt>
                <c:pt idx="246">
                  <c:v>314</c:v>
                </c:pt>
                <c:pt idx="247">
                  <c:v>315</c:v>
                </c:pt>
                <c:pt idx="248">
                  <c:v>316</c:v>
                </c:pt>
                <c:pt idx="249">
                  <c:v>317</c:v>
                </c:pt>
                <c:pt idx="250">
                  <c:v>318</c:v>
                </c:pt>
                <c:pt idx="251">
                  <c:v>319</c:v>
                </c:pt>
                <c:pt idx="252">
                  <c:v>320</c:v>
                </c:pt>
                <c:pt idx="253">
                  <c:v>321</c:v>
                </c:pt>
                <c:pt idx="254">
                  <c:v>322</c:v>
                </c:pt>
                <c:pt idx="255">
                  <c:v>323</c:v>
                </c:pt>
                <c:pt idx="256">
                  <c:v>324</c:v>
                </c:pt>
                <c:pt idx="257">
                  <c:v>325</c:v>
                </c:pt>
                <c:pt idx="258">
                  <c:v>326</c:v>
                </c:pt>
                <c:pt idx="259">
                  <c:v>327</c:v>
                </c:pt>
                <c:pt idx="260">
                  <c:v>328</c:v>
                </c:pt>
                <c:pt idx="261">
                  <c:v>329</c:v>
                </c:pt>
                <c:pt idx="262">
                  <c:v>330</c:v>
                </c:pt>
                <c:pt idx="263">
                  <c:v>331</c:v>
                </c:pt>
                <c:pt idx="264">
                  <c:v>332</c:v>
                </c:pt>
                <c:pt idx="265">
                  <c:v>333</c:v>
                </c:pt>
                <c:pt idx="266">
                  <c:v>334</c:v>
                </c:pt>
                <c:pt idx="267">
                  <c:v>335</c:v>
                </c:pt>
                <c:pt idx="268">
                  <c:v>336</c:v>
                </c:pt>
                <c:pt idx="269">
                  <c:v>337</c:v>
                </c:pt>
                <c:pt idx="270">
                  <c:v>338</c:v>
                </c:pt>
                <c:pt idx="271">
                  <c:v>339</c:v>
                </c:pt>
                <c:pt idx="272">
                  <c:v>340</c:v>
                </c:pt>
                <c:pt idx="273">
                  <c:v>341</c:v>
                </c:pt>
                <c:pt idx="274">
                  <c:v>342</c:v>
                </c:pt>
                <c:pt idx="275">
                  <c:v>343</c:v>
                </c:pt>
                <c:pt idx="276">
                  <c:v>344</c:v>
                </c:pt>
                <c:pt idx="277">
                  <c:v>345</c:v>
                </c:pt>
                <c:pt idx="278">
                  <c:v>346</c:v>
                </c:pt>
                <c:pt idx="279">
                  <c:v>347</c:v>
                </c:pt>
                <c:pt idx="280">
                  <c:v>348</c:v>
                </c:pt>
                <c:pt idx="281">
                  <c:v>349</c:v>
                </c:pt>
                <c:pt idx="282">
                  <c:v>350</c:v>
                </c:pt>
                <c:pt idx="283">
                  <c:v>351</c:v>
                </c:pt>
                <c:pt idx="284">
                  <c:v>352</c:v>
                </c:pt>
                <c:pt idx="285">
                  <c:v>353</c:v>
                </c:pt>
                <c:pt idx="286">
                  <c:v>354</c:v>
                </c:pt>
                <c:pt idx="287">
                  <c:v>355</c:v>
                </c:pt>
                <c:pt idx="288">
                  <c:v>356</c:v>
                </c:pt>
                <c:pt idx="289">
                  <c:v>357</c:v>
                </c:pt>
                <c:pt idx="290">
                  <c:v>358</c:v>
                </c:pt>
                <c:pt idx="291">
                  <c:v>359</c:v>
                </c:pt>
              </c:numCache>
            </c:numRef>
          </c:xVal>
          <c:yVal>
            <c:numRef>
              <c:f>'Well_A-7'!$AA$69:$AA$360</c:f>
              <c:numCache>
                <c:formatCode>General</c:formatCode>
                <c:ptCount val="292"/>
                <c:pt idx="0">
                  <c:v>14262.00777399349</c:v>
                </c:pt>
                <c:pt idx="1">
                  <c:v>14057.169298945641</c:v>
                </c:pt>
                <c:pt idx="2">
                  <c:v>13861.740124977592</c:v>
                </c:pt>
                <c:pt idx="3">
                  <c:v>13669.027896450378</c:v>
                </c:pt>
                <c:pt idx="4">
                  <c:v>13478.994841150272</c:v>
                </c:pt>
                <c:pt idx="5">
                  <c:v>13291.603711990067</c:v>
                </c:pt>
                <c:pt idx="6">
                  <c:v>13106.817779708545</c:v>
                </c:pt>
                <c:pt idx="7">
                  <c:v>12924.60082567141</c:v>
                </c:pt>
                <c:pt idx="8">
                  <c:v>12744.917134772335</c:v>
                </c:pt>
                <c:pt idx="9">
                  <c:v>12567.73148843267</c:v>
                </c:pt>
                <c:pt idx="10">
                  <c:v>12393.0091576985</c:v>
                </c:pt>
                <c:pt idx="11">
                  <c:v>12220.715896433647</c:v>
                </c:pt>
                <c:pt idx="12">
                  <c:v>12050.817934607339</c:v>
                </c:pt>
                <c:pt idx="13">
                  <c:v>11883.281971675151</c:v>
                </c:pt>
                <c:pt idx="14">
                  <c:v>11718.075170052005</c:v>
                </c:pt>
                <c:pt idx="15">
                  <c:v>11555.165148675902</c:v>
                </c:pt>
                <c:pt idx="16">
                  <c:v>11394.519976661115</c:v>
                </c:pt>
                <c:pt idx="17">
                  <c:v>11236.108167039649</c:v>
                </c:pt>
                <c:pt idx="18">
                  <c:v>11079.898670589682</c:v>
                </c:pt>
                <c:pt idx="19">
                  <c:v>10925.860869749835</c:v>
                </c:pt>
                <c:pt idx="20">
                  <c:v>10773.964572618008</c:v>
                </c:pt>
                <c:pt idx="21">
                  <c:v>10624.180007033692</c:v>
                </c:pt>
                <c:pt idx="22">
                  <c:v>10476.47781474252</c:v>
                </c:pt>
                <c:pt idx="23">
                  <c:v>10330.829045641953</c:v>
                </c:pt>
                <c:pt idx="24">
                  <c:v>10187.205152106975</c:v>
                </c:pt>
                <c:pt idx="25">
                  <c:v>10045.57798339466</c:v>
                </c:pt>
                <c:pt idx="26">
                  <c:v>9905.9197801265473</c:v>
                </c:pt>
                <c:pt idx="27">
                  <c:v>9768.2031688476982</c:v>
                </c:pt>
                <c:pt idx="28">
                  <c:v>9632.4011566614208</c:v>
                </c:pt>
                <c:pt idx="29">
                  <c:v>9498.4871259385764</c:v>
                </c:pt>
                <c:pt idx="30">
                  <c:v>9366.4348291004389</c:v>
                </c:pt>
                <c:pt idx="31">
                  <c:v>9236.2183834740827</c:v>
                </c:pt>
                <c:pt idx="32">
                  <c:v>9107.8122662192927</c:v>
                </c:pt>
                <c:pt idx="33">
                  <c:v>8981.1913093260173</c:v>
                </c:pt>
                <c:pt idx="34">
                  <c:v>8856.3306946813427</c:v>
                </c:pt>
                <c:pt idx="35">
                  <c:v>8733.2059492050776</c:v>
                </c:pt>
                <c:pt idx="36">
                  <c:v>8611.7929400529429</c:v>
                </c:pt>
                <c:pt idx="37">
                  <c:v>8492.0678698864576</c:v>
                </c:pt>
                <c:pt idx="38">
                  <c:v>8374.0072722085897</c:v>
                </c:pt>
                <c:pt idx="39">
                  <c:v>8257.5880067642374</c:v>
                </c:pt>
                <c:pt idx="40">
                  <c:v>8142.7872550046741</c:v>
                </c:pt>
                <c:pt idx="41">
                  <c:v>8029.5825156150404</c:v>
                </c:pt>
                <c:pt idx="42">
                  <c:v>7917.9516001040038</c:v>
                </c:pt>
                <c:pt idx="43">
                  <c:v>7807.8726284547556</c:v>
                </c:pt>
                <c:pt idx="44">
                  <c:v>7699.3240248364509</c:v>
                </c:pt>
                <c:pt idx="45">
                  <c:v>7592.284513375278</c:v>
                </c:pt>
                <c:pt idx="46">
                  <c:v>7486.7331139843191</c:v>
                </c:pt>
                <c:pt idx="47">
                  <c:v>7382.6491382513868</c:v>
                </c:pt>
                <c:pt idx="48">
                  <c:v>7280.0121853840255</c:v>
                </c:pt>
                <c:pt idx="49">
                  <c:v>7178.8021382108982</c:v>
                </c:pt>
                <c:pt idx="50">
                  <c:v>7078.9991592387487</c:v>
                </c:pt>
                <c:pt idx="51">
                  <c:v>6980.5836867641956</c:v>
                </c:pt>
                <c:pt idx="52">
                  <c:v>6883.536431039568</c:v>
                </c:pt>
                <c:pt idx="53">
                  <c:v>6787.8383704920634</c:v>
                </c:pt>
                <c:pt idx="54">
                  <c:v>6693.4707479954495</c:v>
                </c:pt>
                <c:pt idx="55">
                  <c:v>6600.415067193614</c:v>
                </c:pt>
                <c:pt idx="56">
                  <c:v>6508.653088875215</c:v>
                </c:pt>
                <c:pt idx="57">
                  <c:v>6418.1668273987407</c:v>
                </c:pt>
                <c:pt idx="58">
                  <c:v>6328.9385471672613</c:v>
                </c:pt>
                <c:pt idx="59">
                  <c:v>6240.9507591522015</c:v>
                </c:pt>
                <c:pt idx="60">
                  <c:v>6154.1862174654289</c:v>
                </c:pt>
                <c:pt idx="61">
                  <c:v>6068.627915979011</c:v>
                </c:pt>
                <c:pt idx="62">
                  <c:v>5984.2590849919516</c:v>
                </c:pt>
                <c:pt idx="63">
                  <c:v>5901.0631879432849</c:v>
                </c:pt>
                <c:pt idx="64">
                  <c:v>5819.0239181708484</c:v>
                </c:pt>
                <c:pt idx="65">
                  <c:v>5738.1251957151298</c:v>
                </c:pt>
                <c:pt idx="66">
                  <c:v>5658.3511641675432</c:v>
                </c:pt>
                <c:pt idx="67">
                  <c:v>5579.68618756252</c:v>
                </c:pt>
                <c:pt idx="68">
                  <c:v>5502.1148473128114</c:v>
                </c:pt>
                <c:pt idx="69">
                  <c:v>5425.6219391873947</c:v>
                </c:pt>
                <c:pt idx="70">
                  <c:v>5350.192470331398</c:v>
                </c:pt>
                <c:pt idx="71">
                  <c:v>5275.8116563274452</c:v>
                </c:pt>
                <c:pt idx="72">
                  <c:v>5202.4649182978765</c:v>
                </c:pt>
                <c:pt idx="73">
                  <c:v>5130.1378800472257</c:v>
                </c:pt>
                <c:pt idx="74">
                  <c:v>5058.8163652444537</c:v>
                </c:pt>
                <c:pt idx="75">
                  <c:v>4988.486394644332</c:v>
                </c:pt>
                <c:pt idx="76">
                  <c:v>4919.1341833474744</c:v>
                </c:pt>
                <c:pt idx="77">
                  <c:v>4850.7461380984414</c:v>
                </c:pt>
                <c:pt idx="78">
                  <c:v>4783.3088546214358</c:v>
                </c:pt>
                <c:pt idx="79">
                  <c:v>4716.8091149930015</c:v>
                </c:pt>
                <c:pt idx="80">
                  <c:v>4651.2338850512806</c:v>
                </c:pt>
                <c:pt idx="81">
                  <c:v>4586.5703118412794</c:v>
                </c:pt>
                <c:pt idx="82">
                  <c:v>4522.805721095634</c:v>
                </c:pt>
                <c:pt idx="83">
                  <c:v>4459.927614750427</c:v>
                </c:pt>
                <c:pt idx="84">
                  <c:v>4397.9236684955185</c:v>
                </c:pt>
                <c:pt idx="85">
                  <c:v>4336.7817293589487</c:v>
                </c:pt>
                <c:pt idx="86">
                  <c:v>4276.4898133249053</c:v>
                </c:pt>
                <c:pt idx="87">
                  <c:v>4217.0361029848355</c:v>
                </c:pt>
                <c:pt idx="88">
                  <c:v>4158.4089452211738</c:v>
                </c:pt>
                <c:pt idx="89">
                  <c:v>4100.5968489233182</c:v>
                </c:pt>
                <c:pt idx="90">
                  <c:v>4043.5884827353134</c:v>
                </c:pt>
                <c:pt idx="91">
                  <c:v>3987.3726728348847</c:v>
                </c:pt>
                <c:pt idx="92">
                  <c:v>3931.9384007433232</c:v>
                </c:pt>
                <c:pt idx="93">
                  <c:v>3877.2748011658359</c:v>
                </c:pt>
                <c:pt idx="94">
                  <c:v>3823.3711598619061</c:v>
                </c:pt>
                <c:pt idx="95">
                  <c:v>3770.2169115452762</c:v>
                </c:pt>
                <c:pt idx="96">
                  <c:v>3717.8016378131083</c:v>
                </c:pt>
                <c:pt idx="97">
                  <c:v>3666.1150651039529</c:v>
                </c:pt>
                <c:pt idx="98">
                  <c:v>3615.1470626840905</c:v>
                </c:pt>
                <c:pt idx="99">
                  <c:v>3564.8876406618792</c:v>
                </c:pt>
                <c:pt idx="100">
                  <c:v>3515.3269480297072</c:v>
                </c:pt>
                <c:pt idx="101">
                  <c:v>3466.4552707331545</c:v>
                </c:pt>
                <c:pt idx="102">
                  <c:v>3418.2630297670189</c:v>
                </c:pt>
                <c:pt idx="103">
                  <c:v>3370.7407792977865</c:v>
                </c:pt>
                <c:pt idx="104">
                  <c:v>3323.8792048122332</c:v>
                </c:pt>
                <c:pt idx="105">
                  <c:v>3277.6691212917367</c:v>
                </c:pt>
                <c:pt idx="106">
                  <c:v>3232.1014714119947</c:v>
                </c:pt>
                <c:pt idx="107">
                  <c:v>3187.1673237677501</c:v>
                </c:pt>
                <c:pt idx="108">
                  <c:v>3142.8578711222162</c:v>
                </c:pt>
                <c:pt idx="109">
                  <c:v>3099.1644286808232</c:v>
                </c:pt>
                <c:pt idx="110">
                  <c:v>3056.0784323889757</c:v>
                </c:pt>
                <c:pt idx="111">
                  <c:v>3013.5914372534648</c:v>
                </c:pt>
                <c:pt idx="112">
                  <c:v>2971.695115687231</c:v>
                </c:pt>
                <c:pt idx="113">
                  <c:v>2930.3812558771187</c:v>
                </c:pt>
                <c:pt idx="114">
                  <c:v>2889.6417601743487</c:v>
                </c:pt>
                <c:pt idx="115">
                  <c:v>2849.4686435073399</c:v>
                </c:pt>
                <c:pt idx="116">
                  <c:v>2809.8540318166151</c:v>
                </c:pt>
                <c:pt idx="117">
                  <c:v>2770.7901605114666</c:v>
                </c:pt>
                <c:pt idx="118">
                  <c:v>2732.269372948057</c:v>
                </c:pt>
                <c:pt idx="119">
                  <c:v>2694.2841189287096</c:v>
                </c:pt>
                <c:pt idx="120">
                  <c:v>2656.8269532220284</c:v>
                </c:pt>
                <c:pt idx="121">
                  <c:v>2619.8905341036238</c:v>
                </c:pt>
                <c:pt idx="122">
                  <c:v>2583.467621917101</c:v>
                </c:pt>
                <c:pt idx="123">
                  <c:v>2547.5510776550695</c:v>
                </c:pt>
                <c:pt idx="124">
                  <c:v>2512.1338615598706</c:v>
                </c:pt>
                <c:pt idx="125">
                  <c:v>2477.2090317437696</c:v>
                </c:pt>
                <c:pt idx="126">
                  <c:v>2442.7697428283127</c:v>
                </c:pt>
                <c:pt idx="127">
                  <c:v>2408.8092446026221</c:v>
                </c:pt>
                <c:pt idx="128">
                  <c:v>2375.3208807003243</c:v>
                </c:pt>
                <c:pt idx="129">
                  <c:v>2342.2980872948888</c:v>
                </c:pt>
                <c:pt idx="130">
                  <c:v>2309.7343918130882</c:v>
                </c:pt>
                <c:pt idx="131">
                  <c:v>2277.6234116663613</c:v>
                </c:pt>
                <c:pt idx="132">
                  <c:v>2245.9588529998</c:v>
                </c:pt>
                <c:pt idx="133">
                  <c:v>2214.7345094585371</c:v>
                </c:pt>
                <c:pt idx="134">
                  <c:v>2183.9442609712778</c:v>
                </c:pt>
                <c:pt idx="135">
                  <c:v>2153.5820725507474</c:v>
                </c:pt>
                <c:pt idx="136">
                  <c:v>2123.6419931108171</c:v>
                </c:pt>
                <c:pt idx="137">
                  <c:v>2094.1181543000657</c:v>
                </c:pt>
                <c:pt idx="138">
                  <c:v>2065.0047693515721</c:v>
                </c:pt>
                <c:pt idx="139">
                  <c:v>2036.2961319486824</c:v>
                </c:pt>
                <c:pt idx="140">
                  <c:v>2007.9866151065605</c:v>
                </c:pt>
                <c:pt idx="141">
                  <c:v>1980.0706700692756</c:v>
                </c:pt>
                <c:pt idx="142">
                  <c:v>1952.5428252222325</c:v>
                </c:pt>
                <c:pt idx="143">
                  <c:v>1925.3976850197134</c:v>
                </c:pt>
                <c:pt idx="144">
                  <c:v>1898.6299289273391</c:v>
                </c:pt>
                <c:pt idx="145">
                  <c:v>1872.2343103792207</c:v>
                </c:pt>
                <c:pt idx="146">
                  <c:v>1846.2056557496226</c:v>
                </c:pt>
                <c:pt idx="147">
                  <c:v>1820.5388633389091</c:v>
                </c:pt>
                <c:pt idx="148">
                  <c:v>1795.2289023736005</c:v>
                </c:pt>
                <c:pt idx="149">
                  <c:v>1770.2708120203201</c:v>
                </c:pt>
                <c:pt idx="150">
                  <c:v>1745.6597004134603</c:v>
                </c:pt>
                <c:pt idx="151">
                  <c:v>1721.3907436963561</c:v>
                </c:pt>
                <c:pt idx="152">
                  <c:v>1697.4591850757986</c:v>
                </c:pt>
                <c:pt idx="153">
                  <c:v>1673.8603338896844</c:v>
                </c:pt>
                <c:pt idx="154">
                  <c:v>1650.5895646876313</c:v>
                </c:pt>
                <c:pt idx="155">
                  <c:v>1627.6423163243799</c:v>
                </c:pt>
                <c:pt idx="156">
                  <c:v>1605.0140910657869</c:v>
                </c:pt>
                <c:pt idx="157">
                  <c:v>1582.7004537072623</c:v>
                </c:pt>
                <c:pt idx="158">
                  <c:v>1560.6970307044483</c:v>
                </c:pt>
                <c:pt idx="159">
                  <c:v>1538.9995093159971</c:v>
                </c:pt>
                <c:pt idx="160">
                  <c:v>1517.6036367582537</c:v>
                </c:pt>
                <c:pt idx="161">
                  <c:v>1496.5052193717027</c:v>
                </c:pt>
                <c:pt idx="162">
                  <c:v>1475.7001217989909</c:v>
                </c:pt>
                <c:pt idx="163">
                  <c:v>1455.1842661743915</c:v>
                </c:pt>
                <c:pt idx="164">
                  <c:v>1434.9536313245221</c:v>
                </c:pt>
                <c:pt idx="165">
                  <c:v>1415.0042519801875</c:v>
                </c:pt>
                <c:pt idx="166">
                  <c:v>1395.3322179991706</c:v>
                </c:pt>
                <c:pt idx="167">
                  <c:v>1375.9336735998347</c:v>
                </c:pt>
                <c:pt idx="168">
                  <c:v>1356.8048166053748</c:v>
                </c:pt>
                <c:pt idx="169">
                  <c:v>1337.9418976985833</c:v>
                </c:pt>
                <c:pt idx="170">
                  <c:v>1319.3412196869663</c:v>
                </c:pt>
                <c:pt idx="171">
                  <c:v>1300.9991367780863</c:v>
                </c:pt>
                <c:pt idx="172">
                  <c:v>1282.912053864974</c:v>
                </c:pt>
                <c:pt idx="173">
                  <c:v>1265.0764258214751</c:v>
                </c:pt>
                <c:pt idx="174">
                  <c:v>1247.4887568073955</c:v>
                </c:pt>
                <c:pt idx="175">
                  <c:v>1230.145599583303</c:v>
                </c:pt>
                <c:pt idx="176">
                  <c:v>1213.0435548348612</c:v>
                </c:pt>
                <c:pt idx="177">
                  <c:v>1196.1792705065486</c:v>
                </c:pt>
                <c:pt idx="178">
                  <c:v>1179.5494411446493</c:v>
                </c:pt>
                <c:pt idx="179">
                  <c:v>1163.1508072493696</c:v>
                </c:pt>
                <c:pt idx="180">
                  <c:v>1146.980154635969</c:v>
                </c:pt>
                <c:pt idx="181">
                  <c:v>1131.0343138047665</c:v>
                </c:pt>
                <c:pt idx="182">
                  <c:v>1115.3101593199115</c:v>
                </c:pt>
                <c:pt idx="183">
                  <c:v>1099.8046091967856</c:v>
                </c:pt>
                <c:pt idx="184">
                  <c:v>1084.5146242979272</c:v>
                </c:pt>
                <c:pt idx="185">
                  <c:v>1069.4372077373462</c:v>
                </c:pt>
                <c:pt idx="186">
                  <c:v>1054.5694042931293</c:v>
                </c:pt>
                <c:pt idx="187">
                  <c:v>1039.9082998282038</c:v>
                </c:pt>
                <c:pt idx="188">
                  <c:v>1025.4510207191597</c:v>
                </c:pt>
                <c:pt idx="189">
                  <c:v>1011.1947332930088</c:v>
                </c:pt>
                <c:pt idx="190">
                  <c:v>997.13664327177537</c:v>
                </c:pt>
                <c:pt idx="191">
                  <c:v>983.2739952248113</c:v>
                </c:pt>
                <c:pt idx="192">
                  <c:v>969.6040720287192</c:v>
                </c:pt>
                <c:pt idx="193">
                  <c:v>956.12419433479124</c:v>
                </c:pt>
                <c:pt idx="194">
                  <c:v>942.83172004384483</c:v>
                </c:pt>
                <c:pt idx="195">
                  <c:v>929.72404378836552</c:v>
                </c:pt>
                <c:pt idx="196">
                  <c:v>916.79859642184454</c:v>
                </c:pt>
                <c:pt idx="197">
                  <c:v>904.0528445152197</c:v>
                </c:pt>
                <c:pt idx="198">
                  <c:v>891.48428986031297</c:v>
                </c:pt>
                <c:pt idx="199">
                  <c:v>879.09046898017607</c:v>
                </c:pt>
                <c:pt idx="200">
                  <c:v>866.86895264623911</c:v>
                </c:pt>
                <c:pt idx="201">
                  <c:v>854.81734540217565</c:v>
                </c:pt>
                <c:pt idx="202">
                  <c:v>842.93328509438379</c:v>
                </c:pt>
                <c:pt idx="203">
                  <c:v>831.21444240899882</c:v>
                </c:pt>
                <c:pt idx="204">
                  <c:v>819.65852041533765</c:v>
                </c:pt>
                <c:pt idx="205">
                  <c:v>808.26325411569542</c:v>
                </c:pt>
                <c:pt idx="206">
                  <c:v>797.0264100013967</c:v>
                </c:pt>
                <c:pt idx="207">
                  <c:v>785.94578561502237</c:v>
                </c:pt>
                <c:pt idx="208">
                  <c:v>775.01920911871946</c:v>
                </c:pt>
                <c:pt idx="209">
                  <c:v>764.2445388685145</c:v>
                </c:pt>
                <c:pt idx="210">
                  <c:v>753.61966299454548</c:v>
                </c:pt>
                <c:pt idx="211">
                  <c:v>743.14249898712683</c:v>
                </c:pt>
                <c:pt idx="212">
                  <c:v>732.81099328857226</c:v>
                </c:pt>
                <c:pt idx="213">
                  <c:v>722.62312089068951</c:v>
                </c:pt>
                <c:pt idx="214">
                  <c:v>712.57688493787418</c:v>
                </c:pt>
                <c:pt idx="215">
                  <c:v>702.67031633571753</c:v>
                </c:pt>
                <c:pt idx="216">
                  <c:v>692.90147336505947</c:v>
                </c:pt>
                <c:pt idx="217">
                  <c:v>683.26844130140387</c:v>
                </c:pt>
                <c:pt idx="218">
                  <c:v>673.76933203962756</c:v>
                </c:pt>
                <c:pt idx="219">
                  <c:v>664.40228372390607</c:v>
                </c:pt>
                <c:pt idx="220">
                  <c:v>655.16546038278079</c:v>
                </c:pt>
                <c:pt idx="221">
                  <c:v>646.0570515693073</c:v>
                </c:pt>
                <c:pt idx="222">
                  <c:v>637.07527200619893</c:v>
                </c:pt>
                <c:pt idx="223">
                  <c:v>628.21836123590788</c:v>
                </c:pt>
                <c:pt idx="224">
                  <c:v>619.48458327556807</c:v>
                </c:pt>
                <c:pt idx="225">
                  <c:v>610.87222627673998</c:v>
                </c:pt>
                <c:pt idx="226">
                  <c:v>602.3796021898811</c:v>
                </c:pt>
                <c:pt idx="227">
                  <c:v>594.0050464334812</c:v>
                </c:pt>
                <c:pt idx="228">
                  <c:v>585.74691756780283</c:v>
                </c:pt>
                <c:pt idx="229">
                  <c:v>577.6035969731513</c:v>
                </c:pt>
                <c:pt idx="230">
                  <c:v>569.57348853262067</c:v>
                </c:pt>
                <c:pt idx="231">
                  <c:v>561.65501831924848</c:v>
                </c:pt>
                <c:pt idx="232">
                  <c:v>553.84663428752344</c:v>
                </c:pt>
                <c:pt idx="233">
                  <c:v>546.14680596917822</c:v>
                </c:pt>
                <c:pt idx="234">
                  <c:v>538.55402417321261</c:v>
                </c:pt>
                <c:pt idx="235">
                  <c:v>531.06680069008689</c:v>
                </c:pt>
                <c:pt idx="236">
                  <c:v>523.68366800002934</c:v>
                </c:pt>
                <c:pt idx="237">
                  <c:v>516.40317898539661</c:v>
                </c:pt>
                <c:pt idx="238">
                  <c:v>509.22390664703511</c:v>
                </c:pt>
                <c:pt idx="239">
                  <c:v>502.14444382458197</c:v>
                </c:pt>
                <c:pt idx="240">
                  <c:v>495.16340292066081</c:v>
                </c:pt>
                <c:pt idx="241">
                  <c:v>488.27941562890555</c:v>
                </c:pt>
                <c:pt idx="242">
                  <c:v>481.49113266576933</c:v>
                </c:pt>
                <c:pt idx="243">
                  <c:v>474.79722350605886</c:v>
                </c:pt>
                <c:pt idx="244">
                  <c:v>468.19637612214973</c:v>
                </c:pt>
                <c:pt idx="245">
                  <c:v>461.68729672682338</c:v>
                </c:pt>
                <c:pt idx="246">
                  <c:v>455.26870951967965</c:v>
                </c:pt>
                <c:pt idx="247">
                  <c:v>448.93935643707817</c:v>
                </c:pt>
                <c:pt idx="248">
                  <c:v>442.69799690555237</c:v>
                </c:pt>
                <c:pt idx="249">
                  <c:v>436.54340759865352</c:v>
                </c:pt>
                <c:pt idx="250">
                  <c:v>430.47438219717367</c:v>
                </c:pt>
                <c:pt idx="251">
                  <c:v>424.48973115270553</c:v>
                </c:pt>
                <c:pt idx="252">
                  <c:v>418.5882814544853</c:v>
                </c:pt>
                <c:pt idx="253">
                  <c:v>412.76887639947984</c:v>
                </c:pt>
                <c:pt idx="254">
                  <c:v>407.03037536566774</c:v>
                </c:pt>
                <c:pt idx="255">
                  <c:v>401.37165358847579</c:v>
                </c:pt>
                <c:pt idx="256">
                  <c:v>395.79160194031999</c:v>
                </c:pt>
                <c:pt idx="257">
                  <c:v>390.28912671321393</c:v>
                </c:pt>
                <c:pt idx="258">
                  <c:v>384.86314940439712</c:v>
                </c:pt>
                <c:pt idx="259">
                  <c:v>379.5126065049468</c:v>
                </c:pt>
                <c:pt idx="260">
                  <c:v>374.23644929132581</c:v>
                </c:pt>
                <c:pt idx="261">
                  <c:v>369.03364361982966</c:v>
                </c:pt>
                <c:pt idx="262">
                  <c:v>363.90316972389013</c:v>
                </c:pt>
                <c:pt idx="263">
                  <c:v>358.84402201419937</c:v>
                </c:pt>
                <c:pt idx="264">
                  <c:v>353.85520888161062</c:v>
                </c:pt>
                <c:pt idx="265">
                  <c:v>348.93575250277814</c:v>
                </c:pt>
                <c:pt idx="266">
                  <c:v>344.08468864850323</c:v>
                </c:pt>
                <c:pt idx="267">
                  <c:v>339.30106649474044</c:v>
                </c:pt>
                <c:pt idx="268">
                  <c:v>334.58394843623381</c:v>
                </c:pt>
                <c:pt idx="269">
                  <c:v>329.93240990274205</c:v>
                </c:pt>
                <c:pt idx="270">
                  <c:v>325.34553917782182</c:v>
                </c:pt>
                <c:pt idx="271">
                  <c:v>320.82243722012674</c:v>
                </c:pt>
                <c:pt idx="272">
                  <c:v>316.36221748719339</c:v>
                </c:pt>
                <c:pt idx="273">
                  <c:v>311.96400576167474</c:v>
                </c:pt>
                <c:pt idx="274">
                  <c:v>307.6269399799927</c:v>
                </c:pt>
                <c:pt idx="275">
                  <c:v>303.35017006336949</c:v>
                </c:pt>
                <c:pt idx="276">
                  <c:v>299.13285775121045</c:v>
                </c:pt>
                <c:pt idx="277">
                  <c:v>294.97417643680052</c:v>
                </c:pt>
                <c:pt idx="278">
                  <c:v>290.87331100528905</c:v>
                </c:pt>
                <c:pt idx="279">
                  <c:v>286.82945767392317</c:v>
                </c:pt>
                <c:pt idx="280">
                  <c:v>282.84182383450428</c:v>
                </c:pt>
                <c:pt idx="281">
                  <c:v>278.90962789803359</c:v>
                </c:pt>
                <c:pt idx="282">
                  <c:v>275.0320991415195</c:v>
                </c:pt>
                <c:pt idx="283">
                  <c:v>271.2084775569125</c:v>
                </c:pt>
                <c:pt idx="284">
                  <c:v>267.43801370214089</c:v>
                </c:pt>
                <c:pt idx="285">
                  <c:v>263.71996855421867</c:v>
                </c:pt>
                <c:pt idx="286">
                  <c:v>260.05361336439415</c:v>
                </c:pt>
                <c:pt idx="287">
                  <c:v>256.43822951531297</c:v>
                </c:pt>
                <c:pt idx="288">
                  <c:v>252.87310838016623</c:v>
                </c:pt>
                <c:pt idx="289">
                  <c:v>249.35755118379839</c:v>
                </c:pt>
                <c:pt idx="290">
                  <c:v>245.89086886574441</c:v>
                </c:pt>
                <c:pt idx="291">
                  <c:v>242.47238194517212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85E-4099-8330-2B1D11E08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075743"/>
        <c:axId val="1627077663"/>
      </c:scatterChart>
      <c:valAx>
        <c:axId val="16270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500" baseline="0">
                    <a:solidFill>
                      <a:schemeClr val="bg1"/>
                    </a:solidFill>
                  </a:rPr>
                  <a:t>time(months)</a:t>
                </a:r>
              </a:p>
            </c:rich>
          </c:tx>
          <c:layout>
            <c:manualLayout>
              <c:xMode val="edge"/>
              <c:yMode val="edge"/>
              <c:x val="0.52038139069777001"/>
              <c:y val="0.88240013441615017"/>
            </c:manualLayout>
          </c:layout>
          <c:overlay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077663"/>
        <c:crosses val="autoZero"/>
        <c:crossBetween val="midCat"/>
      </c:valAx>
      <c:valAx>
        <c:axId val="162707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500" baseline="0">
                    <a:solidFill>
                      <a:schemeClr val="bg1"/>
                    </a:solidFill>
                  </a:rPr>
                  <a:t>folw rate(month)</a:t>
                </a:r>
              </a:p>
            </c:rich>
          </c:tx>
          <c:layout>
            <c:manualLayout>
              <c:xMode val="edge"/>
              <c:yMode val="edge"/>
              <c:x val="0.10566993765180677"/>
              <c:y val="0.35179441937476569"/>
            </c:manualLayout>
          </c:layout>
          <c:overlay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075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</a:t>
            </a:r>
            <a:r>
              <a:rPr lang="en-IN" baseline="0"/>
              <a:t> &amp; WOR' VS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6.6041311642036943E-2"/>
          <c:y val="0.13756631031159441"/>
          <c:w val="0.91470375831749495"/>
          <c:h val="0.71512547368444257"/>
        </c:manualLayout>
      </c:layout>
      <c:scatterChart>
        <c:scatterStyle val="smoothMarker"/>
        <c:varyColors val="0"/>
        <c:ser>
          <c:idx val="1"/>
          <c:order val="0"/>
          <c:tx>
            <c:v>WOR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'Well_A-8'!$N$1:$N$43</c:f>
              <c:strCache>
                <c:ptCount val="43"/>
                <c:pt idx="0">
                  <c:v>TIME</c:v>
                </c:pt>
                <c:pt idx="1">
                  <c:v>0</c:v>
                </c:pt>
                <c:pt idx="2">
                  <c:v>28</c:v>
                </c:pt>
                <c:pt idx="3">
                  <c:v>59</c:v>
                </c:pt>
                <c:pt idx="4">
                  <c:v>89</c:v>
                </c:pt>
                <c:pt idx="5">
                  <c:v>120</c:v>
                </c:pt>
                <c:pt idx="6">
                  <c:v>150</c:v>
                </c:pt>
                <c:pt idx="7">
                  <c:v>181</c:v>
                </c:pt>
                <c:pt idx="8">
                  <c:v>212</c:v>
                </c:pt>
                <c:pt idx="9">
                  <c:v>242</c:v>
                </c:pt>
                <c:pt idx="10">
                  <c:v>273</c:v>
                </c:pt>
                <c:pt idx="11">
                  <c:v>303</c:v>
                </c:pt>
                <c:pt idx="12">
                  <c:v>334</c:v>
                </c:pt>
                <c:pt idx="13">
                  <c:v>365</c:v>
                </c:pt>
                <c:pt idx="14">
                  <c:v>393</c:v>
                </c:pt>
                <c:pt idx="15">
                  <c:v>424</c:v>
                </c:pt>
                <c:pt idx="16">
                  <c:v>454</c:v>
                </c:pt>
                <c:pt idx="17">
                  <c:v>485</c:v>
                </c:pt>
                <c:pt idx="18">
                  <c:v>515</c:v>
                </c:pt>
                <c:pt idx="19">
                  <c:v>546</c:v>
                </c:pt>
                <c:pt idx="20">
                  <c:v>577</c:v>
                </c:pt>
                <c:pt idx="21">
                  <c:v>607</c:v>
                </c:pt>
                <c:pt idx="22">
                  <c:v>638</c:v>
                </c:pt>
                <c:pt idx="23">
                  <c:v>668</c:v>
                </c:pt>
                <c:pt idx="24">
                  <c:v>699</c:v>
                </c:pt>
                <c:pt idx="25">
                  <c:v>730</c:v>
                </c:pt>
                <c:pt idx="26">
                  <c:v>759</c:v>
                </c:pt>
                <c:pt idx="27">
                  <c:v>790</c:v>
                </c:pt>
                <c:pt idx="28">
                  <c:v>820</c:v>
                </c:pt>
                <c:pt idx="29">
                  <c:v>851</c:v>
                </c:pt>
                <c:pt idx="30">
                  <c:v>881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1034</c:v>
                </c:pt>
                <c:pt idx="36">
                  <c:v>1065</c:v>
                </c:pt>
                <c:pt idx="37">
                  <c:v>1096</c:v>
                </c:pt>
                <c:pt idx="38">
                  <c:v>1124</c:v>
                </c:pt>
                <c:pt idx="39">
                  <c:v>1155</c:v>
                </c:pt>
                <c:pt idx="40">
                  <c:v>1185</c:v>
                </c:pt>
                <c:pt idx="41">
                  <c:v>1216</c:v>
                </c:pt>
                <c:pt idx="42">
                  <c:v>1246</c:v>
                </c:pt>
              </c:strCache>
            </c:strRef>
          </c:xVal>
          <c:yVal>
            <c:numRef>
              <c:f>'Well_A-8'!$O$1:$O$43</c:f>
              <c:numCache>
                <c:formatCode>General</c:formatCode>
                <c:ptCount val="43"/>
                <c:pt idx="0">
                  <c:v>0</c:v>
                </c:pt>
                <c:pt idx="1">
                  <c:v>0.1287683343816893</c:v>
                </c:pt>
                <c:pt idx="2">
                  <c:v>5.4496599659643673E-2</c:v>
                </c:pt>
                <c:pt idx="3">
                  <c:v>1.7938614128946727E-2</c:v>
                </c:pt>
                <c:pt idx="4">
                  <c:v>1.6484973447720104E-2</c:v>
                </c:pt>
                <c:pt idx="5">
                  <c:v>1.7752519775602833E-2</c:v>
                </c:pt>
                <c:pt idx="6">
                  <c:v>1.9051561513041285E-2</c:v>
                </c:pt>
                <c:pt idx="7">
                  <c:v>2.1960609605636276E-2</c:v>
                </c:pt>
                <c:pt idx="8">
                  <c:v>1.721021043496241E-2</c:v>
                </c:pt>
                <c:pt idx="9">
                  <c:v>1.5817232025747922E-2</c:v>
                </c:pt>
                <c:pt idx="10">
                  <c:v>2.6952866706558224E-2</c:v>
                </c:pt>
                <c:pt idx="11">
                  <c:v>6.4455276659717814E-2</c:v>
                </c:pt>
                <c:pt idx="12">
                  <c:v>8.8050499213728983E-2</c:v>
                </c:pt>
                <c:pt idx="13">
                  <c:v>9.4171080103473567E-2</c:v>
                </c:pt>
                <c:pt idx="14">
                  <c:v>0.11207736309934077</c:v>
                </c:pt>
                <c:pt idx="15">
                  <c:v>0.13654406193172991</c:v>
                </c:pt>
                <c:pt idx="16">
                  <c:v>0.13622840207815998</c:v>
                </c:pt>
                <c:pt idx="17">
                  <c:v>0.21154024853938802</c:v>
                </c:pt>
                <c:pt idx="18">
                  <c:v>0.22548110200188431</c:v>
                </c:pt>
                <c:pt idx="19">
                  <c:v>0.26599818135296283</c:v>
                </c:pt>
                <c:pt idx="20">
                  <c:v>0.30436793660226114</c:v>
                </c:pt>
                <c:pt idx="21">
                  <c:v>0.3176505831592103</c:v>
                </c:pt>
                <c:pt idx="22">
                  <c:v>0.36226945401912147</c:v>
                </c:pt>
                <c:pt idx="23">
                  <c:v>0.50899811910946668</c:v>
                </c:pt>
                <c:pt idx="24">
                  <c:v>0.59424518742556043</c:v>
                </c:pt>
                <c:pt idx="25">
                  <c:v>0.567460476319948</c:v>
                </c:pt>
                <c:pt idx="26">
                  <c:v>0.58619133295617609</c:v>
                </c:pt>
                <c:pt idx="27">
                  <c:v>0.63638507189729654</c:v>
                </c:pt>
                <c:pt idx="28">
                  <c:v>0.5989820891179316</c:v>
                </c:pt>
                <c:pt idx="29">
                  <c:v>0.69049228635762805</c:v>
                </c:pt>
                <c:pt idx="30">
                  <c:v>0.78648479522330272</c:v>
                </c:pt>
                <c:pt idx="31">
                  <c:v>0.72924861600535995</c:v>
                </c:pt>
                <c:pt idx="32">
                  <c:v>0.69931892320478428</c:v>
                </c:pt>
                <c:pt idx="33">
                  <c:v>0.72689773709835603</c:v>
                </c:pt>
                <c:pt idx="34">
                  <c:v>0.73605416462627526</c:v>
                </c:pt>
                <c:pt idx="35">
                  <c:v>0.71741944000642166</c:v>
                </c:pt>
                <c:pt idx="36">
                  <c:v>0.83845973827061415</c:v>
                </c:pt>
                <c:pt idx="37">
                  <c:v>0.92193513771599245</c:v>
                </c:pt>
                <c:pt idx="38">
                  <c:v>1.0448621389217352</c:v>
                </c:pt>
                <c:pt idx="39">
                  <c:v>1.0352386492535144</c:v>
                </c:pt>
                <c:pt idx="40">
                  <c:v>1.0124520815530502</c:v>
                </c:pt>
                <c:pt idx="41">
                  <c:v>1.0995716387755321</c:v>
                </c:pt>
                <c:pt idx="42">
                  <c:v>1.1511570827346085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EE-444A-BE42-F2600E32C704}"/>
            </c:ext>
          </c:extLst>
        </c:ser>
        <c:ser>
          <c:idx val="2"/>
          <c:order val="1"/>
          <c:tx>
            <c:v>WOR'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'Well_A-8'!$N$1:$N$43</c:f>
              <c:strCache>
                <c:ptCount val="43"/>
                <c:pt idx="0">
                  <c:v>TIME</c:v>
                </c:pt>
                <c:pt idx="1">
                  <c:v>0</c:v>
                </c:pt>
                <c:pt idx="2">
                  <c:v>28</c:v>
                </c:pt>
                <c:pt idx="3">
                  <c:v>59</c:v>
                </c:pt>
                <c:pt idx="4">
                  <c:v>89</c:v>
                </c:pt>
                <c:pt idx="5">
                  <c:v>120</c:v>
                </c:pt>
                <c:pt idx="6">
                  <c:v>150</c:v>
                </c:pt>
                <c:pt idx="7">
                  <c:v>181</c:v>
                </c:pt>
                <c:pt idx="8">
                  <c:v>212</c:v>
                </c:pt>
                <c:pt idx="9">
                  <c:v>242</c:v>
                </c:pt>
                <c:pt idx="10">
                  <c:v>273</c:v>
                </c:pt>
                <c:pt idx="11">
                  <c:v>303</c:v>
                </c:pt>
                <c:pt idx="12">
                  <c:v>334</c:v>
                </c:pt>
                <c:pt idx="13">
                  <c:v>365</c:v>
                </c:pt>
                <c:pt idx="14">
                  <c:v>393</c:v>
                </c:pt>
                <c:pt idx="15">
                  <c:v>424</c:v>
                </c:pt>
                <c:pt idx="16">
                  <c:v>454</c:v>
                </c:pt>
                <c:pt idx="17">
                  <c:v>485</c:v>
                </c:pt>
                <c:pt idx="18">
                  <c:v>515</c:v>
                </c:pt>
                <c:pt idx="19">
                  <c:v>546</c:v>
                </c:pt>
                <c:pt idx="20">
                  <c:v>577</c:v>
                </c:pt>
                <c:pt idx="21">
                  <c:v>607</c:v>
                </c:pt>
                <c:pt idx="22">
                  <c:v>638</c:v>
                </c:pt>
                <c:pt idx="23">
                  <c:v>668</c:v>
                </c:pt>
                <c:pt idx="24">
                  <c:v>699</c:v>
                </c:pt>
                <c:pt idx="25">
                  <c:v>730</c:v>
                </c:pt>
                <c:pt idx="26">
                  <c:v>759</c:v>
                </c:pt>
                <c:pt idx="27">
                  <c:v>790</c:v>
                </c:pt>
                <c:pt idx="28">
                  <c:v>820</c:v>
                </c:pt>
                <c:pt idx="29">
                  <c:v>851</c:v>
                </c:pt>
                <c:pt idx="30">
                  <c:v>881</c:v>
                </c:pt>
                <c:pt idx="31">
                  <c:v>912</c:v>
                </c:pt>
                <c:pt idx="32">
                  <c:v>943</c:v>
                </c:pt>
                <c:pt idx="33">
                  <c:v>973</c:v>
                </c:pt>
                <c:pt idx="34">
                  <c:v>1004</c:v>
                </c:pt>
                <c:pt idx="35">
                  <c:v>1034</c:v>
                </c:pt>
                <c:pt idx="36">
                  <c:v>1065</c:v>
                </c:pt>
                <c:pt idx="37">
                  <c:v>1096</c:v>
                </c:pt>
                <c:pt idx="38">
                  <c:v>1124</c:v>
                </c:pt>
                <c:pt idx="39">
                  <c:v>1155</c:v>
                </c:pt>
                <c:pt idx="40">
                  <c:v>1185</c:v>
                </c:pt>
                <c:pt idx="41">
                  <c:v>1216</c:v>
                </c:pt>
                <c:pt idx="42">
                  <c:v>1246</c:v>
                </c:pt>
              </c:strCache>
            </c:strRef>
          </c:xVal>
          <c:yVal>
            <c:numRef>
              <c:f>'Well_A-8'!$R:$R</c:f>
              <c:numCache>
                <c:formatCode>General</c:formatCode>
                <c:ptCount val="1048576"/>
                <c:pt idx="0">
                  <c:v>0</c:v>
                </c:pt>
                <c:pt idx="1">
                  <c:v>-2.6525619543587725E-3</c:v>
                </c:pt>
                <c:pt idx="2">
                  <c:v>-1.1792898558289338E-3</c:v>
                </c:pt>
                <c:pt idx="3">
                  <c:v>-4.8454689374220761E-5</c:v>
                </c:pt>
                <c:pt idx="4">
                  <c:v>4.0888591222023526E-5</c:v>
                </c:pt>
                <c:pt idx="5">
                  <c:v>4.3301391247948377E-5</c:v>
                </c:pt>
                <c:pt idx="6">
                  <c:v>9.3840261051451339E-5</c:v>
                </c:pt>
                <c:pt idx="7">
                  <c:v>-1.5323868292496342E-4</c:v>
                </c:pt>
                <c:pt idx="8">
                  <c:v>-4.6432613640482942E-5</c:v>
                </c:pt>
                <c:pt idx="9">
                  <c:v>3.5921402196162263E-4</c:v>
                </c:pt>
                <c:pt idx="10">
                  <c:v>1.2500803317719864E-3</c:v>
                </c:pt>
                <c:pt idx="11">
                  <c:v>7.6113621141971511E-4</c:v>
                </c:pt>
                <c:pt idx="12">
                  <c:v>1.9743809321756724E-4</c:v>
                </c:pt>
                <c:pt idx="13">
                  <c:v>6.3951010699525731E-4</c:v>
                </c:pt>
                <c:pt idx="14">
                  <c:v>7.8924834943190766E-4</c:v>
                </c:pt>
                <c:pt idx="15">
                  <c:v>-1.0521995118997763E-5</c:v>
                </c:pt>
                <c:pt idx="16">
                  <c:v>2.4294144019750981E-3</c:v>
                </c:pt>
                <c:pt idx="17">
                  <c:v>4.6469511541654313E-4</c:v>
                </c:pt>
                <c:pt idx="18">
                  <c:v>1.30700255971221E-3</c:v>
                </c:pt>
                <c:pt idx="19">
                  <c:v>1.2377340402999456E-3</c:v>
                </c:pt>
                <c:pt idx="20">
                  <c:v>4.4275488523163876E-4</c:v>
                </c:pt>
                <c:pt idx="21">
                  <c:v>1.4393184148358443E-3</c:v>
                </c:pt>
                <c:pt idx="22">
                  <c:v>4.8909555030115072E-3</c:v>
                </c:pt>
                <c:pt idx="23">
                  <c:v>2.7499054295514109E-3</c:v>
                </c:pt>
                <c:pt idx="24">
                  <c:v>-8.640229388907234E-4</c:v>
                </c:pt>
                <c:pt idx="25">
                  <c:v>6.4589160814579609E-4</c:v>
                </c:pt>
                <c:pt idx="26">
                  <c:v>1.6191528690684014E-3</c:v>
                </c:pt>
                <c:pt idx="27">
                  <c:v>-1.2467660926454979E-3</c:v>
                </c:pt>
                <c:pt idx="28">
                  <c:v>2.9519418464418207E-3</c:v>
                </c:pt>
                <c:pt idx="29">
                  <c:v>3.1997502955224892E-3</c:v>
                </c:pt>
                <c:pt idx="30">
                  <c:v>-1.8463283618691216E-3</c:v>
                </c:pt>
                <c:pt idx="31">
                  <c:v>-9.6547396130889252E-4</c:v>
                </c:pt>
                <c:pt idx="32">
                  <c:v>9.1929379645239173E-4</c:v>
                </c:pt>
                <c:pt idx="33">
                  <c:v>2.9536862993287844E-4</c:v>
                </c:pt>
                <c:pt idx="34">
                  <c:v>-6.2115748732845353E-4</c:v>
                </c:pt>
                <c:pt idx="35">
                  <c:v>3.9045257504578225E-3</c:v>
                </c:pt>
                <c:pt idx="36">
                  <c:v>2.6927548208186547E-3</c:v>
                </c:pt>
                <c:pt idx="37">
                  <c:v>4.3902500430622405E-3</c:v>
                </c:pt>
                <c:pt idx="38">
                  <c:v>-3.1043515058776764E-4</c:v>
                </c:pt>
                <c:pt idx="39">
                  <c:v>-7.595522566821389E-4</c:v>
                </c:pt>
                <c:pt idx="40">
                  <c:v>2.8103082974994154E-3</c:v>
                </c:pt>
                <c:pt idx="41">
                  <c:v>1.7195147986358793E-3</c:v>
                </c:pt>
                <c:pt idx="42">
                  <c:v>9.2388208887207745E-4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EE-444A-BE42-F2600E32C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964464"/>
        <c:axId val="1916966864"/>
      </c:scatterChart>
      <c:valAx>
        <c:axId val="19169644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966864"/>
        <c:crosses val="autoZero"/>
        <c:crossBetween val="midCat"/>
      </c:valAx>
      <c:valAx>
        <c:axId val="19169668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7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96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EXPONENTIAL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PRODUCTION HISTORY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'Well_A-8'!$W$2:$W$43</c:f>
              <c:numCache>
                <c:formatCode>General</c:formatCode>
                <c:ptCount val="42"/>
                <c:pt idx="0">
                  <c:v>0</c:v>
                </c:pt>
                <c:pt idx="1">
                  <c:v>0.93333333333333335</c:v>
                </c:pt>
                <c:pt idx="2">
                  <c:v>1.9666666666666666</c:v>
                </c:pt>
                <c:pt idx="3">
                  <c:v>2.9666666666666668</c:v>
                </c:pt>
                <c:pt idx="4">
                  <c:v>4</c:v>
                </c:pt>
                <c:pt idx="5">
                  <c:v>5</c:v>
                </c:pt>
                <c:pt idx="6">
                  <c:v>6.0333333333333332</c:v>
                </c:pt>
                <c:pt idx="7">
                  <c:v>7.0666666666666664</c:v>
                </c:pt>
                <c:pt idx="8">
                  <c:v>8.0666666666666664</c:v>
                </c:pt>
                <c:pt idx="9">
                  <c:v>9.1</c:v>
                </c:pt>
                <c:pt idx="10">
                  <c:v>10.1</c:v>
                </c:pt>
                <c:pt idx="11">
                  <c:v>11.133333333333333</c:v>
                </c:pt>
                <c:pt idx="12">
                  <c:v>12.166666666666666</c:v>
                </c:pt>
                <c:pt idx="13">
                  <c:v>13.1</c:v>
                </c:pt>
                <c:pt idx="14">
                  <c:v>14.133333333333333</c:v>
                </c:pt>
                <c:pt idx="15">
                  <c:v>15.133333333333333</c:v>
                </c:pt>
                <c:pt idx="16">
                  <c:v>16.166666666666668</c:v>
                </c:pt>
                <c:pt idx="17">
                  <c:v>17.166666666666668</c:v>
                </c:pt>
                <c:pt idx="18">
                  <c:v>18.2</c:v>
                </c:pt>
                <c:pt idx="19">
                  <c:v>19.233333333333334</c:v>
                </c:pt>
                <c:pt idx="20">
                  <c:v>20.233333333333334</c:v>
                </c:pt>
                <c:pt idx="21">
                  <c:v>21.266666666666666</c:v>
                </c:pt>
                <c:pt idx="22">
                  <c:v>22.266666666666666</c:v>
                </c:pt>
                <c:pt idx="23">
                  <c:v>23.3</c:v>
                </c:pt>
                <c:pt idx="24">
                  <c:v>24.333333333333332</c:v>
                </c:pt>
                <c:pt idx="25">
                  <c:v>25.3</c:v>
                </c:pt>
                <c:pt idx="26">
                  <c:v>26.333333333333332</c:v>
                </c:pt>
                <c:pt idx="27">
                  <c:v>27.333333333333332</c:v>
                </c:pt>
                <c:pt idx="28">
                  <c:v>28.366666666666667</c:v>
                </c:pt>
                <c:pt idx="29">
                  <c:v>29.366666666666667</c:v>
                </c:pt>
                <c:pt idx="30">
                  <c:v>30.4</c:v>
                </c:pt>
                <c:pt idx="31">
                  <c:v>31.433333333333334</c:v>
                </c:pt>
                <c:pt idx="32">
                  <c:v>32.43333333333333</c:v>
                </c:pt>
                <c:pt idx="33">
                  <c:v>33.466666666666669</c:v>
                </c:pt>
                <c:pt idx="34">
                  <c:v>34.466666666666669</c:v>
                </c:pt>
                <c:pt idx="35">
                  <c:v>35.5</c:v>
                </c:pt>
                <c:pt idx="36">
                  <c:v>36.533333333333331</c:v>
                </c:pt>
                <c:pt idx="37">
                  <c:v>37.466666666666669</c:v>
                </c:pt>
                <c:pt idx="38">
                  <c:v>38.5</c:v>
                </c:pt>
                <c:pt idx="39">
                  <c:v>39.5</c:v>
                </c:pt>
                <c:pt idx="40">
                  <c:v>40.533333333333331</c:v>
                </c:pt>
                <c:pt idx="41">
                  <c:v>41.533333333333331</c:v>
                </c:pt>
              </c:numCache>
            </c:numRef>
          </c:xVal>
          <c:yVal>
            <c:numRef>
              <c:f>'Well_A-8'!$G$2:$G$43</c:f>
              <c:numCache>
                <c:formatCode>0</c:formatCode>
                <c:ptCount val="42"/>
                <c:pt idx="0">
                  <c:v>13047.413</c:v>
                </c:pt>
                <c:pt idx="1">
                  <c:v>19237.486000000001</c:v>
                </c:pt>
                <c:pt idx="2">
                  <c:v>22150.992999999999</c:v>
                </c:pt>
                <c:pt idx="3">
                  <c:v>27372.978999999999</c:v>
                </c:pt>
                <c:pt idx="4">
                  <c:v>26595.523000000001</c:v>
                </c:pt>
                <c:pt idx="5">
                  <c:v>28900.334999999999</c:v>
                </c:pt>
                <c:pt idx="6">
                  <c:v>29035.098999999998</c:v>
                </c:pt>
                <c:pt idx="7">
                  <c:v>29154.565999999999</c:v>
                </c:pt>
                <c:pt idx="8">
                  <c:v>31012.708999999999</c:v>
                </c:pt>
                <c:pt idx="9">
                  <c:v>27061.699000000001</c:v>
                </c:pt>
                <c:pt idx="10">
                  <c:v>28192.684000000001</c:v>
                </c:pt>
                <c:pt idx="11">
                  <c:v>29842.128000000001</c:v>
                </c:pt>
                <c:pt idx="12">
                  <c:v>26205.73</c:v>
                </c:pt>
                <c:pt idx="13">
                  <c:v>29702.157999999999</c:v>
                </c:pt>
                <c:pt idx="14">
                  <c:v>28401.467000000001</c:v>
                </c:pt>
                <c:pt idx="15">
                  <c:v>26013.011999999999</c:v>
                </c:pt>
                <c:pt idx="16">
                  <c:v>27150.948</c:v>
                </c:pt>
                <c:pt idx="17">
                  <c:v>27576.069</c:v>
                </c:pt>
                <c:pt idx="18">
                  <c:v>26384.449000000001</c:v>
                </c:pt>
                <c:pt idx="19">
                  <c:v>25309.42</c:v>
                </c:pt>
                <c:pt idx="20">
                  <c:v>26142.432000000001</c:v>
                </c:pt>
                <c:pt idx="21">
                  <c:v>24202.440999999999</c:v>
                </c:pt>
                <c:pt idx="22">
                  <c:v>23871.670999999998</c:v>
                </c:pt>
                <c:pt idx="23">
                  <c:v>22238.669000000002</c:v>
                </c:pt>
                <c:pt idx="24">
                  <c:v>21214.396000000001</c:v>
                </c:pt>
                <c:pt idx="25">
                  <c:v>22545.865000000002</c:v>
                </c:pt>
                <c:pt idx="26">
                  <c:v>21957.432000000001</c:v>
                </c:pt>
                <c:pt idx="27">
                  <c:v>21238.15</c:v>
                </c:pt>
                <c:pt idx="28">
                  <c:v>18637.044999999998</c:v>
                </c:pt>
                <c:pt idx="29">
                  <c:v>19077.952000000001</c:v>
                </c:pt>
                <c:pt idx="30">
                  <c:v>20752.248</c:v>
                </c:pt>
                <c:pt idx="31">
                  <c:v>19313.012999999999</c:v>
                </c:pt>
                <c:pt idx="32">
                  <c:v>19171.800999999999</c:v>
                </c:pt>
                <c:pt idx="33">
                  <c:v>18448.258000000002</c:v>
                </c:pt>
                <c:pt idx="34">
                  <c:v>18026.670999999998</c:v>
                </c:pt>
                <c:pt idx="35">
                  <c:v>17623.088</c:v>
                </c:pt>
                <c:pt idx="36">
                  <c:v>15689.317999999999</c:v>
                </c:pt>
                <c:pt idx="37">
                  <c:v>17519.331999999999</c:v>
                </c:pt>
                <c:pt idx="38">
                  <c:v>15352.074000000001</c:v>
                </c:pt>
                <c:pt idx="39">
                  <c:v>16410.079000000002</c:v>
                </c:pt>
                <c:pt idx="40">
                  <c:v>16128.541999999999</c:v>
                </c:pt>
                <c:pt idx="41">
                  <c:v>15649.231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A4-4238-95DD-3E83F2DC8B5D}"/>
            </c:ext>
          </c:extLst>
        </c:ser>
        <c:ser>
          <c:idx val="1"/>
          <c:order val="1"/>
          <c:tx>
            <c:v>NEW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7.2325334310718928E-3"/>
                  <c:y val="-0.1230792682310825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41400e</a:t>
                    </a:r>
                    <a:r>
                      <a:rPr lang="en-US" sz="1200" baseline="30000"/>
                      <a:t>-0.024x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0.8397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'Well_A-8'!$W$32:$W$43</c:f>
              <c:numCache>
                <c:formatCode>General</c:formatCode>
                <c:ptCount val="12"/>
                <c:pt idx="0">
                  <c:v>30.4</c:v>
                </c:pt>
                <c:pt idx="1">
                  <c:v>31.433333333333334</c:v>
                </c:pt>
                <c:pt idx="2">
                  <c:v>32.43333333333333</c:v>
                </c:pt>
                <c:pt idx="3">
                  <c:v>33.466666666666669</c:v>
                </c:pt>
                <c:pt idx="4">
                  <c:v>34.466666666666669</c:v>
                </c:pt>
                <c:pt idx="5">
                  <c:v>35.5</c:v>
                </c:pt>
                <c:pt idx="6">
                  <c:v>36.533333333333331</c:v>
                </c:pt>
                <c:pt idx="7">
                  <c:v>37.466666666666669</c:v>
                </c:pt>
                <c:pt idx="8">
                  <c:v>38.5</c:v>
                </c:pt>
                <c:pt idx="9">
                  <c:v>39.5</c:v>
                </c:pt>
                <c:pt idx="10">
                  <c:v>40.533333333333331</c:v>
                </c:pt>
                <c:pt idx="11">
                  <c:v>41.533333333333331</c:v>
                </c:pt>
              </c:numCache>
            </c:numRef>
          </c:xVal>
          <c:yVal>
            <c:numRef>
              <c:f>'Well_A-8'!$G$32:$G$43</c:f>
              <c:numCache>
                <c:formatCode>0</c:formatCode>
                <c:ptCount val="12"/>
                <c:pt idx="0">
                  <c:v>20752.248</c:v>
                </c:pt>
                <c:pt idx="1">
                  <c:v>19313.012999999999</c:v>
                </c:pt>
                <c:pt idx="2">
                  <c:v>19171.800999999999</c:v>
                </c:pt>
                <c:pt idx="3">
                  <c:v>18448.258000000002</c:v>
                </c:pt>
                <c:pt idx="4">
                  <c:v>18026.670999999998</c:v>
                </c:pt>
                <c:pt idx="5">
                  <c:v>17623.088</c:v>
                </c:pt>
                <c:pt idx="6">
                  <c:v>15689.317999999999</c:v>
                </c:pt>
                <c:pt idx="7">
                  <c:v>17519.331999999999</c:v>
                </c:pt>
                <c:pt idx="8">
                  <c:v>15352.074000000001</c:v>
                </c:pt>
                <c:pt idx="9">
                  <c:v>16410.079000000002</c:v>
                </c:pt>
                <c:pt idx="10">
                  <c:v>16128.541999999999</c:v>
                </c:pt>
                <c:pt idx="11">
                  <c:v>15649.231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A4-4238-95DD-3E83F2DC8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910848"/>
        <c:axId val="788916608"/>
      </c:scatterChart>
      <c:valAx>
        <c:axId val="78891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16608"/>
        <c:crosses val="autoZero"/>
        <c:crossBetween val="midCat"/>
      </c:valAx>
      <c:valAx>
        <c:axId val="7889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FLOW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1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'Well_A-9'!$N$42:$O$42</c:f>
              <c:strCache>
                <c:ptCount val="2"/>
                <c:pt idx="0">
                  <c:v>1218</c:v>
                </c:pt>
                <c:pt idx="1">
                  <c:v>3.679904309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'Well_A-9'!$P$1:$P$41</c:f>
              <c:strCache>
                <c:ptCount val="41"/>
                <c:pt idx="0">
                  <c:v>WOR'</c:v>
                </c:pt>
                <c:pt idx="1">
                  <c:v> </c:v>
                </c:pt>
                <c:pt idx="2">
                  <c:v>0.23731528</c:v>
                </c:pt>
                <c:pt idx="3">
                  <c:v>0.759936067</c:v>
                </c:pt>
                <c:pt idx="4">
                  <c:v>1.053375181</c:v>
                </c:pt>
                <c:pt idx="5">
                  <c:v>0.027212412</c:v>
                </c:pt>
                <c:pt idx="6">
                  <c:v>-0.01545532</c:v>
                </c:pt>
                <c:pt idx="7">
                  <c:v>-0.398786458</c:v>
                </c:pt>
                <c:pt idx="8">
                  <c:v>0.387181386</c:v>
                </c:pt>
                <c:pt idx="9">
                  <c:v>2.599663435</c:v>
                </c:pt>
                <c:pt idx="10">
                  <c:v>1.789253738</c:v>
                </c:pt>
                <c:pt idx="11">
                  <c:v>1.484577947</c:v>
                </c:pt>
                <c:pt idx="12">
                  <c:v>0.117582997</c:v>
                </c:pt>
                <c:pt idx="13">
                  <c:v>-1.123534077</c:v>
                </c:pt>
                <c:pt idx="14">
                  <c:v>2.725090796</c:v>
                </c:pt>
                <c:pt idx="15">
                  <c:v>1.486388185</c:v>
                </c:pt>
                <c:pt idx="16">
                  <c:v>-1.753207931</c:v>
                </c:pt>
                <c:pt idx="17">
                  <c:v>0.725404867</c:v>
                </c:pt>
                <c:pt idx="18">
                  <c:v>-1.091312519</c:v>
                </c:pt>
                <c:pt idx="19">
                  <c:v>-0.655703411</c:v>
                </c:pt>
                <c:pt idx="20">
                  <c:v>7.066777045</c:v>
                </c:pt>
                <c:pt idx="21">
                  <c:v>11.45234604</c:v>
                </c:pt>
                <c:pt idx="22">
                  <c:v>0.391265103</c:v>
                </c:pt>
                <c:pt idx="23">
                  <c:v>-4.851969871</c:v>
                </c:pt>
                <c:pt idx="24">
                  <c:v>-0.924455126</c:v>
                </c:pt>
                <c:pt idx="25">
                  <c:v>10.48804299</c:v>
                </c:pt>
                <c:pt idx="26">
                  <c:v>16.47047625</c:v>
                </c:pt>
                <c:pt idx="27">
                  <c:v>2.486143898</c:v>
                </c:pt>
                <c:pt idx="28">
                  <c:v>-11.31927046</c:v>
                </c:pt>
                <c:pt idx="29">
                  <c:v>-18.94812387</c:v>
                </c:pt>
                <c:pt idx="30">
                  <c:v>-4.490179389</c:v>
                </c:pt>
                <c:pt idx="31">
                  <c:v>5.684729942</c:v>
                </c:pt>
                <c:pt idx="32">
                  <c:v>-7.377523883</c:v>
                </c:pt>
                <c:pt idx="33">
                  <c:v>-0.930380263</c:v>
                </c:pt>
                <c:pt idx="34">
                  <c:v>11.13201963</c:v>
                </c:pt>
                <c:pt idx="35">
                  <c:v>10.57458837</c:v>
                </c:pt>
                <c:pt idx="36">
                  <c:v>4.829409685</c:v>
                </c:pt>
                <c:pt idx="37">
                  <c:v>-0.603412242</c:v>
                </c:pt>
                <c:pt idx="38">
                  <c:v>13.24196615</c:v>
                </c:pt>
                <c:pt idx="39">
                  <c:v>14.49512011</c:v>
                </c:pt>
                <c:pt idx="40">
                  <c:v> </c:v>
                </c:pt>
              </c:strCache>
            </c:strRef>
          </c:xVal>
          <c:yVal>
            <c:numRef>
              <c:f>'Well_A-9'!$P$42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AD-4681-B2AF-880B85806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471376"/>
        <c:axId val="2083471856"/>
      </c:scatterChart>
      <c:valAx>
        <c:axId val="208347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71856"/>
        <c:crosses val="autoZero"/>
        <c:crossBetween val="midCat"/>
      </c:valAx>
      <c:valAx>
        <c:axId val="20834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7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'Well_A-9'!$N$42:$O$42</c:f>
              <c:strCache>
                <c:ptCount val="2"/>
                <c:pt idx="0">
                  <c:v>1218</c:v>
                </c:pt>
                <c:pt idx="1">
                  <c:v>3.679904309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'Well_A-9'!$P$1:$P$41</c:f>
              <c:strCache>
                <c:ptCount val="41"/>
                <c:pt idx="0">
                  <c:v>WOR'</c:v>
                </c:pt>
                <c:pt idx="1">
                  <c:v> </c:v>
                </c:pt>
                <c:pt idx="2">
                  <c:v>0.23731528</c:v>
                </c:pt>
                <c:pt idx="3">
                  <c:v>0.759936067</c:v>
                </c:pt>
                <c:pt idx="4">
                  <c:v>1.053375181</c:v>
                </c:pt>
                <c:pt idx="5">
                  <c:v>0.027212412</c:v>
                </c:pt>
                <c:pt idx="6">
                  <c:v>-0.01545532</c:v>
                </c:pt>
                <c:pt idx="7">
                  <c:v>-0.398786458</c:v>
                </c:pt>
                <c:pt idx="8">
                  <c:v>0.387181386</c:v>
                </c:pt>
                <c:pt idx="9">
                  <c:v>2.599663435</c:v>
                </c:pt>
                <c:pt idx="10">
                  <c:v>1.789253738</c:v>
                </c:pt>
                <c:pt idx="11">
                  <c:v>1.484577947</c:v>
                </c:pt>
                <c:pt idx="12">
                  <c:v>0.117582997</c:v>
                </c:pt>
                <c:pt idx="13">
                  <c:v>-1.123534077</c:v>
                </c:pt>
                <c:pt idx="14">
                  <c:v>2.725090796</c:v>
                </c:pt>
                <c:pt idx="15">
                  <c:v>1.486388185</c:v>
                </c:pt>
                <c:pt idx="16">
                  <c:v>-1.753207931</c:v>
                </c:pt>
                <c:pt idx="17">
                  <c:v>0.725404867</c:v>
                </c:pt>
                <c:pt idx="18">
                  <c:v>-1.091312519</c:v>
                </c:pt>
                <c:pt idx="19">
                  <c:v>-0.655703411</c:v>
                </c:pt>
                <c:pt idx="20">
                  <c:v>7.066777045</c:v>
                </c:pt>
                <c:pt idx="21">
                  <c:v>11.45234604</c:v>
                </c:pt>
                <c:pt idx="22">
                  <c:v>0.391265103</c:v>
                </c:pt>
                <c:pt idx="23">
                  <c:v>-4.851969871</c:v>
                </c:pt>
                <c:pt idx="24">
                  <c:v>-0.924455126</c:v>
                </c:pt>
                <c:pt idx="25">
                  <c:v>10.48804299</c:v>
                </c:pt>
                <c:pt idx="26">
                  <c:v>16.47047625</c:v>
                </c:pt>
                <c:pt idx="27">
                  <c:v>2.486143898</c:v>
                </c:pt>
                <c:pt idx="28">
                  <c:v>-11.31927046</c:v>
                </c:pt>
                <c:pt idx="29">
                  <c:v>-18.94812387</c:v>
                </c:pt>
                <c:pt idx="30">
                  <c:v>-4.490179389</c:v>
                </c:pt>
                <c:pt idx="31">
                  <c:v>5.684729942</c:v>
                </c:pt>
                <c:pt idx="32">
                  <c:v>-7.377523883</c:v>
                </c:pt>
                <c:pt idx="33">
                  <c:v>-0.930380263</c:v>
                </c:pt>
                <c:pt idx="34">
                  <c:v>11.13201963</c:v>
                </c:pt>
                <c:pt idx="35">
                  <c:v>10.57458837</c:v>
                </c:pt>
                <c:pt idx="36">
                  <c:v>4.829409685</c:v>
                </c:pt>
                <c:pt idx="37">
                  <c:v>-0.603412242</c:v>
                </c:pt>
                <c:pt idx="38">
                  <c:v>13.24196615</c:v>
                </c:pt>
                <c:pt idx="39">
                  <c:v>14.49512011</c:v>
                </c:pt>
                <c:pt idx="40">
                  <c:v> </c:v>
                </c:pt>
              </c:strCache>
            </c:strRef>
          </c:xVal>
          <c:yVal>
            <c:numRef>
              <c:f>'Well_A-9'!$P$42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62-40AE-A9B0-861472ECB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091632"/>
        <c:axId val="412092592"/>
      </c:scatterChart>
      <c:valAx>
        <c:axId val="41209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92592"/>
        <c:crosses val="autoZero"/>
        <c:crossBetween val="midCat"/>
      </c:valAx>
      <c:valAx>
        <c:axId val="41209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916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'Well_A-9'!$N$42:$O$42</c:f>
              <c:strCache>
                <c:ptCount val="2"/>
                <c:pt idx="0">
                  <c:v>1218</c:v>
                </c:pt>
                <c:pt idx="1">
                  <c:v>3.679904309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'Well_A-9'!$P$1:$P$41</c:f>
              <c:strCache>
                <c:ptCount val="41"/>
                <c:pt idx="0">
                  <c:v>WOR'</c:v>
                </c:pt>
                <c:pt idx="1">
                  <c:v> </c:v>
                </c:pt>
                <c:pt idx="2">
                  <c:v>0.23731528</c:v>
                </c:pt>
                <c:pt idx="3">
                  <c:v>0.759936067</c:v>
                </c:pt>
                <c:pt idx="4">
                  <c:v>1.053375181</c:v>
                </c:pt>
                <c:pt idx="5">
                  <c:v>0.027212412</c:v>
                </c:pt>
                <c:pt idx="6">
                  <c:v>-0.01545532</c:v>
                </c:pt>
                <c:pt idx="7">
                  <c:v>-0.398786458</c:v>
                </c:pt>
                <c:pt idx="8">
                  <c:v>0.387181386</c:v>
                </c:pt>
                <c:pt idx="9">
                  <c:v>2.599663435</c:v>
                </c:pt>
                <c:pt idx="10">
                  <c:v>1.789253738</c:v>
                </c:pt>
                <c:pt idx="11">
                  <c:v>1.484577947</c:v>
                </c:pt>
                <c:pt idx="12">
                  <c:v>0.117582997</c:v>
                </c:pt>
                <c:pt idx="13">
                  <c:v>-1.123534077</c:v>
                </c:pt>
                <c:pt idx="14">
                  <c:v>2.725090796</c:v>
                </c:pt>
                <c:pt idx="15">
                  <c:v>1.486388185</c:v>
                </c:pt>
                <c:pt idx="16">
                  <c:v>-1.753207931</c:v>
                </c:pt>
                <c:pt idx="17">
                  <c:v>0.725404867</c:v>
                </c:pt>
                <c:pt idx="18">
                  <c:v>-1.091312519</c:v>
                </c:pt>
                <c:pt idx="19">
                  <c:v>-0.655703411</c:v>
                </c:pt>
                <c:pt idx="20">
                  <c:v>7.066777045</c:v>
                </c:pt>
                <c:pt idx="21">
                  <c:v>11.45234604</c:v>
                </c:pt>
                <c:pt idx="22">
                  <c:v>0.391265103</c:v>
                </c:pt>
                <c:pt idx="23">
                  <c:v>-4.851969871</c:v>
                </c:pt>
                <c:pt idx="24">
                  <c:v>-0.924455126</c:v>
                </c:pt>
                <c:pt idx="25">
                  <c:v>10.48804299</c:v>
                </c:pt>
                <c:pt idx="26">
                  <c:v>16.47047625</c:v>
                </c:pt>
                <c:pt idx="27">
                  <c:v>2.486143898</c:v>
                </c:pt>
                <c:pt idx="28">
                  <c:v>-11.31927046</c:v>
                </c:pt>
                <c:pt idx="29">
                  <c:v>-18.94812387</c:v>
                </c:pt>
                <c:pt idx="30">
                  <c:v>-4.490179389</c:v>
                </c:pt>
                <c:pt idx="31">
                  <c:v>5.684729942</c:v>
                </c:pt>
                <c:pt idx="32">
                  <c:v>-7.377523883</c:v>
                </c:pt>
                <c:pt idx="33">
                  <c:v>-0.930380263</c:v>
                </c:pt>
                <c:pt idx="34">
                  <c:v>11.13201963</c:v>
                </c:pt>
                <c:pt idx="35">
                  <c:v>10.57458837</c:v>
                </c:pt>
                <c:pt idx="36">
                  <c:v>4.829409685</c:v>
                </c:pt>
                <c:pt idx="37">
                  <c:v>-0.603412242</c:v>
                </c:pt>
                <c:pt idx="38">
                  <c:v>13.24196615</c:v>
                </c:pt>
                <c:pt idx="39">
                  <c:v>14.49512011</c:v>
                </c:pt>
                <c:pt idx="40">
                  <c:v> </c:v>
                </c:pt>
              </c:strCache>
            </c:strRef>
          </c:xVal>
          <c:yVal>
            <c:numRef>
              <c:f>'Well_A-9'!$P$42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46-4B15-8A23-499BB5F76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891360"/>
        <c:axId val="61164512"/>
      </c:scatterChart>
      <c:valAx>
        <c:axId val="34689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4512"/>
        <c:crosses val="autoZero"/>
        <c:crossBetween val="midCat"/>
      </c:valAx>
      <c:valAx>
        <c:axId val="6116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9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11952304"/>
        <c:axId val="411955184"/>
      </c:scatterChart>
      <c:valAx>
        <c:axId val="41195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55184"/>
        <c:crosses val="autoZero"/>
        <c:crossBetween val="midCat"/>
      </c:valAx>
      <c:valAx>
        <c:axId val="4119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5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'Well_A-9'!$O$1:$O$2</c:f>
              <c:strCache>
                <c:ptCount val="2"/>
                <c:pt idx="0">
                  <c:v>WOR</c:v>
                </c:pt>
                <c:pt idx="1">
                  <c:v>0.278513007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'Well_A-9'!$N$3:$N$43</c:f>
              <c:numCache>
                <c:formatCode>General</c:formatCode>
                <c:ptCount val="41"/>
                <c:pt idx="0">
                  <c:v>31</c:v>
                </c:pt>
                <c:pt idx="1">
                  <c:v>61</c:v>
                </c:pt>
                <c:pt idx="2">
                  <c:v>92</c:v>
                </c:pt>
                <c:pt idx="3">
                  <c:v>122</c:v>
                </c:pt>
                <c:pt idx="4">
                  <c:v>153</c:v>
                </c:pt>
                <c:pt idx="5">
                  <c:v>184</c:v>
                </c:pt>
                <c:pt idx="6">
                  <c:v>214</c:v>
                </c:pt>
                <c:pt idx="7">
                  <c:v>245</c:v>
                </c:pt>
                <c:pt idx="8">
                  <c:v>275</c:v>
                </c:pt>
                <c:pt idx="9">
                  <c:v>306</c:v>
                </c:pt>
                <c:pt idx="10">
                  <c:v>337</c:v>
                </c:pt>
                <c:pt idx="11">
                  <c:v>365</c:v>
                </c:pt>
                <c:pt idx="12">
                  <c:v>396</c:v>
                </c:pt>
                <c:pt idx="13">
                  <c:v>426</c:v>
                </c:pt>
                <c:pt idx="14">
                  <c:v>457</c:v>
                </c:pt>
                <c:pt idx="15">
                  <c:v>487</c:v>
                </c:pt>
                <c:pt idx="16">
                  <c:v>518</c:v>
                </c:pt>
                <c:pt idx="17">
                  <c:v>549</c:v>
                </c:pt>
                <c:pt idx="18">
                  <c:v>579</c:v>
                </c:pt>
                <c:pt idx="19">
                  <c:v>610</c:v>
                </c:pt>
                <c:pt idx="20">
                  <c:v>640</c:v>
                </c:pt>
                <c:pt idx="21">
                  <c:v>671</c:v>
                </c:pt>
                <c:pt idx="22">
                  <c:v>702</c:v>
                </c:pt>
                <c:pt idx="23">
                  <c:v>731</c:v>
                </c:pt>
                <c:pt idx="24">
                  <c:v>762</c:v>
                </c:pt>
                <c:pt idx="25">
                  <c:v>792</c:v>
                </c:pt>
                <c:pt idx="26">
                  <c:v>823</c:v>
                </c:pt>
                <c:pt idx="27">
                  <c:v>853</c:v>
                </c:pt>
                <c:pt idx="28">
                  <c:v>884</c:v>
                </c:pt>
                <c:pt idx="29">
                  <c:v>915</c:v>
                </c:pt>
                <c:pt idx="30">
                  <c:v>945</c:v>
                </c:pt>
                <c:pt idx="31">
                  <c:v>976</c:v>
                </c:pt>
                <c:pt idx="32">
                  <c:v>1006</c:v>
                </c:pt>
                <c:pt idx="33">
                  <c:v>1037</c:v>
                </c:pt>
                <c:pt idx="34">
                  <c:v>1068</c:v>
                </c:pt>
                <c:pt idx="35">
                  <c:v>1096</c:v>
                </c:pt>
                <c:pt idx="36">
                  <c:v>1127</c:v>
                </c:pt>
                <c:pt idx="37">
                  <c:v>1157</c:v>
                </c:pt>
                <c:pt idx="38">
                  <c:v>1188</c:v>
                </c:pt>
                <c:pt idx="39">
                  <c:v>1218</c:v>
                </c:pt>
              </c:numCache>
            </c:numRef>
          </c:xVal>
          <c:yVal>
            <c:numRef>
              <c:f>'Well_A-9'!$O$3:$O$43</c:f>
              <c:numCache>
                <c:formatCode>General</c:formatCode>
                <c:ptCount val="41"/>
                <c:pt idx="0">
                  <c:v>0.28377207279310374</c:v>
                </c:pt>
                <c:pt idx="1">
                  <c:v>0.39404849470574238</c:v>
                </c:pt>
                <c:pt idx="2">
                  <c:v>0.54192395992565123</c:v>
                </c:pt>
                <c:pt idx="3">
                  <c:v>0.92079603687328271</c:v>
                </c:pt>
                <c:pt idx="4">
                  <c:v>1.0777225551348137</c:v>
                </c:pt>
                <c:pt idx="5">
                  <c:v>0.93197801746004449</c:v>
                </c:pt>
                <c:pt idx="6">
                  <c:v>1.0725367066028895</c:v>
                </c:pt>
                <c:pt idx="7">
                  <c:v>0.81779650067770548</c:v>
                </c:pt>
                <c:pt idx="8">
                  <c:v>1.1696398942647586</c:v>
                </c:pt>
                <c:pt idx="9">
                  <c:v>1.3957715908628621</c:v>
                </c:pt>
                <c:pt idx="10">
                  <c:v>1.5334163509134175</c:v>
                </c:pt>
                <c:pt idx="11">
                  <c:v>1.657520871375918</c:v>
                </c:pt>
                <c:pt idx="12">
                  <c:v>1.5523861663910319</c:v>
                </c:pt>
                <c:pt idx="13">
                  <c:v>1.4838876763328726</c:v>
                </c:pt>
                <c:pt idx="14">
                  <c:v>1.942807689227962</c:v>
                </c:pt>
                <c:pt idx="15">
                  <c:v>1.6828032434537668</c:v>
                </c:pt>
                <c:pt idx="16">
                  <c:v>1.7231450216921194</c:v>
                </c:pt>
                <c:pt idx="17">
                  <c:v>1.7697316413039113</c:v>
                </c:pt>
                <c:pt idx="18">
                  <c:v>1.6016522160409559</c:v>
                </c:pt>
                <c:pt idx="19">
                  <c:v>1.7006463918200676</c:v>
                </c:pt>
                <c:pt idx="20">
                  <c:v>2.3095008768649072</c:v>
                </c:pt>
                <c:pt idx="21">
                  <c:v>2.7921715523542603</c:v>
                </c:pt>
                <c:pt idx="22">
                  <c:v>2.3456792936570716</c:v>
                </c:pt>
                <c:pt idx="23">
                  <c:v>2.3766278785735619</c:v>
                </c:pt>
                <c:pt idx="24">
                  <c:v>2.2698618152089147</c:v>
                </c:pt>
                <c:pt idx="25">
                  <c:v>3.2172228352752392</c:v>
                </c:pt>
                <c:pt idx="26">
                  <c:v>3.5382473441922939</c:v>
                </c:pt>
                <c:pt idx="27">
                  <c:v>3.4016901272607813</c:v>
                </c:pt>
                <c:pt idx="28">
                  <c:v>2.7289097498913635</c:v>
                </c:pt>
                <c:pt idx="29">
                  <c:v>2.0722041531931836</c:v>
                </c:pt>
                <c:pt idx="30">
                  <c:v>2.4292896664469987</c:v>
                </c:pt>
                <c:pt idx="31">
                  <c:v>2.4390882166978569</c:v>
                </c:pt>
                <c:pt idx="32">
                  <c:v>1.9678076706273833</c:v>
                </c:pt>
                <c:pt idx="33">
                  <c:v>2.382684265080337</c:v>
                </c:pt>
                <c:pt idx="34">
                  <c:v>2.6335655504848283</c:v>
                </c:pt>
                <c:pt idx="35">
                  <c:v>2.9678318544547051</c:v>
                </c:pt>
                <c:pt idx="36">
                  <c:v>2.8932501268974513</c:v>
                </c:pt>
                <c:pt idx="37">
                  <c:v>2.9351490804767941</c:v>
                </c:pt>
                <c:pt idx="38">
                  <c:v>3.591260459759587</c:v>
                </c:pt>
                <c:pt idx="39">
                  <c:v>3.6799043085576941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5D-4719-8BB6-4EF902DF3A51}"/>
            </c:ext>
          </c:extLst>
        </c:ser>
        <c:ser>
          <c:idx val="1"/>
          <c:order val="1"/>
          <c:tx>
            <c:strRef>
              <c:f>'Well_A-9'!$P$1:$P$2</c:f>
              <c:strCache>
                <c:ptCount val="2"/>
                <c:pt idx="0">
                  <c:v>WOR'</c:v>
                </c:pt>
                <c:pt idx="1">
                  <c:v> 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'Well_A-9'!$N$3:$N$43</c:f>
              <c:numCache>
                <c:formatCode>General</c:formatCode>
                <c:ptCount val="41"/>
                <c:pt idx="0">
                  <c:v>31</c:v>
                </c:pt>
                <c:pt idx="1">
                  <c:v>61</c:v>
                </c:pt>
                <c:pt idx="2">
                  <c:v>92</c:v>
                </c:pt>
                <c:pt idx="3">
                  <c:v>122</c:v>
                </c:pt>
                <c:pt idx="4">
                  <c:v>153</c:v>
                </c:pt>
                <c:pt idx="5">
                  <c:v>184</c:v>
                </c:pt>
                <c:pt idx="6">
                  <c:v>214</c:v>
                </c:pt>
                <c:pt idx="7">
                  <c:v>245</c:v>
                </c:pt>
                <c:pt idx="8">
                  <c:v>275</c:v>
                </c:pt>
                <c:pt idx="9">
                  <c:v>306</c:v>
                </c:pt>
                <c:pt idx="10">
                  <c:v>337</c:v>
                </c:pt>
                <c:pt idx="11">
                  <c:v>365</c:v>
                </c:pt>
                <c:pt idx="12">
                  <c:v>396</c:v>
                </c:pt>
                <c:pt idx="13">
                  <c:v>426</c:v>
                </c:pt>
                <c:pt idx="14">
                  <c:v>457</c:v>
                </c:pt>
                <c:pt idx="15">
                  <c:v>487</c:v>
                </c:pt>
                <c:pt idx="16">
                  <c:v>518</c:v>
                </c:pt>
                <c:pt idx="17">
                  <c:v>549</c:v>
                </c:pt>
                <c:pt idx="18">
                  <c:v>579</c:v>
                </c:pt>
                <c:pt idx="19">
                  <c:v>610</c:v>
                </c:pt>
                <c:pt idx="20">
                  <c:v>640</c:v>
                </c:pt>
                <c:pt idx="21">
                  <c:v>671</c:v>
                </c:pt>
                <c:pt idx="22">
                  <c:v>702</c:v>
                </c:pt>
                <c:pt idx="23">
                  <c:v>731</c:v>
                </c:pt>
                <c:pt idx="24">
                  <c:v>762</c:v>
                </c:pt>
                <c:pt idx="25">
                  <c:v>792</c:v>
                </c:pt>
                <c:pt idx="26">
                  <c:v>823</c:v>
                </c:pt>
                <c:pt idx="27">
                  <c:v>853</c:v>
                </c:pt>
                <c:pt idx="28">
                  <c:v>884</c:v>
                </c:pt>
                <c:pt idx="29">
                  <c:v>915</c:v>
                </c:pt>
                <c:pt idx="30">
                  <c:v>945</c:v>
                </c:pt>
                <c:pt idx="31">
                  <c:v>976</c:v>
                </c:pt>
                <c:pt idx="32">
                  <c:v>1006</c:v>
                </c:pt>
                <c:pt idx="33">
                  <c:v>1037</c:v>
                </c:pt>
                <c:pt idx="34">
                  <c:v>1068</c:v>
                </c:pt>
                <c:pt idx="35">
                  <c:v>1096</c:v>
                </c:pt>
                <c:pt idx="36">
                  <c:v>1127</c:v>
                </c:pt>
                <c:pt idx="37">
                  <c:v>1157</c:v>
                </c:pt>
                <c:pt idx="38">
                  <c:v>1188</c:v>
                </c:pt>
                <c:pt idx="39">
                  <c:v>1218</c:v>
                </c:pt>
              </c:numCache>
            </c:numRef>
          </c:xVal>
          <c:yVal>
            <c:numRef>
              <c:f>'Well_A-9'!$P$3:$P$43</c:f>
              <c:numCache>
                <c:formatCode>General</c:formatCode>
                <c:ptCount val="41"/>
                <c:pt idx="0">
                  <c:v>0.23731527983283954</c:v>
                </c:pt>
                <c:pt idx="1">
                  <c:v>0.75993606688556037</c:v>
                </c:pt>
                <c:pt idx="2">
                  <c:v>1.0533751810902541</c:v>
                </c:pt>
                <c:pt idx="3">
                  <c:v>2.7212412299638191E-2</c:v>
                </c:pt>
                <c:pt idx="4">
                  <c:v>-1.5455319769599012E-2</c:v>
                </c:pt>
                <c:pt idx="5">
                  <c:v>-0.39878645775629901</c:v>
                </c:pt>
                <c:pt idx="6">
                  <c:v>0.38718138584649486</c:v>
                </c:pt>
                <c:pt idx="7">
                  <c:v>2.599663434889643</c:v>
                </c:pt>
                <c:pt idx="8">
                  <c:v>1.7892537381769638</c:v>
                </c:pt>
                <c:pt idx="9">
                  <c:v>1.4845779467565605</c:v>
                </c:pt>
                <c:pt idx="10">
                  <c:v>0.11758299674768886</c:v>
                </c:pt>
                <c:pt idx="11">
                  <c:v>-1.12353407655903</c:v>
                </c:pt>
                <c:pt idx="12">
                  <c:v>2.7250907963507118</c:v>
                </c:pt>
                <c:pt idx="13">
                  <c:v>1.486388185040828</c:v>
                </c:pt>
                <c:pt idx="14">
                  <c:v>-1.7532079312599105</c:v>
                </c:pt>
                <c:pt idx="15">
                  <c:v>0.72540486724712328</c:v>
                </c:pt>
                <c:pt idx="16">
                  <c:v>-1.091312519429976</c:v>
                </c:pt>
                <c:pt idx="17">
                  <c:v>-0.65570341083188877</c:v>
                </c:pt>
                <c:pt idx="18">
                  <c:v>7.0667770448398866</c:v>
                </c:pt>
                <c:pt idx="19">
                  <c:v>11.452346042942455</c:v>
                </c:pt>
                <c:pt idx="20">
                  <c:v>0.39126510260119385</c:v>
                </c:pt>
                <c:pt idx="21">
                  <c:v>-4.85196987145744</c:v>
                </c:pt>
                <c:pt idx="22">
                  <c:v>-0.92445512594978663</c:v>
                </c:pt>
                <c:pt idx="23">
                  <c:v>10.488042985608756</c:v>
                </c:pt>
                <c:pt idx="24">
                  <c:v>16.470476251917717</c:v>
                </c:pt>
                <c:pt idx="25">
                  <c:v>2.4861438980766164</c:v>
                </c:pt>
                <c:pt idx="26">
                  <c:v>-11.319270455050036</c:v>
                </c:pt>
                <c:pt idx="27">
                  <c:v>-18.948123867442401</c:v>
                </c:pt>
                <c:pt idx="28">
                  <c:v>-4.4901793889329795</c:v>
                </c:pt>
                <c:pt idx="29">
                  <c:v>5.6847299417137069</c:v>
                </c:pt>
                <c:pt idx="30">
                  <c:v>-7.3775238825741027</c:v>
                </c:pt>
                <c:pt idx="31">
                  <c:v>-0.93038026345640057</c:v>
                </c:pt>
                <c:pt idx="32">
                  <c:v>11.132019631965891</c:v>
                </c:pt>
                <c:pt idx="33">
                  <c:v>10.574588372850044</c:v>
                </c:pt>
                <c:pt idx="34">
                  <c:v>4.8294096850477537</c:v>
                </c:pt>
                <c:pt idx="35">
                  <c:v>-0.60341224231248358</c:v>
                </c:pt>
                <c:pt idx="36">
                  <c:v>13.241966151947086</c:v>
                </c:pt>
                <c:pt idx="37">
                  <c:v>14.495120107344853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5D-4719-8BB6-4EF902DF3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58048"/>
        <c:axId val="313461408"/>
      </c:scatterChart>
      <c:valAx>
        <c:axId val="31345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61408"/>
        <c:crosses val="autoZero"/>
        <c:crossBetween val="midCat"/>
      </c:valAx>
      <c:valAx>
        <c:axId val="31346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5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'Well_A-9'!$O$1:$O$2</c:f>
              <c:strCache>
                <c:ptCount val="2"/>
                <c:pt idx="0">
                  <c:v>WOR</c:v>
                </c:pt>
                <c:pt idx="1">
                  <c:v>0.278513007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'Well_A-9'!$N$3:$N$43</c:f>
              <c:numCache>
                <c:formatCode>General</c:formatCode>
                <c:ptCount val="41"/>
                <c:pt idx="0">
                  <c:v>31</c:v>
                </c:pt>
                <c:pt idx="1">
                  <c:v>61</c:v>
                </c:pt>
                <c:pt idx="2">
                  <c:v>92</c:v>
                </c:pt>
                <c:pt idx="3">
                  <c:v>122</c:v>
                </c:pt>
                <c:pt idx="4">
                  <c:v>153</c:v>
                </c:pt>
                <c:pt idx="5">
                  <c:v>184</c:v>
                </c:pt>
                <c:pt idx="6">
                  <c:v>214</c:v>
                </c:pt>
                <c:pt idx="7">
                  <c:v>245</c:v>
                </c:pt>
                <c:pt idx="8">
                  <c:v>275</c:v>
                </c:pt>
                <c:pt idx="9">
                  <c:v>306</c:v>
                </c:pt>
                <c:pt idx="10">
                  <c:v>337</c:v>
                </c:pt>
                <c:pt idx="11">
                  <c:v>365</c:v>
                </c:pt>
                <c:pt idx="12">
                  <c:v>396</c:v>
                </c:pt>
                <c:pt idx="13">
                  <c:v>426</c:v>
                </c:pt>
                <c:pt idx="14">
                  <c:v>457</c:v>
                </c:pt>
                <c:pt idx="15">
                  <c:v>487</c:v>
                </c:pt>
                <c:pt idx="16">
                  <c:v>518</c:v>
                </c:pt>
                <c:pt idx="17">
                  <c:v>549</c:v>
                </c:pt>
                <c:pt idx="18">
                  <c:v>579</c:v>
                </c:pt>
                <c:pt idx="19">
                  <c:v>610</c:v>
                </c:pt>
                <c:pt idx="20">
                  <c:v>640</c:v>
                </c:pt>
                <c:pt idx="21">
                  <c:v>671</c:v>
                </c:pt>
                <c:pt idx="22">
                  <c:v>702</c:v>
                </c:pt>
                <c:pt idx="23">
                  <c:v>731</c:v>
                </c:pt>
                <c:pt idx="24">
                  <c:v>762</c:v>
                </c:pt>
                <c:pt idx="25">
                  <c:v>792</c:v>
                </c:pt>
                <c:pt idx="26">
                  <c:v>823</c:v>
                </c:pt>
                <c:pt idx="27">
                  <c:v>853</c:v>
                </c:pt>
                <c:pt idx="28">
                  <c:v>884</c:v>
                </c:pt>
                <c:pt idx="29">
                  <c:v>915</c:v>
                </c:pt>
                <c:pt idx="30">
                  <c:v>945</c:v>
                </c:pt>
                <c:pt idx="31">
                  <c:v>976</c:v>
                </c:pt>
                <c:pt idx="32">
                  <c:v>1006</c:v>
                </c:pt>
                <c:pt idx="33">
                  <c:v>1037</c:v>
                </c:pt>
                <c:pt idx="34">
                  <c:v>1068</c:v>
                </c:pt>
                <c:pt idx="35">
                  <c:v>1096</c:v>
                </c:pt>
                <c:pt idx="36">
                  <c:v>1127</c:v>
                </c:pt>
                <c:pt idx="37">
                  <c:v>1157</c:v>
                </c:pt>
                <c:pt idx="38">
                  <c:v>1188</c:v>
                </c:pt>
                <c:pt idx="39">
                  <c:v>1218</c:v>
                </c:pt>
              </c:numCache>
            </c:numRef>
          </c:xVal>
          <c:yVal>
            <c:numRef>
              <c:f>'Well_A-9'!$O$3:$O$43</c:f>
              <c:numCache>
                <c:formatCode>General</c:formatCode>
                <c:ptCount val="41"/>
                <c:pt idx="0">
                  <c:v>0.28377207279310374</c:v>
                </c:pt>
                <c:pt idx="1">
                  <c:v>0.39404849470574238</c:v>
                </c:pt>
                <c:pt idx="2">
                  <c:v>0.54192395992565123</c:v>
                </c:pt>
                <c:pt idx="3">
                  <c:v>0.92079603687328271</c:v>
                </c:pt>
                <c:pt idx="4">
                  <c:v>1.0777225551348137</c:v>
                </c:pt>
                <c:pt idx="5">
                  <c:v>0.93197801746004449</c:v>
                </c:pt>
                <c:pt idx="6">
                  <c:v>1.0725367066028895</c:v>
                </c:pt>
                <c:pt idx="7">
                  <c:v>0.81779650067770548</c:v>
                </c:pt>
                <c:pt idx="8">
                  <c:v>1.1696398942647586</c:v>
                </c:pt>
                <c:pt idx="9">
                  <c:v>1.3957715908628621</c:v>
                </c:pt>
                <c:pt idx="10">
                  <c:v>1.5334163509134175</c:v>
                </c:pt>
                <c:pt idx="11">
                  <c:v>1.657520871375918</c:v>
                </c:pt>
                <c:pt idx="12">
                  <c:v>1.5523861663910319</c:v>
                </c:pt>
                <c:pt idx="13">
                  <c:v>1.4838876763328726</c:v>
                </c:pt>
                <c:pt idx="14">
                  <c:v>1.942807689227962</c:v>
                </c:pt>
                <c:pt idx="15">
                  <c:v>1.6828032434537668</c:v>
                </c:pt>
                <c:pt idx="16">
                  <c:v>1.7231450216921194</c:v>
                </c:pt>
                <c:pt idx="17">
                  <c:v>1.7697316413039113</c:v>
                </c:pt>
                <c:pt idx="18">
                  <c:v>1.6016522160409559</c:v>
                </c:pt>
                <c:pt idx="19">
                  <c:v>1.7006463918200676</c:v>
                </c:pt>
                <c:pt idx="20">
                  <c:v>2.3095008768649072</c:v>
                </c:pt>
                <c:pt idx="21">
                  <c:v>2.7921715523542603</c:v>
                </c:pt>
                <c:pt idx="22">
                  <c:v>2.3456792936570716</c:v>
                </c:pt>
                <c:pt idx="23">
                  <c:v>2.3766278785735619</c:v>
                </c:pt>
                <c:pt idx="24">
                  <c:v>2.2698618152089147</c:v>
                </c:pt>
                <c:pt idx="25">
                  <c:v>3.2172228352752392</c:v>
                </c:pt>
                <c:pt idx="26">
                  <c:v>3.5382473441922939</c:v>
                </c:pt>
                <c:pt idx="27">
                  <c:v>3.4016901272607813</c:v>
                </c:pt>
                <c:pt idx="28">
                  <c:v>2.7289097498913635</c:v>
                </c:pt>
                <c:pt idx="29">
                  <c:v>2.0722041531931836</c:v>
                </c:pt>
                <c:pt idx="30">
                  <c:v>2.4292896664469987</c:v>
                </c:pt>
                <c:pt idx="31">
                  <c:v>2.4390882166978569</c:v>
                </c:pt>
                <c:pt idx="32">
                  <c:v>1.9678076706273833</c:v>
                </c:pt>
                <c:pt idx="33">
                  <c:v>2.382684265080337</c:v>
                </c:pt>
                <c:pt idx="34">
                  <c:v>2.6335655504848283</c:v>
                </c:pt>
                <c:pt idx="35">
                  <c:v>2.9678318544547051</c:v>
                </c:pt>
                <c:pt idx="36">
                  <c:v>2.8932501268974513</c:v>
                </c:pt>
                <c:pt idx="37">
                  <c:v>2.9351490804767941</c:v>
                </c:pt>
                <c:pt idx="38">
                  <c:v>3.591260459759587</c:v>
                </c:pt>
                <c:pt idx="39">
                  <c:v>3.6799043085576941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65-48BF-9F51-789FBAEEB23E}"/>
            </c:ext>
          </c:extLst>
        </c:ser>
        <c:ser>
          <c:idx val="1"/>
          <c:order val="1"/>
          <c:tx>
            <c:strRef>
              <c:f>'Well_A-9'!$P$1:$P$2</c:f>
              <c:strCache>
                <c:ptCount val="2"/>
                <c:pt idx="0">
                  <c:v>WOR'</c:v>
                </c:pt>
                <c:pt idx="1">
                  <c:v>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'Well_A-9'!$N$3:$N$43</c:f>
              <c:numCache>
                <c:formatCode>General</c:formatCode>
                <c:ptCount val="41"/>
                <c:pt idx="0">
                  <c:v>31</c:v>
                </c:pt>
                <c:pt idx="1">
                  <c:v>61</c:v>
                </c:pt>
                <c:pt idx="2">
                  <c:v>92</c:v>
                </c:pt>
                <c:pt idx="3">
                  <c:v>122</c:v>
                </c:pt>
                <c:pt idx="4">
                  <c:v>153</c:v>
                </c:pt>
                <c:pt idx="5">
                  <c:v>184</c:v>
                </c:pt>
                <c:pt idx="6">
                  <c:v>214</c:v>
                </c:pt>
                <c:pt idx="7">
                  <c:v>245</c:v>
                </c:pt>
                <c:pt idx="8">
                  <c:v>275</c:v>
                </c:pt>
                <c:pt idx="9">
                  <c:v>306</c:v>
                </c:pt>
                <c:pt idx="10">
                  <c:v>337</c:v>
                </c:pt>
                <c:pt idx="11">
                  <c:v>365</c:v>
                </c:pt>
                <c:pt idx="12">
                  <c:v>396</c:v>
                </c:pt>
                <c:pt idx="13">
                  <c:v>426</c:v>
                </c:pt>
                <c:pt idx="14">
                  <c:v>457</c:v>
                </c:pt>
                <c:pt idx="15">
                  <c:v>487</c:v>
                </c:pt>
                <c:pt idx="16">
                  <c:v>518</c:v>
                </c:pt>
                <c:pt idx="17">
                  <c:v>549</c:v>
                </c:pt>
                <c:pt idx="18">
                  <c:v>579</c:v>
                </c:pt>
                <c:pt idx="19">
                  <c:v>610</c:v>
                </c:pt>
                <c:pt idx="20">
                  <c:v>640</c:v>
                </c:pt>
                <c:pt idx="21">
                  <c:v>671</c:v>
                </c:pt>
                <c:pt idx="22">
                  <c:v>702</c:v>
                </c:pt>
                <c:pt idx="23">
                  <c:v>731</c:v>
                </c:pt>
                <c:pt idx="24">
                  <c:v>762</c:v>
                </c:pt>
                <c:pt idx="25">
                  <c:v>792</c:v>
                </c:pt>
                <c:pt idx="26">
                  <c:v>823</c:v>
                </c:pt>
                <c:pt idx="27">
                  <c:v>853</c:v>
                </c:pt>
                <c:pt idx="28">
                  <c:v>884</c:v>
                </c:pt>
                <c:pt idx="29">
                  <c:v>915</c:v>
                </c:pt>
                <c:pt idx="30">
                  <c:v>945</c:v>
                </c:pt>
                <c:pt idx="31">
                  <c:v>976</c:v>
                </c:pt>
                <c:pt idx="32">
                  <c:v>1006</c:v>
                </c:pt>
                <c:pt idx="33">
                  <c:v>1037</c:v>
                </c:pt>
                <c:pt idx="34">
                  <c:v>1068</c:v>
                </c:pt>
                <c:pt idx="35">
                  <c:v>1096</c:v>
                </c:pt>
                <c:pt idx="36">
                  <c:v>1127</c:v>
                </c:pt>
                <c:pt idx="37">
                  <c:v>1157</c:v>
                </c:pt>
                <c:pt idx="38">
                  <c:v>1188</c:v>
                </c:pt>
                <c:pt idx="39">
                  <c:v>1218</c:v>
                </c:pt>
              </c:numCache>
            </c:numRef>
          </c:xVal>
          <c:yVal>
            <c:numRef>
              <c:f>'Well_A-9'!$P$3:$P$43</c:f>
              <c:numCache>
                <c:formatCode>General</c:formatCode>
                <c:ptCount val="41"/>
                <c:pt idx="0">
                  <c:v>0.23731527983283954</c:v>
                </c:pt>
                <c:pt idx="1">
                  <c:v>0.75993606688556037</c:v>
                </c:pt>
                <c:pt idx="2">
                  <c:v>1.0533751810902541</c:v>
                </c:pt>
                <c:pt idx="3">
                  <c:v>2.7212412299638191E-2</c:v>
                </c:pt>
                <c:pt idx="4">
                  <c:v>-1.5455319769599012E-2</c:v>
                </c:pt>
                <c:pt idx="5">
                  <c:v>-0.39878645775629901</c:v>
                </c:pt>
                <c:pt idx="6">
                  <c:v>0.38718138584649486</c:v>
                </c:pt>
                <c:pt idx="7">
                  <c:v>2.599663434889643</c:v>
                </c:pt>
                <c:pt idx="8">
                  <c:v>1.7892537381769638</c:v>
                </c:pt>
                <c:pt idx="9">
                  <c:v>1.4845779467565605</c:v>
                </c:pt>
                <c:pt idx="10">
                  <c:v>0.11758299674768886</c:v>
                </c:pt>
                <c:pt idx="11">
                  <c:v>-1.12353407655903</c:v>
                </c:pt>
                <c:pt idx="12">
                  <c:v>2.7250907963507118</c:v>
                </c:pt>
                <c:pt idx="13">
                  <c:v>1.486388185040828</c:v>
                </c:pt>
                <c:pt idx="14">
                  <c:v>-1.7532079312599105</c:v>
                </c:pt>
                <c:pt idx="15">
                  <c:v>0.72540486724712328</c:v>
                </c:pt>
                <c:pt idx="16">
                  <c:v>-1.091312519429976</c:v>
                </c:pt>
                <c:pt idx="17">
                  <c:v>-0.65570341083188877</c:v>
                </c:pt>
                <c:pt idx="18">
                  <c:v>7.0667770448398866</c:v>
                </c:pt>
                <c:pt idx="19">
                  <c:v>11.452346042942455</c:v>
                </c:pt>
                <c:pt idx="20">
                  <c:v>0.39126510260119385</c:v>
                </c:pt>
                <c:pt idx="21">
                  <c:v>-4.85196987145744</c:v>
                </c:pt>
                <c:pt idx="22">
                  <c:v>-0.92445512594978663</c:v>
                </c:pt>
                <c:pt idx="23">
                  <c:v>10.488042985608756</c:v>
                </c:pt>
                <c:pt idx="24">
                  <c:v>16.470476251917717</c:v>
                </c:pt>
                <c:pt idx="25">
                  <c:v>2.4861438980766164</c:v>
                </c:pt>
                <c:pt idx="26">
                  <c:v>-11.319270455050036</c:v>
                </c:pt>
                <c:pt idx="27">
                  <c:v>-18.948123867442401</c:v>
                </c:pt>
                <c:pt idx="28">
                  <c:v>-4.4901793889329795</c:v>
                </c:pt>
                <c:pt idx="29">
                  <c:v>5.6847299417137069</c:v>
                </c:pt>
                <c:pt idx="30">
                  <c:v>-7.3775238825741027</c:v>
                </c:pt>
                <c:pt idx="31">
                  <c:v>-0.93038026345640057</c:v>
                </c:pt>
                <c:pt idx="32">
                  <c:v>11.132019631965891</c:v>
                </c:pt>
                <c:pt idx="33">
                  <c:v>10.574588372850044</c:v>
                </c:pt>
                <c:pt idx="34">
                  <c:v>4.8294096850477537</c:v>
                </c:pt>
                <c:pt idx="35">
                  <c:v>-0.60341224231248358</c:v>
                </c:pt>
                <c:pt idx="36">
                  <c:v>13.241966151947086</c:v>
                </c:pt>
                <c:pt idx="37">
                  <c:v>14.495120107344853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65-48BF-9F51-789FBAEEB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437664"/>
        <c:axId val="308603984"/>
      </c:scatterChart>
      <c:valAx>
        <c:axId val="31043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03984"/>
        <c:crosses val="autoZero"/>
        <c:crossBetween val="midCat"/>
      </c:valAx>
      <c:valAx>
        <c:axId val="3086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43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'Well_A-9'!$N$42:$O$42</c:f>
              <c:strCache>
                <c:ptCount val="2"/>
                <c:pt idx="0">
                  <c:v>1218</c:v>
                </c:pt>
                <c:pt idx="1">
                  <c:v>3.679904309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'Well_A-9'!$P$1:$P$41</c:f>
              <c:strCache>
                <c:ptCount val="41"/>
                <c:pt idx="0">
                  <c:v>WOR'</c:v>
                </c:pt>
                <c:pt idx="1">
                  <c:v> </c:v>
                </c:pt>
                <c:pt idx="2">
                  <c:v>0.23731528</c:v>
                </c:pt>
                <c:pt idx="3">
                  <c:v>0.759936067</c:v>
                </c:pt>
                <c:pt idx="4">
                  <c:v>1.053375181</c:v>
                </c:pt>
                <c:pt idx="5">
                  <c:v>0.027212412</c:v>
                </c:pt>
                <c:pt idx="6">
                  <c:v>-0.01545532</c:v>
                </c:pt>
                <c:pt idx="7">
                  <c:v>-0.398786458</c:v>
                </c:pt>
                <c:pt idx="8">
                  <c:v>0.387181386</c:v>
                </c:pt>
                <c:pt idx="9">
                  <c:v>2.599663435</c:v>
                </c:pt>
                <c:pt idx="10">
                  <c:v>1.789253738</c:v>
                </c:pt>
                <c:pt idx="11">
                  <c:v>1.484577947</c:v>
                </c:pt>
                <c:pt idx="12">
                  <c:v>0.117582997</c:v>
                </c:pt>
                <c:pt idx="13">
                  <c:v>-1.123534077</c:v>
                </c:pt>
                <c:pt idx="14">
                  <c:v>2.725090796</c:v>
                </c:pt>
                <c:pt idx="15">
                  <c:v>1.486388185</c:v>
                </c:pt>
                <c:pt idx="16">
                  <c:v>-1.753207931</c:v>
                </c:pt>
                <c:pt idx="17">
                  <c:v>0.725404867</c:v>
                </c:pt>
                <c:pt idx="18">
                  <c:v>-1.091312519</c:v>
                </c:pt>
                <c:pt idx="19">
                  <c:v>-0.655703411</c:v>
                </c:pt>
                <c:pt idx="20">
                  <c:v>7.066777045</c:v>
                </c:pt>
                <c:pt idx="21">
                  <c:v>11.45234604</c:v>
                </c:pt>
                <c:pt idx="22">
                  <c:v>0.391265103</c:v>
                </c:pt>
                <c:pt idx="23">
                  <c:v>-4.851969871</c:v>
                </c:pt>
                <c:pt idx="24">
                  <c:v>-0.924455126</c:v>
                </c:pt>
                <c:pt idx="25">
                  <c:v>10.48804299</c:v>
                </c:pt>
                <c:pt idx="26">
                  <c:v>16.47047625</c:v>
                </c:pt>
                <c:pt idx="27">
                  <c:v>2.486143898</c:v>
                </c:pt>
                <c:pt idx="28">
                  <c:v>-11.31927046</c:v>
                </c:pt>
                <c:pt idx="29">
                  <c:v>-18.94812387</c:v>
                </c:pt>
                <c:pt idx="30">
                  <c:v>-4.490179389</c:v>
                </c:pt>
                <c:pt idx="31">
                  <c:v>5.684729942</c:v>
                </c:pt>
                <c:pt idx="32">
                  <c:v>-7.377523883</c:v>
                </c:pt>
                <c:pt idx="33">
                  <c:v>-0.930380263</c:v>
                </c:pt>
                <c:pt idx="34">
                  <c:v>11.13201963</c:v>
                </c:pt>
                <c:pt idx="35">
                  <c:v>10.57458837</c:v>
                </c:pt>
                <c:pt idx="36">
                  <c:v>4.829409685</c:v>
                </c:pt>
                <c:pt idx="37">
                  <c:v>-0.603412242</c:v>
                </c:pt>
                <c:pt idx="38">
                  <c:v>13.24196615</c:v>
                </c:pt>
                <c:pt idx="39">
                  <c:v>14.49512011</c:v>
                </c:pt>
                <c:pt idx="40">
                  <c:v> </c:v>
                </c:pt>
              </c:strCache>
            </c:strRef>
          </c:xVal>
          <c:yVal>
            <c:numRef>
              <c:f>'Well_A-9'!$P$42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1B-40A2-B999-3214433F0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018672"/>
        <c:axId val="338021552"/>
      </c:scatterChart>
      <c:valAx>
        <c:axId val="33801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21552"/>
        <c:crosses val="autoZero"/>
        <c:crossBetween val="midCat"/>
      </c:valAx>
      <c:valAx>
        <c:axId val="33802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1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'Well_A-9'!$N$42:$O$42</c:f>
              <c:strCache>
                <c:ptCount val="2"/>
                <c:pt idx="0">
                  <c:v>1218</c:v>
                </c:pt>
                <c:pt idx="1">
                  <c:v>3.679904309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'Well_A-9'!$P$1:$P$41</c:f>
              <c:strCache>
                <c:ptCount val="41"/>
                <c:pt idx="0">
                  <c:v>WOR'</c:v>
                </c:pt>
                <c:pt idx="1">
                  <c:v> </c:v>
                </c:pt>
                <c:pt idx="2">
                  <c:v>0.23731528</c:v>
                </c:pt>
                <c:pt idx="3">
                  <c:v>0.759936067</c:v>
                </c:pt>
                <c:pt idx="4">
                  <c:v>1.053375181</c:v>
                </c:pt>
                <c:pt idx="5">
                  <c:v>0.027212412</c:v>
                </c:pt>
                <c:pt idx="6">
                  <c:v>-0.01545532</c:v>
                </c:pt>
                <c:pt idx="7">
                  <c:v>-0.398786458</c:v>
                </c:pt>
                <c:pt idx="8">
                  <c:v>0.387181386</c:v>
                </c:pt>
                <c:pt idx="9">
                  <c:v>2.599663435</c:v>
                </c:pt>
                <c:pt idx="10">
                  <c:v>1.789253738</c:v>
                </c:pt>
                <c:pt idx="11">
                  <c:v>1.484577947</c:v>
                </c:pt>
                <c:pt idx="12">
                  <c:v>0.117582997</c:v>
                </c:pt>
                <c:pt idx="13">
                  <c:v>-1.123534077</c:v>
                </c:pt>
                <c:pt idx="14">
                  <c:v>2.725090796</c:v>
                </c:pt>
                <c:pt idx="15">
                  <c:v>1.486388185</c:v>
                </c:pt>
                <c:pt idx="16">
                  <c:v>-1.753207931</c:v>
                </c:pt>
                <c:pt idx="17">
                  <c:v>0.725404867</c:v>
                </c:pt>
                <c:pt idx="18">
                  <c:v>-1.091312519</c:v>
                </c:pt>
                <c:pt idx="19">
                  <c:v>-0.655703411</c:v>
                </c:pt>
                <c:pt idx="20">
                  <c:v>7.066777045</c:v>
                </c:pt>
                <c:pt idx="21">
                  <c:v>11.45234604</c:v>
                </c:pt>
                <c:pt idx="22">
                  <c:v>0.391265103</c:v>
                </c:pt>
                <c:pt idx="23">
                  <c:v>-4.851969871</c:v>
                </c:pt>
                <c:pt idx="24">
                  <c:v>-0.924455126</c:v>
                </c:pt>
                <c:pt idx="25">
                  <c:v>10.48804299</c:v>
                </c:pt>
                <c:pt idx="26">
                  <c:v>16.47047625</c:v>
                </c:pt>
                <c:pt idx="27">
                  <c:v>2.486143898</c:v>
                </c:pt>
                <c:pt idx="28">
                  <c:v>-11.31927046</c:v>
                </c:pt>
                <c:pt idx="29">
                  <c:v>-18.94812387</c:v>
                </c:pt>
                <c:pt idx="30">
                  <c:v>-4.490179389</c:v>
                </c:pt>
                <c:pt idx="31">
                  <c:v>5.684729942</c:v>
                </c:pt>
                <c:pt idx="32">
                  <c:v>-7.377523883</c:v>
                </c:pt>
                <c:pt idx="33">
                  <c:v>-0.930380263</c:v>
                </c:pt>
                <c:pt idx="34">
                  <c:v>11.13201963</c:v>
                </c:pt>
                <c:pt idx="35">
                  <c:v>10.57458837</c:v>
                </c:pt>
                <c:pt idx="36">
                  <c:v>4.829409685</c:v>
                </c:pt>
                <c:pt idx="37">
                  <c:v>-0.603412242</c:v>
                </c:pt>
                <c:pt idx="38">
                  <c:v>13.24196615</c:v>
                </c:pt>
                <c:pt idx="39">
                  <c:v>14.49512011</c:v>
                </c:pt>
                <c:pt idx="40">
                  <c:v> </c:v>
                </c:pt>
              </c:strCache>
            </c:strRef>
          </c:xVal>
          <c:yVal>
            <c:numRef>
              <c:f>'Well_A-9'!$P$42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C5-4FF2-B04F-C2655B312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955120"/>
        <c:axId val="461952240"/>
      </c:scatterChart>
      <c:valAx>
        <c:axId val="46195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52240"/>
        <c:crosses val="autoZero"/>
        <c:crossBetween val="midCat"/>
      </c:valAx>
      <c:valAx>
        <c:axId val="46195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5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'Well_A-9'!$R$1</c:f>
              <c:strCache>
                <c:ptCount val="1"/>
                <c:pt idx="0">
                  <c:v>WOR'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'Well_A-9'!$R$2:$R$42</c:f>
              <c:numCache>
                <c:formatCode>General</c:formatCode>
                <c:ptCount val="41"/>
                <c:pt idx="0">
                  <c:v>1.6964729134437192E-4</c:v>
                </c:pt>
                <c:pt idx="1">
                  <c:v>3.675880730421288E-3</c:v>
                </c:pt>
                <c:pt idx="2">
                  <c:v>4.7701762974164145E-3</c:v>
                </c:pt>
                <c:pt idx="3">
                  <c:v>1.2629069231587716E-2</c:v>
                </c:pt>
                <c:pt idx="4">
                  <c:v>5.0621457503719691E-3</c:v>
                </c:pt>
                <c:pt idx="5">
                  <c:v>-4.7014366991861047E-3</c:v>
                </c:pt>
                <c:pt idx="6">
                  <c:v>4.6852896380948326E-3</c:v>
                </c:pt>
                <c:pt idx="7">
                  <c:v>-8.2174259975865797E-3</c:v>
                </c:pt>
                <c:pt idx="8">
                  <c:v>1.1728113119568435E-2</c:v>
                </c:pt>
                <c:pt idx="9">
                  <c:v>7.2945708580033387E-3</c:v>
                </c:pt>
                <c:pt idx="10">
                  <c:v>4.4401535500179189E-3</c:v>
                </c:pt>
                <c:pt idx="11">
                  <c:v>4.4323043022321583E-3</c:v>
                </c:pt>
                <c:pt idx="12">
                  <c:v>-3.3914420962866481E-3</c:v>
                </c:pt>
                <c:pt idx="13">
                  <c:v>-2.2832830019386447E-3</c:v>
                </c:pt>
                <c:pt idx="14">
                  <c:v>1.4803871383712563E-2</c:v>
                </c:pt>
                <c:pt idx="15">
                  <c:v>-8.666814859139841E-3</c:v>
                </c:pt>
                <c:pt idx="16">
                  <c:v>1.3013476851081488E-3</c:v>
                </c:pt>
                <c:pt idx="17">
                  <c:v>1.5027941810255448E-3</c:v>
                </c:pt>
                <c:pt idx="18">
                  <c:v>-5.6026475087651798E-3</c:v>
                </c:pt>
                <c:pt idx="19">
                  <c:v>3.1933605090036046E-3</c:v>
                </c:pt>
                <c:pt idx="20">
                  <c:v>2.0295149501494653E-2</c:v>
                </c:pt>
                <c:pt idx="21">
                  <c:v>1.5570021789979131E-2</c:v>
                </c:pt>
                <c:pt idx="22">
                  <c:v>-1.4402976087006086E-2</c:v>
                </c:pt>
                <c:pt idx="23">
                  <c:v>1.0671925833272528E-3</c:v>
                </c:pt>
                <c:pt idx="24">
                  <c:v>-3.4440665601499104E-3</c:v>
                </c:pt>
                <c:pt idx="25">
                  <c:v>3.1578700668877482E-2</c:v>
                </c:pt>
                <c:pt idx="26">
                  <c:v>1.035562931990499E-2</c:v>
                </c:pt>
                <c:pt idx="27">
                  <c:v>-4.5519072310504193E-3</c:v>
                </c:pt>
                <c:pt idx="28">
                  <c:v>-2.1702592818368317E-2</c:v>
                </c:pt>
                <c:pt idx="29">
                  <c:v>-2.1184051506392899E-2</c:v>
                </c:pt>
                <c:pt idx="30">
                  <c:v>1.1902850441793837E-2</c:v>
                </c:pt>
                <c:pt idx="31">
                  <c:v>3.1608226615671562E-4</c:v>
                </c:pt>
                <c:pt idx="32">
                  <c:v>-1.5709351535682457E-2</c:v>
                </c:pt>
                <c:pt idx="33">
                  <c:v>1.3383115950095283E-2</c:v>
                </c:pt>
                <c:pt idx="34">
                  <c:v>8.0929446904674605E-3</c:v>
                </c:pt>
                <c:pt idx="35">
                  <c:v>1.1938082284638456E-2</c:v>
                </c:pt>
                <c:pt idx="36">
                  <c:v>-2.4058621792662511E-3</c:v>
                </c:pt>
                <c:pt idx="37">
                  <c:v>1.3966317859780938E-3</c:v>
                </c:pt>
                <c:pt idx="38">
                  <c:v>2.1164883202670737E-2</c:v>
                </c:pt>
                <c:pt idx="39">
                  <c:v>2.9547949599369053E-3</c:v>
                </c:pt>
                <c:pt idx="40">
                  <c:v>3.0212679052197817E-3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3E-4630-913C-D131AD6F3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020112"/>
        <c:axId val="316296496"/>
      </c:scatterChart>
      <c:valAx>
        <c:axId val="33802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296496"/>
        <c:crosses val="autoZero"/>
        <c:crossBetween val="midCat"/>
      </c:valAx>
      <c:valAx>
        <c:axId val="3162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2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61934960"/>
        <c:axId val="461935440"/>
      </c:scatterChart>
      <c:valAx>
        <c:axId val="46193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35440"/>
        <c:crosses val="autoZero"/>
        <c:crossBetween val="midCat"/>
      </c:valAx>
      <c:valAx>
        <c:axId val="46193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3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47179103"/>
        <c:axId val="947189183"/>
      </c:areaChart>
      <c:catAx>
        <c:axId val="94717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89183"/>
        <c:crosses val="autoZero"/>
        <c:auto val="1"/>
        <c:lblAlgn val="ctr"/>
        <c:lblOffset val="100"/>
        <c:noMultiLvlLbl val="0"/>
      </c:catAx>
      <c:valAx>
        <c:axId val="9471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7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FLOW RATE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'Well_A-9'!$V:$V</c:f>
              <c:strCache>
                <c:ptCount val="42"/>
                <c:pt idx="0">
                  <c:v>t (DAYS)</c:v>
                </c:pt>
                <c:pt idx="1">
                  <c:v>1218</c:v>
                </c:pt>
                <c:pt idx="2">
                  <c:v>1187</c:v>
                </c:pt>
                <c:pt idx="3">
                  <c:v>1157</c:v>
                </c:pt>
                <c:pt idx="4">
                  <c:v>1126</c:v>
                </c:pt>
                <c:pt idx="5">
                  <c:v>1096</c:v>
                </c:pt>
                <c:pt idx="6">
                  <c:v>1065</c:v>
                </c:pt>
                <c:pt idx="7">
                  <c:v>1034</c:v>
                </c:pt>
                <c:pt idx="8">
                  <c:v>1004</c:v>
                </c:pt>
                <c:pt idx="9">
                  <c:v>973</c:v>
                </c:pt>
                <c:pt idx="10">
                  <c:v>943</c:v>
                </c:pt>
                <c:pt idx="11">
                  <c:v>912</c:v>
                </c:pt>
                <c:pt idx="12">
                  <c:v>881</c:v>
                </c:pt>
                <c:pt idx="13">
                  <c:v>853</c:v>
                </c:pt>
                <c:pt idx="14">
                  <c:v>822</c:v>
                </c:pt>
                <c:pt idx="15">
                  <c:v>792</c:v>
                </c:pt>
                <c:pt idx="16">
                  <c:v>761</c:v>
                </c:pt>
                <c:pt idx="17">
                  <c:v>731</c:v>
                </c:pt>
                <c:pt idx="18">
                  <c:v>700</c:v>
                </c:pt>
                <c:pt idx="19">
                  <c:v>669</c:v>
                </c:pt>
                <c:pt idx="20">
                  <c:v>639</c:v>
                </c:pt>
                <c:pt idx="21">
                  <c:v>608</c:v>
                </c:pt>
                <c:pt idx="22">
                  <c:v>578</c:v>
                </c:pt>
                <c:pt idx="23">
                  <c:v>547</c:v>
                </c:pt>
                <c:pt idx="24">
                  <c:v>516</c:v>
                </c:pt>
                <c:pt idx="25">
                  <c:v>487</c:v>
                </c:pt>
                <c:pt idx="26">
                  <c:v>456</c:v>
                </c:pt>
                <c:pt idx="27">
                  <c:v>426</c:v>
                </c:pt>
                <c:pt idx="28">
                  <c:v>395</c:v>
                </c:pt>
                <c:pt idx="29">
                  <c:v>365</c:v>
                </c:pt>
                <c:pt idx="30">
                  <c:v>334</c:v>
                </c:pt>
                <c:pt idx="31">
                  <c:v>303</c:v>
                </c:pt>
                <c:pt idx="32">
                  <c:v>273</c:v>
                </c:pt>
                <c:pt idx="33">
                  <c:v>242</c:v>
                </c:pt>
                <c:pt idx="34">
                  <c:v>212</c:v>
                </c:pt>
                <c:pt idx="35">
                  <c:v>181</c:v>
                </c:pt>
                <c:pt idx="36">
                  <c:v>150</c:v>
                </c:pt>
                <c:pt idx="37">
                  <c:v>122</c:v>
                </c:pt>
                <c:pt idx="38">
                  <c:v>91</c:v>
                </c:pt>
                <c:pt idx="39">
                  <c:v>61</c:v>
                </c:pt>
                <c:pt idx="40">
                  <c:v>30</c:v>
                </c:pt>
                <c:pt idx="41">
                  <c:v>0</c:v>
                </c:pt>
              </c:strCache>
            </c:strRef>
          </c:xVal>
          <c:yVal>
            <c:numRef>
              <c:f>'Well_A-9'!$Z:$Z</c:f>
              <c:numCache>
                <c:formatCode>General</c:formatCode>
                <c:ptCount val="1048576"/>
                <c:pt idx="0">
                  <c:v>0</c:v>
                </c:pt>
                <c:pt idx="42">
                  <c:v>8107.1708129341541</c:v>
                </c:pt>
                <c:pt idx="43">
                  <c:v>7781.4987077167789</c:v>
                </c:pt>
                <c:pt idx="44">
                  <c:v>7468.909134317717</c:v>
                </c:pt>
                <c:pt idx="45">
                  <c:v>7168.876556051343</c:v>
                </c:pt>
                <c:pt idx="46">
                  <c:v>6880.8965474979341</c:v>
                </c:pt>
                <c:pt idx="47">
                  <c:v>6604.4849464457538</c:v>
                </c:pt>
                <c:pt idx="48">
                  <c:v>6339.1770399003635</c:v>
                </c:pt>
                <c:pt idx="49">
                  <c:v>6084.52678279263</c:v>
                </c:pt>
                <c:pt idx="50">
                  <c:v>5840.1060480719316</c:v>
                </c:pt>
                <c:pt idx="51">
                  <c:v>5605.5039069237573</c:v>
                </c:pt>
                <c:pt idx="52">
                  <c:v>5380.3259379016181</c:v>
                </c:pt>
                <c:pt idx="53">
                  <c:v>5164.1935638116856</c:v>
                </c:pt>
                <c:pt idx="54">
                  <c:v>4956.7434152353944</c:v>
                </c:pt>
                <c:pt idx="55">
                  <c:v>4757.6267196198696</c:v>
                </c:pt>
                <c:pt idx="56">
                  <c:v>4566.5087149091405</c:v>
                </c:pt>
                <c:pt idx="57">
                  <c:v>4383.0680867302799</c:v>
                </c:pt>
                <c:pt idx="58">
                  <c:v>4206.9964281882885</c:v>
                </c:pt>
                <c:pt idx="59">
                  <c:v>4037.9977213614629</c:v>
                </c:pt>
                <c:pt idx="60">
                  <c:v>3875.7878396255683</c:v>
                </c:pt>
                <c:pt idx="61">
                  <c:v>3720.0940699700686</c:v>
                </c:pt>
                <c:pt idx="62">
                  <c:v>3570.6546545033375</c:v>
                </c:pt>
                <c:pt idx="63">
                  <c:v>3427.2183503759952</c:v>
                </c:pt>
                <c:pt idx="64">
                  <c:v>3289.5440073825225</c:v>
                </c:pt>
                <c:pt idx="65">
                  <c:v>3157.4001625309625</c:v>
                </c:pt>
                <c:pt idx="66">
                  <c:v>3030.5646508991326</c:v>
                </c:pt>
                <c:pt idx="67">
                  <c:v>2908.8242321230696</c:v>
                </c:pt>
                <c:pt idx="68">
                  <c:v>2791.9742318897597</c:v>
                </c:pt>
                <c:pt idx="69">
                  <c:v>2679.8181978314224</c:v>
                </c:pt>
                <c:pt idx="70">
                  <c:v>2572.1675692428125</c:v>
                </c:pt>
                <c:pt idx="71">
                  <c:v>2468.8413600662739</c:v>
                </c:pt>
                <c:pt idx="72">
                  <c:v>2369.6658546115523</c:v>
                </c:pt>
                <c:pt idx="73">
                  <c:v>2274.4743154988137</c:v>
                </c:pt>
                <c:pt idx="74">
                  <c:v>2183.1067033338413</c:v>
                </c:pt>
                <c:pt idx="75">
                  <c:v>2095.4094076441288</c:v>
                </c:pt>
                <c:pt idx="76">
                  <c:v>2011.2349886234965</c:v>
                </c:pt>
                <c:pt idx="77">
                  <c:v>1930.441929251062</c:v>
                </c:pt>
                <c:pt idx="78">
                  <c:v>1852.8943973677976</c:v>
                </c:pt>
                <c:pt idx="79">
                  <c:v>1778.4620173106844</c:v>
                </c:pt>
                <c:pt idx="80">
                  <c:v>1707.0196507205208</c:v>
                </c:pt>
                <c:pt idx="81">
                  <c:v>1638.4471861548732</c:v>
                </c:pt>
                <c:pt idx="82">
                  <c:v>1572.6293371524516</c:v>
                </c:pt>
                <c:pt idx="83">
                  <c:v>1509.4554484094215</c:v>
                </c:pt>
                <c:pt idx="84">
                  <c:v>1448.8193097417795</c:v>
                </c:pt>
                <c:pt idx="85">
                  <c:v>1390.6189775210232</c:v>
                </c:pt>
                <c:pt idx="86">
                  <c:v>1334.7566032829009</c:v>
                </c:pt>
                <c:pt idx="87">
                  <c:v>1281.1382692211062</c:v>
                </c:pt>
                <c:pt idx="88">
                  <c:v>1229.6738302893234</c:v>
                </c:pt>
                <c:pt idx="89">
                  <c:v>1180.2767626461787</c:v>
                </c:pt>
                <c:pt idx="90">
                  <c:v>1132.8640181882865</c:v>
                </c:pt>
                <c:pt idx="91">
                  <c:v>1087.3558849268306</c:v>
                </c:pt>
                <c:pt idx="92">
                  <c:v>1043.6758529729384</c:v>
                </c:pt>
                <c:pt idx="93">
                  <c:v>1001.7504859065424</c:v>
                </c:pt>
                <c:pt idx="94">
                  <c:v>961.50929731246151</c:v>
                </c:pt>
                <c:pt idx="95">
                  <c:v>922.88463227613943</c:v>
                </c:pt>
                <c:pt idx="96">
                  <c:v>885.81155363980145</c:v>
                </c:pt>
                <c:pt idx="97">
                  <c:v>850.22773282779872</c:v>
                </c:pt>
                <c:pt idx="98">
                  <c:v>816.07334505759536</c:v>
                </c:pt>
                <c:pt idx="99">
                  <c:v>783.29096876022209</c:v>
                </c:pt>
                <c:pt idx="100">
                  <c:v>751.82548904109206</c:v>
                </c:pt>
                <c:pt idx="101">
                  <c:v>721.62400501888953</c:v>
                </c:pt>
                <c:pt idx="102">
                  <c:v>692.63574088672726</c:v>
                </c:pt>
                <c:pt idx="103">
                  <c:v>664.8119605460563</c:v>
                </c:pt>
                <c:pt idx="104">
                  <c:v>638.10588566981187</c:v>
                </c:pt>
                <c:pt idx="105">
                  <c:v>612.47261705702499</c:v>
                </c:pt>
                <c:pt idx="106">
                  <c:v>587.86905914669546</c:v>
                </c:pt>
                <c:pt idx="107">
                  <c:v>564.25384756400422</c:v>
                </c:pt>
                <c:pt idx="108">
                  <c:v>541.58727957705594</c:v>
                </c:pt>
                <c:pt idx="109">
                  <c:v>519.83124734724117</c:v>
                </c:pt>
                <c:pt idx="110">
                  <c:v>498.94917386098138</c:v>
                </c:pt>
                <c:pt idx="111">
                  <c:v>478.90595143515901</c:v>
                </c:pt>
                <c:pt idx="112">
                  <c:v>459.66788269283137</c:v>
                </c:pt>
                <c:pt idx="113">
                  <c:v>441.20262391000705</c:v>
                </c:pt>
                <c:pt idx="114">
                  <c:v>423.47913063822824</c:v>
                </c:pt>
                <c:pt idx="115">
                  <c:v>406.46760551154074</c:v>
                </c:pt>
                <c:pt idx="116">
                  <c:v>390.13944815010751</c:v>
                </c:pt>
                <c:pt idx="117">
                  <c:v>374.46720707623194</c:v>
                </c:pt>
                <c:pt idx="118">
                  <c:v>359.42453356196182</c:v>
                </c:pt>
                <c:pt idx="119">
                  <c:v>344.98613733067145</c:v>
                </c:pt>
                <c:pt idx="120">
                  <c:v>331.12774403815013</c:v>
                </c:pt>
                <c:pt idx="121">
                  <c:v>317.82605446171527</c:v>
                </c:pt>
                <c:pt idx="122">
                  <c:v>305.05870532872979</c:v>
                </c:pt>
                <c:pt idx="123">
                  <c:v>292.80423171867682</c:v>
                </c:pt>
                <c:pt idx="124">
                  <c:v>281.04203097557121</c:v>
                </c:pt>
                <c:pt idx="125">
                  <c:v>269.75232807004477</c:v>
                </c:pt>
                <c:pt idx="126">
                  <c:v>258.91614235286437</c:v>
                </c:pt>
                <c:pt idx="127">
                  <c:v>248.5152556439902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1F-4CAA-A381-2C8818866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180543"/>
        <c:axId val="947197343"/>
      </c:scatterChart>
      <c:valAx>
        <c:axId val="9471805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97343"/>
        <c:crosses val="autoZero"/>
        <c:crossBetween val="midCat"/>
      </c:valAx>
      <c:valAx>
        <c:axId val="9471973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80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FLOW RATE V/S TIME (SEMI LOG)</a:t>
            </a:r>
          </a:p>
        </c:rich>
      </c:tx>
      <c:layout>
        <c:manualLayout>
          <c:xMode val="edge"/>
          <c:yMode val="edge"/>
          <c:x val="0.4069304461942256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PRODUCTION HISTORY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'Well_A-9'!$W$2:$W$42</c:f>
              <c:numCache>
                <c:formatCode>General</c:formatCode>
                <c:ptCount val="41"/>
                <c:pt idx="0">
                  <c:v>0</c:v>
                </c:pt>
                <c:pt idx="1">
                  <c:v>1.0333333333333334</c:v>
                </c:pt>
                <c:pt idx="2">
                  <c:v>2.0333333333333332</c:v>
                </c:pt>
                <c:pt idx="3">
                  <c:v>3.0666666666666669</c:v>
                </c:pt>
                <c:pt idx="4">
                  <c:v>4.0666666666666664</c:v>
                </c:pt>
                <c:pt idx="5">
                  <c:v>5.0999999999999996</c:v>
                </c:pt>
                <c:pt idx="6">
                  <c:v>6.1333333333333337</c:v>
                </c:pt>
                <c:pt idx="7">
                  <c:v>7.1333333333333337</c:v>
                </c:pt>
                <c:pt idx="8">
                  <c:v>8.1666666666666661</c:v>
                </c:pt>
                <c:pt idx="9">
                  <c:v>9.1666666666666661</c:v>
                </c:pt>
                <c:pt idx="10">
                  <c:v>10.199999999999999</c:v>
                </c:pt>
                <c:pt idx="11">
                  <c:v>11.233333333333333</c:v>
                </c:pt>
                <c:pt idx="12">
                  <c:v>12.166666666666666</c:v>
                </c:pt>
                <c:pt idx="13">
                  <c:v>13.2</c:v>
                </c:pt>
                <c:pt idx="14">
                  <c:v>14.2</c:v>
                </c:pt>
                <c:pt idx="15">
                  <c:v>15.233333333333333</c:v>
                </c:pt>
                <c:pt idx="16">
                  <c:v>16.233333333333334</c:v>
                </c:pt>
                <c:pt idx="17">
                  <c:v>17.266666666666666</c:v>
                </c:pt>
                <c:pt idx="18">
                  <c:v>18.3</c:v>
                </c:pt>
                <c:pt idx="19">
                  <c:v>19.3</c:v>
                </c:pt>
                <c:pt idx="20">
                  <c:v>20.333333333333332</c:v>
                </c:pt>
                <c:pt idx="21">
                  <c:v>21.333333333333332</c:v>
                </c:pt>
                <c:pt idx="22">
                  <c:v>22.366666666666667</c:v>
                </c:pt>
                <c:pt idx="23">
                  <c:v>23.4</c:v>
                </c:pt>
                <c:pt idx="24">
                  <c:v>24.366666666666667</c:v>
                </c:pt>
                <c:pt idx="25">
                  <c:v>25.4</c:v>
                </c:pt>
                <c:pt idx="26">
                  <c:v>26.4</c:v>
                </c:pt>
                <c:pt idx="27">
                  <c:v>27.433333333333334</c:v>
                </c:pt>
                <c:pt idx="28">
                  <c:v>28.433333333333334</c:v>
                </c:pt>
                <c:pt idx="29">
                  <c:v>29.466666666666665</c:v>
                </c:pt>
                <c:pt idx="30">
                  <c:v>30.5</c:v>
                </c:pt>
                <c:pt idx="31">
                  <c:v>31.5</c:v>
                </c:pt>
                <c:pt idx="32">
                  <c:v>32.533333333333331</c:v>
                </c:pt>
                <c:pt idx="33">
                  <c:v>33.533333333333331</c:v>
                </c:pt>
                <c:pt idx="34">
                  <c:v>34.56666666666667</c:v>
                </c:pt>
                <c:pt idx="35">
                  <c:v>35.6</c:v>
                </c:pt>
                <c:pt idx="36">
                  <c:v>36.533333333333331</c:v>
                </c:pt>
                <c:pt idx="37">
                  <c:v>37.56666666666667</c:v>
                </c:pt>
                <c:pt idx="38">
                  <c:v>38.56666666666667</c:v>
                </c:pt>
                <c:pt idx="39">
                  <c:v>39.6</c:v>
                </c:pt>
                <c:pt idx="40">
                  <c:v>40.6</c:v>
                </c:pt>
              </c:numCache>
            </c:numRef>
          </c:xVal>
          <c:yVal>
            <c:numRef>
              <c:f>'Well_A-9'!$C$2:$C$42</c:f>
              <c:numCache>
                <c:formatCode>0</c:formatCode>
                <c:ptCount val="41"/>
                <c:pt idx="0">
                  <c:v>201.7945483870968</c:v>
                </c:pt>
                <c:pt idx="1">
                  <c:v>661.38133333333326</c:v>
                </c:pt>
                <c:pt idx="2">
                  <c:v>643.93261290322585</c:v>
                </c:pt>
                <c:pt idx="3">
                  <c:v>530.95643333333328</c:v>
                </c:pt>
                <c:pt idx="4">
                  <c:v>340.9689677419355</c:v>
                </c:pt>
                <c:pt idx="5">
                  <c:v>368.53506451612901</c:v>
                </c:pt>
                <c:pt idx="6">
                  <c:v>355.27589999999998</c:v>
                </c:pt>
                <c:pt idx="7">
                  <c:v>313.98719354838698</c:v>
                </c:pt>
                <c:pt idx="8">
                  <c:v>296.07256666666666</c:v>
                </c:pt>
                <c:pt idx="9">
                  <c:v>294.35664516129032</c:v>
                </c:pt>
                <c:pt idx="10">
                  <c:v>302.91412903225802</c:v>
                </c:pt>
                <c:pt idx="11">
                  <c:v>302.47021428571401</c:v>
                </c:pt>
                <c:pt idx="12">
                  <c:v>306.14393548387</c:v>
                </c:pt>
                <c:pt idx="13">
                  <c:v>277.65759999999898</c:v>
                </c:pt>
                <c:pt idx="14">
                  <c:v>252.15551612903226</c:v>
                </c:pt>
                <c:pt idx="15">
                  <c:v>279.32843333333329</c:v>
                </c:pt>
                <c:pt idx="16">
                  <c:v>267.19625806451614</c:v>
                </c:pt>
                <c:pt idx="17">
                  <c:v>223.8586129032258</c:v>
                </c:pt>
                <c:pt idx="18">
                  <c:v>207.32499999999999</c:v>
                </c:pt>
                <c:pt idx="19">
                  <c:v>256.24890322580649</c:v>
                </c:pt>
                <c:pt idx="20">
                  <c:v>271.38936666666666</c:v>
                </c:pt>
                <c:pt idx="21">
                  <c:v>240.20693548387098</c:v>
                </c:pt>
                <c:pt idx="22">
                  <c:v>221.10225806451612</c:v>
                </c:pt>
                <c:pt idx="23">
                  <c:v>243.8436551724138</c:v>
                </c:pt>
                <c:pt idx="24">
                  <c:v>250.67719354838712</c:v>
                </c:pt>
                <c:pt idx="25">
                  <c:v>265.02000000000004</c:v>
                </c:pt>
                <c:pt idx="26">
                  <c:v>180.7862258064516</c:v>
                </c:pt>
                <c:pt idx="27">
                  <c:v>190.66076666666669</c:v>
                </c:pt>
                <c:pt idx="28">
                  <c:v>238.26867741935482</c:v>
                </c:pt>
                <c:pt idx="29">
                  <c:v>304.87783870967741</c:v>
                </c:pt>
                <c:pt idx="30">
                  <c:v>374.47009999999995</c:v>
                </c:pt>
                <c:pt idx="31">
                  <c:v>310.04793548387102</c:v>
                </c:pt>
                <c:pt idx="32">
                  <c:v>312.10153333333335</c:v>
                </c:pt>
                <c:pt idx="33">
                  <c:v>373.80548387096775</c:v>
                </c:pt>
                <c:pt idx="34">
                  <c:v>336.39029032258065</c:v>
                </c:pt>
                <c:pt idx="35">
                  <c:v>326.04667857142857</c:v>
                </c:pt>
                <c:pt idx="36">
                  <c:v>331.88470967741932</c:v>
                </c:pt>
                <c:pt idx="37">
                  <c:v>302.93490000000003</c:v>
                </c:pt>
                <c:pt idx="38">
                  <c:v>302.30954838709675</c:v>
                </c:pt>
                <c:pt idx="39">
                  <c:v>275.13220000000001</c:v>
                </c:pt>
                <c:pt idx="40">
                  <c:v>271.43729032258068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7F-4B8C-9B7A-136E2D014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993552"/>
        <c:axId val="1001994512"/>
      </c:scatterChart>
      <c:valAx>
        <c:axId val="100199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94512"/>
        <c:crosses val="autoZero"/>
        <c:crossBetween val="midCat"/>
      </c:valAx>
      <c:valAx>
        <c:axId val="1001994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FLOW</a:t>
                </a:r>
                <a:r>
                  <a:rPr lang="en-IN" b="1" baseline="0"/>
                  <a:t> RATE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9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FLOW RATE V/S TIME (CARTISEAN GRAPH)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PRODUCTION HISTORY 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'Well_A-9'!$W$2:$W$42</c:f>
              <c:numCache>
                <c:formatCode>General</c:formatCode>
                <c:ptCount val="41"/>
                <c:pt idx="0">
                  <c:v>0</c:v>
                </c:pt>
                <c:pt idx="1">
                  <c:v>1.0333333333333334</c:v>
                </c:pt>
                <c:pt idx="2">
                  <c:v>2.0333333333333332</c:v>
                </c:pt>
                <c:pt idx="3">
                  <c:v>3.0666666666666669</c:v>
                </c:pt>
                <c:pt idx="4">
                  <c:v>4.0666666666666664</c:v>
                </c:pt>
                <c:pt idx="5">
                  <c:v>5.0999999999999996</c:v>
                </c:pt>
                <c:pt idx="6">
                  <c:v>6.1333333333333337</c:v>
                </c:pt>
                <c:pt idx="7">
                  <c:v>7.1333333333333337</c:v>
                </c:pt>
                <c:pt idx="8">
                  <c:v>8.1666666666666661</c:v>
                </c:pt>
                <c:pt idx="9">
                  <c:v>9.1666666666666661</c:v>
                </c:pt>
                <c:pt idx="10">
                  <c:v>10.199999999999999</c:v>
                </c:pt>
                <c:pt idx="11">
                  <c:v>11.233333333333333</c:v>
                </c:pt>
                <c:pt idx="12">
                  <c:v>12.166666666666666</c:v>
                </c:pt>
                <c:pt idx="13">
                  <c:v>13.2</c:v>
                </c:pt>
                <c:pt idx="14">
                  <c:v>14.2</c:v>
                </c:pt>
                <c:pt idx="15">
                  <c:v>15.233333333333333</c:v>
                </c:pt>
                <c:pt idx="16">
                  <c:v>16.233333333333334</c:v>
                </c:pt>
                <c:pt idx="17">
                  <c:v>17.266666666666666</c:v>
                </c:pt>
                <c:pt idx="18">
                  <c:v>18.3</c:v>
                </c:pt>
                <c:pt idx="19">
                  <c:v>19.3</c:v>
                </c:pt>
                <c:pt idx="20">
                  <c:v>20.333333333333332</c:v>
                </c:pt>
                <c:pt idx="21">
                  <c:v>21.333333333333332</c:v>
                </c:pt>
                <c:pt idx="22">
                  <c:v>22.366666666666667</c:v>
                </c:pt>
                <c:pt idx="23">
                  <c:v>23.4</c:v>
                </c:pt>
                <c:pt idx="24">
                  <c:v>24.366666666666667</c:v>
                </c:pt>
                <c:pt idx="25">
                  <c:v>25.4</c:v>
                </c:pt>
                <c:pt idx="26">
                  <c:v>26.4</c:v>
                </c:pt>
                <c:pt idx="27">
                  <c:v>27.433333333333334</c:v>
                </c:pt>
                <c:pt idx="28">
                  <c:v>28.433333333333334</c:v>
                </c:pt>
                <c:pt idx="29">
                  <c:v>29.466666666666665</c:v>
                </c:pt>
                <c:pt idx="30">
                  <c:v>30.5</c:v>
                </c:pt>
                <c:pt idx="31">
                  <c:v>31.5</c:v>
                </c:pt>
                <c:pt idx="32">
                  <c:v>32.533333333333331</c:v>
                </c:pt>
                <c:pt idx="33">
                  <c:v>33.533333333333331</c:v>
                </c:pt>
                <c:pt idx="34">
                  <c:v>34.56666666666667</c:v>
                </c:pt>
                <c:pt idx="35">
                  <c:v>35.6</c:v>
                </c:pt>
                <c:pt idx="36">
                  <c:v>36.533333333333331</c:v>
                </c:pt>
                <c:pt idx="37">
                  <c:v>37.56666666666667</c:v>
                </c:pt>
                <c:pt idx="38">
                  <c:v>38.56666666666667</c:v>
                </c:pt>
                <c:pt idx="39">
                  <c:v>39.6</c:v>
                </c:pt>
                <c:pt idx="40">
                  <c:v>40.6</c:v>
                </c:pt>
              </c:numCache>
            </c:numRef>
          </c:xVal>
          <c:yVal>
            <c:numRef>
              <c:f>'Well_A-9'!$G$2:$G$42</c:f>
              <c:numCache>
                <c:formatCode>0</c:formatCode>
                <c:ptCount val="41"/>
                <c:pt idx="0">
                  <c:v>6255.6310000000003</c:v>
                </c:pt>
                <c:pt idx="1">
                  <c:v>19841.439999999999</c:v>
                </c:pt>
                <c:pt idx="2">
                  <c:v>19961.911</c:v>
                </c:pt>
                <c:pt idx="3">
                  <c:v>15928.692999999999</c:v>
                </c:pt>
                <c:pt idx="4">
                  <c:v>10570.038</c:v>
                </c:pt>
                <c:pt idx="5">
                  <c:v>11424.587</c:v>
                </c:pt>
                <c:pt idx="6">
                  <c:v>10658.277</c:v>
                </c:pt>
                <c:pt idx="7">
                  <c:v>9733.6029999999992</c:v>
                </c:pt>
                <c:pt idx="8">
                  <c:v>8882.1769999999997</c:v>
                </c:pt>
                <c:pt idx="9">
                  <c:v>9125.0560000000005</c:v>
                </c:pt>
                <c:pt idx="10">
                  <c:v>9390.3379999999997</c:v>
                </c:pt>
                <c:pt idx="11">
                  <c:v>8469.1659999999993</c:v>
                </c:pt>
                <c:pt idx="12">
                  <c:v>9490.4619999999995</c:v>
                </c:pt>
                <c:pt idx="13">
                  <c:v>8329.7279999999992</c:v>
                </c:pt>
                <c:pt idx="14">
                  <c:v>7816.8209999999999</c:v>
                </c:pt>
                <c:pt idx="15">
                  <c:v>8379.8529999999992</c:v>
                </c:pt>
                <c:pt idx="16">
                  <c:v>8283.0840000000007</c:v>
                </c:pt>
                <c:pt idx="17">
                  <c:v>6939.6170000000002</c:v>
                </c:pt>
                <c:pt idx="18">
                  <c:v>6219.75</c:v>
                </c:pt>
                <c:pt idx="19">
                  <c:v>7943.7160000000003</c:v>
                </c:pt>
                <c:pt idx="20">
                  <c:v>8141.6809999999996</c:v>
                </c:pt>
                <c:pt idx="21">
                  <c:v>7446.415</c:v>
                </c:pt>
                <c:pt idx="22">
                  <c:v>6854.17</c:v>
                </c:pt>
                <c:pt idx="23">
                  <c:v>7071.4660000000003</c:v>
                </c:pt>
                <c:pt idx="24">
                  <c:v>7770.9930000000004</c:v>
                </c:pt>
                <c:pt idx="25">
                  <c:v>7950.6</c:v>
                </c:pt>
                <c:pt idx="26">
                  <c:v>5604.3729999999996</c:v>
                </c:pt>
                <c:pt idx="27">
                  <c:v>5719.8230000000003</c:v>
                </c:pt>
                <c:pt idx="28">
                  <c:v>7386.3289999999997</c:v>
                </c:pt>
                <c:pt idx="29">
                  <c:v>9451.2129999999997</c:v>
                </c:pt>
                <c:pt idx="30">
                  <c:v>11234.102999999999</c:v>
                </c:pt>
                <c:pt idx="31">
                  <c:v>9611.4860000000008</c:v>
                </c:pt>
                <c:pt idx="32">
                  <c:v>9363.0460000000003</c:v>
                </c:pt>
                <c:pt idx="33">
                  <c:v>11587.97</c:v>
                </c:pt>
                <c:pt idx="34">
                  <c:v>10428.099</c:v>
                </c:pt>
                <c:pt idx="35">
                  <c:v>9129.3070000000007</c:v>
                </c:pt>
                <c:pt idx="36">
                  <c:v>10288.425999999999</c:v>
                </c:pt>
                <c:pt idx="37">
                  <c:v>9088.0470000000005</c:v>
                </c:pt>
                <c:pt idx="38">
                  <c:v>9371.5959999999995</c:v>
                </c:pt>
                <c:pt idx="39">
                  <c:v>8253.9660000000003</c:v>
                </c:pt>
                <c:pt idx="40">
                  <c:v>8414.5560000000005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3-47B9-8E74-65F5F9BA1634}"/>
            </c:ext>
          </c:extLst>
        </c:ser>
        <c:ser>
          <c:idx val="0"/>
          <c:order val="1"/>
          <c:tx>
            <c:v>NEW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1162691626342296E-2"/>
                  <c:y val="-0.128501657420752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 = 43543e-0.041x</a:t>
                    </a:r>
                    <a:br>
                      <a:rPr lang="en-US"/>
                    </a:br>
                    <a:r>
                      <a:rPr lang="en-US"/>
                      <a:t>R² = 0.7748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'Well_A-9'!$W$35:$W$42</c:f>
              <c:numCache>
                <c:formatCode>General</c:formatCode>
                <c:ptCount val="8"/>
                <c:pt idx="0">
                  <c:v>33.533333333333331</c:v>
                </c:pt>
                <c:pt idx="1">
                  <c:v>34.56666666666667</c:v>
                </c:pt>
                <c:pt idx="2">
                  <c:v>35.6</c:v>
                </c:pt>
                <c:pt idx="3">
                  <c:v>36.533333333333331</c:v>
                </c:pt>
                <c:pt idx="4">
                  <c:v>37.56666666666667</c:v>
                </c:pt>
                <c:pt idx="5">
                  <c:v>38.56666666666667</c:v>
                </c:pt>
                <c:pt idx="6">
                  <c:v>39.6</c:v>
                </c:pt>
                <c:pt idx="7">
                  <c:v>40.6</c:v>
                </c:pt>
              </c:numCache>
            </c:numRef>
          </c:xVal>
          <c:yVal>
            <c:numRef>
              <c:f>'Well_A-9'!$G$35:$G$42</c:f>
              <c:numCache>
                <c:formatCode>0</c:formatCode>
                <c:ptCount val="8"/>
                <c:pt idx="0">
                  <c:v>11587.97</c:v>
                </c:pt>
                <c:pt idx="1">
                  <c:v>10428.099</c:v>
                </c:pt>
                <c:pt idx="2">
                  <c:v>9129.3070000000007</c:v>
                </c:pt>
                <c:pt idx="3">
                  <c:v>10288.425999999999</c:v>
                </c:pt>
                <c:pt idx="4">
                  <c:v>9088.0470000000005</c:v>
                </c:pt>
                <c:pt idx="5">
                  <c:v>9371.5959999999995</c:v>
                </c:pt>
                <c:pt idx="6">
                  <c:v>8253.9660000000003</c:v>
                </c:pt>
                <c:pt idx="7">
                  <c:v>8414.5560000000005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2E-4987-ABA7-E80AEBB66374}"/>
            </c:ext>
          </c:extLst>
        </c:ser>
        <c:ser>
          <c:idx val="2"/>
          <c:order val="2"/>
          <c:tx>
            <c:v>EXPONENTIAL 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'Well_A-9'!$W$35:$W$95</c:f>
              <c:numCache>
                <c:formatCode>General</c:formatCode>
                <c:ptCount val="61"/>
                <c:pt idx="0">
                  <c:v>33.533333333333331</c:v>
                </c:pt>
                <c:pt idx="1">
                  <c:v>34.56666666666667</c:v>
                </c:pt>
                <c:pt idx="2">
                  <c:v>35.6</c:v>
                </c:pt>
                <c:pt idx="3">
                  <c:v>36.533333333333331</c:v>
                </c:pt>
                <c:pt idx="4">
                  <c:v>37.56666666666667</c:v>
                </c:pt>
                <c:pt idx="5">
                  <c:v>38.56666666666667</c:v>
                </c:pt>
                <c:pt idx="6">
                  <c:v>39.6</c:v>
                </c:pt>
                <c:pt idx="7">
                  <c:v>40.6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  <c:pt idx="15">
                  <c:v>48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56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60</c:v>
                </c:pt>
                <c:pt idx="28">
                  <c:v>61</c:v>
                </c:pt>
                <c:pt idx="29">
                  <c:v>62</c:v>
                </c:pt>
                <c:pt idx="30">
                  <c:v>63</c:v>
                </c:pt>
                <c:pt idx="31">
                  <c:v>64</c:v>
                </c:pt>
                <c:pt idx="32">
                  <c:v>65</c:v>
                </c:pt>
                <c:pt idx="33">
                  <c:v>66</c:v>
                </c:pt>
                <c:pt idx="34">
                  <c:v>67</c:v>
                </c:pt>
                <c:pt idx="35">
                  <c:v>68</c:v>
                </c:pt>
                <c:pt idx="36">
                  <c:v>69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74</c:v>
                </c:pt>
                <c:pt idx="42">
                  <c:v>75</c:v>
                </c:pt>
                <c:pt idx="43">
                  <c:v>76</c:v>
                </c:pt>
                <c:pt idx="44">
                  <c:v>77</c:v>
                </c:pt>
                <c:pt idx="45">
                  <c:v>78</c:v>
                </c:pt>
                <c:pt idx="46">
                  <c:v>79</c:v>
                </c:pt>
                <c:pt idx="47">
                  <c:v>80</c:v>
                </c:pt>
                <c:pt idx="48">
                  <c:v>81</c:v>
                </c:pt>
                <c:pt idx="49">
                  <c:v>82</c:v>
                </c:pt>
                <c:pt idx="50">
                  <c:v>83</c:v>
                </c:pt>
                <c:pt idx="51">
                  <c:v>84</c:v>
                </c:pt>
                <c:pt idx="52">
                  <c:v>85</c:v>
                </c:pt>
                <c:pt idx="53">
                  <c:v>86</c:v>
                </c:pt>
                <c:pt idx="54">
                  <c:v>87</c:v>
                </c:pt>
                <c:pt idx="55">
                  <c:v>88</c:v>
                </c:pt>
                <c:pt idx="56">
                  <c:v>89</c:v>
                </c:pt>
                <c:pt idx="57">
                  <c:v>90</c:v>
                </c:pt>
                <c:pt idx="58">
                  <c:v>91</c:v>
                </c:pt>
                <c:pt idx="59">
                  <c:v>92</c:v>
                </c:pt>
                <c:pt idx="60">
                  <c:v>93</c:v>
                </c:pt>
              </c:numCache>
            </c:numRef>
          </c:xVal>
          <c:yVal>
            <c:numRef>
              <c:f>'Well_A-9'!$Z$35:$Z$95</c:f>
              <c:numCache>
                <c:formatCode>General</c:formatCode>
                <c:ptCount val="61"/>
                <c:pt idx="8">
                  <c:v>8107.1708129341541</c:v>
                </c:pt>
                <c:pt idx="9">
                  <c:v>7781.4987077167789</c:v>
                </c:pt>
                <c:pt idx="10">
                  <c:v>7468.909134317717</c:v>
                </c:pt>
                <c:pt idx="11">
                  <c:v>7168.876556051343</c:v>
                </c:pt>
                <c:pt idx="12">
                  <c:v>6880.8965474979341</c:v>
                </c:pt>
                <c:pt idx="13">
                  <c:v>6604.4849464457538</c:v>
                </c:pt>
                <c:pt idx="14">
                  <c:v>6339.1770399003635</c:v>
                </c:pt>
                <c:pt idx="15">
                  <c:v>6084.52678279263</c:v>
                </c:pt>
                <c:pt idx="16">
                  <c:v>5840.1060480719316</c:v>
                </c:pt>
                <c:pt idx="17">
                  <c:v>5605.5039069237573</c:v>
                </c:pt>
                <c:pt idx="18">
                  <c:v>5380.3259379016181</c:v>
                </c:pt>
                <c:pt idx="19">
                  <c:v>5164.1935638116856</c:v>
                </c:pt>
                <c:pt idx="20">
                  <c:v>4956.7434152353944</c:v>
                </c:pt>
                <c:pt idx="21">
                  <c:v>4757.6267196198696</c:v>
                </c:pt>
                <c:pt idx="22">
                  <c:v>4566.5087149091405</c:v>
                </c:pt>
                <c:pt idx="23">
                  <c:v>4383.0680867302799</c:v>
                </c:pt>
                <c:pt idx="24">
                  <c:v>4206.9964281882885</c:v>
                </c:pt>
                <c:pt idx="25">
                  <c:v>4037.9977213614629</c:v>
                </c:pt>
                <c:pt idx="26">
                  <c:v>3875.7878396255683</c:v>
                </c:pt>
                <c:pt idx="27">
                  <c:v>3720.0940699700686</c:v>
                </c:pt>
                <c:pt idx="28">
                  <c:v>3570.6546545033375</c:v>
                </c:pt>
                <c:pt idx="29">
                  <c:v>3427.2183503759952</c:v>
                </c:pt>
                <c:pt idx="30">
                  <c:v>3289.5440073825225</c:v>
                </c:pt>
                <c:pt idx="31">
                  <c:v>3157.4001625309625</c:v>
                </c:pt>
                <c:pt idx="32">
                  <c:v>3030.5646508991326</c:v>
                </c:pt>
                <c:pt idx="33">
                  <c:v>2908.8242321230696</c:v>
                </c:pt>
                <c:pt idx="34">
                  <c:v>2791.9742318897597</c:v>
                </c:pt>
                <c:pt idx="35">
                  <c:v>2679.8181978314224</c:v>
                </c:pt>
                <c:pt idx="36">
                  <c:v>2572.1675692428125</c:v>
                </c:pt>
                <c:pt idx="37">
                  <c:v>2468.8413600662739</c:v>
                </c:pt>
                <c:pt idx="38">
                  <c:v>2369.6658546115523</c:v>
                </c:pt>
                <c:pt idx="39">
                  <c:v>2274.4743154988137</c:v>
                </c:pt>
                <c:pt idx="40">
                  <c:v>2183.1067033338413</c:v>
                </c:pt>
                <c:pt idx="41">
                  <c:v>2095.4094076441288</c:v>
                </c:pt>
                <c:pt idx="42">
                  <c:v>2011.2349886234965</c:v>
                </c:pt>
                <c:pt idx="43">
                  <c:v>1930.441929251062</c:v>
                </c:pt>
                <c:pt idx="44">
                  <c:v>1852.8943973677976</c:v>
                </c:pt>
                <c:pt idx="45">
                  <c:v>1778.4620173106844</c:v>
                </c:pt>
                <c:pt idx="46">
                  <c:v>1707.0196507205208</c:v>
                </c:pt>
                <c:pt idx="47">
                  <c:v>1638.4471861548732</c:v>
                </c:pt>
                <c:pt idx="48">
                  <c:v>1572.6293371524516</c:v>
                </c:pt>
                <c:pt idx="49">
                  <c:v>1509.4554484094215</c:v>
                </c:pt>
                <c:pt idx="50">
                  <c:v>1448.8193097417795</c:v>
                </c:pt>
                <c:pt idx="51">
                  <c:v>1390.6189775210232</c:v>
                </c:pt>
                <c:pt idx="52">
                  <c:v>1334.7566032829009</c:v>
                </c:pt>
                <c:pt idx="53">
                  <c:v>1281.1382692211062</c:v>
                </c:pt>
                <c:pt idx="54">
                  <c:v>1229.6738302893234</c:v>
                </c:pt>
                <c:pt idx="55">
                  <c:v>1180.2767626461787</c:v>
                </c:pt>
                <c:pt idx="56">
                  <c:v>1132.8640181882865</c:v>
                </c:pt>
                <c:pt idx="57">
                  <c:v>1087.3558849268306</c:v>
                </c:pt>
                <c:pt idx="58">
                  <c:v>1043.6758529729384</c:v>
                </c:pt>
                <c:pt idx="59">
                  <c:v>1001.7504859065424</c:v>
                </c:pt>
                <c:pt idx="60">
                  <c:v>961.50929731246151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2E-4987-ABA7-E80AEBB66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929200"/>
        <c:axId val="1461916240"/>
      </c:scatterChart>
      <c:valAx>
        <c:axId val="146192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16240"/>
        <c:crosses val="autoZero"/>
        <c:crossBetween val="midCat"/>
      </c:valAx>
      <c:valAx>
        <c:axId val="146191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FLOW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2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N(OOIP)</a:t>
            </a:r>
            <a:r>
              <a:rPr lang="en-US" baseline="0"/>
              <a:t> V/S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 (OOIP)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Sheet1!$B$2:$B$30</c:f>
              <c:strCache>
                <c:ptCount val="29"/>
                <c:pt idx="0">
                  <c:v>Date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  <c:pt idx="13">
                  <c:v>Nov-20</c:v>
                </c:pt>
                <c:pt idx="14">
                  <c:v>Dec-20</c:v>
                </c:pt>
                <c:pt idx="15">
                  <c:v>Jan-21</c:v>
                </c:pt>
                <c:pt idx="16">
                  <c:v>Feb-21</c:v>
                </c:pt>
                <c:pt idx="17">
                  <c:v>Mar-21</c:v>
                </c:pt>
                <c:pt idx="18">
                  <c:v>Apr-21</c:v>
                </c:pt>
                <c:pt idx="19">
                  <c:v>May-21</c:v>
                </c:pt>
                <c:pt idx="20">
                  <c:v>Jun-21</c:v>
                </c:pt>
                <c:pt idx="21">
                  <c:v>Jul-21</c:v>
                </c:pt>
                <c:pt idx="22">
                  <c:v>Aug-21</c:v>
                </c:pt>
                <c:pt idx="23">
                  <c:v>Sep-21</c:v>
                </c:pt>
                <c:pt idx="24">
                  <c:v>Oct-21</c:v>
                </c:pt>
                <c:pt idx="25">
                  <c:v>Nov-21</c:v>
                </c:pt>
                <c:pt idx="26">
                  <c:v>Dec-21</c:v>
                </c:pt>
                <c:pt idx="27">
                  <c:v>Jan-22</c:v>
                </c:pt>
                <c:pt idx="28">
                  <c:v>Feb-22</c:v>
                </c:pt>
              </c:strCache>
            </c:strRef>
          </c:xVal>
          <c:yVal>
            <c:numRef>
              <c:f>Sheet1!$BB$2:$BB$30</c:f>
              <c:numCache>
                <c:formatCode>General</c:formatCode>
                <c:ptCount val="29"/>
                <c:pt idx="0">
                  <c:v>0</c:v>
                </c:pt>
                <c:pt idx="1">
                  <c:v>35.000000000000007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35.000000000000007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34.999999999999979</c:v>
                </c:pt>
                <c:pt idx="13">
                  <c:v>34.999999999999979</c:v>
                </c:pt>
                <c:pt idx="14">
                  <c:v>35</c:v>
                </c:pt>
                <c:pt idx="15">
                  <c:v>35.000000000000007</c:v>
                </c:pt>
                <c:pt idx="16">
                  <c:v>35.000000000000007</c:v>
                </c:pt>
                <c:pt idx="17">
                  <c:v>35</c:v>
                </c:pt>
                <c:pt idx="18">
                  <c:v>34.999999999999993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35.000000000000014</c:v>
                </c:pt>
                <c:pt idx="24">
                  <c:v>34.999999999999979</c:v>
                </c:pt>
                <c:pt idx="25">
                  <c:v>34.999999999999993</c:v>
                </c:pt>
                <c:pt idx="26">
                  <c:v>34.999999999999979</c:v>
                </c:pt>
                <c:pt idx="27">
                  <c:v>34.999999999999979</c:v>
                </c:pt>
                <c:pt idx="28">
                  <c:v>34.999999999999986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F1-4A0C-98A6-E9F2690A5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97360"/>
        <c:axId val="303098320"/>
      </c:scatterChart>
      <c:valAx>
        <c:axId val="30309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8320"/>
        <c:crosses val="autoZero"/>
        <c:crossBetween val="midCat"/>
      </c:valAx>
      <c:valAx>
        <c:axId val="3030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N(OOIP)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7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We(BBL)</a:t>
            </a:r>
            <a:r>
              <a:rPr lang="en-US" baseline="0"/>
              <a:t> V/S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55943616416424E-2"/>
          <c:y val="0.11709375088606871"/>
          <c:w val="0.90180594180067897"/>
          <c:h val="0.834073114524562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Sheet1!$BG$1</c:f>
              <c:strCache>
                <c:ptCount val="1"/>
                <c:pt idx="0">
                  <c:v>We=Np[Bo+(Rp-Rs)Bg] + Wp*Bw - N { [(Bo-Boi)+(Rsi-Rs)Bg] + [Boi*(Pi-P)* ( (Swc*Cw +Cf) / (1-Swc) )] }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Sheet1!$B$2:$B$30</c:f>
              <c:strCache>
                <c:ptCount val="29"/>
                <c:pt idx="0">
                  <c:v>Date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  <c:pt idx="13">
                  <c:v>Nov-20</c:v>
                </c:pt>
                <c:pt idx="14">
                  <c:v>Dec-20</c:v>
                </c:pt>
                <c:pt idx="15">
                  <c:v>Jan-21</c:v>
                </c:pt>
                <c:pt idx="16">
                  <c:v>Feb-21</c:v>
                </c:pt>
                <c:pt idx="17">
                  <c:v>Mar-21</c:v>
                </c:pt>
                <c:pt idx="18">
                  <c:v>Apr-21</c:v>
                </c:pt>
                <c:pt idx="19">
                  <c:v>May-21</c:v>
                </c:pt>
                <c:pt idx="20">
                  <c:v>Jun-21</c:v>
                </c:pt>
                <c:pt idx="21">
                  <c:v>Jul-21</c:v>
                </c:pt>
                <c:pt idx="22">
                  <c:v>Aug-21</c:v>
                </c:pt>
                <c:pt idx="23">
                  <c:v>Sep-21</c:v>
                </c:pt>
                <c:pt idx="24">
                  <c:v>Oct-21</c:v>
                </c:pt>
                <c:pt idx="25">
                  <c:v>Nov-21</c:v>
                </c:pt>
                <c:pt idx="26">
                  <c:v>Dec-21</c:v>
                </c:pt>
                <c:pt idx="27">
                  <c:v>Jan-22</c:v>
                </c:pt>
                <c:pt idx="28">
                  <c:v>Feb-22</c:v>
                </c:pt>
              </c:strCache>
            </c:strRef>
          </c:xVal>
          <c:yVal>
            <c:numRef>
              <c:f>Sheet1!$BG$2:$BG$30</c:f>
              <c:numCache>
                <c:formatCode>General</c:formatCode>
                <c:ptCount val="29"/>
                <c:pt idx="1">
                  <c:v>-556861.85247367108</c:v>
                </c:pt>
                <c:pt idx="2">
                  <c:v>-546237.44556380971</c:v>
                </c:pt>
                <c:pt idx="3">
                  <c:v>-567050.95087593782</c:v>
                </c:pt>
                <c:pt idx="4">
                  <c:v>-467678.01176446956</c:v>
                </c:pt>
                <c:pt idx="5">
                  <c:v>-216098.57757634926</c:v>
                </c:pt>
                <c:pt idx="6">
                  <c:v>25999.595043690759</c:v>
                </c:pt>
                <c:pt idx="7">
                  <c:v>287086.43462822924</c:v>
                </c:pt>
                <c:pt idx="8">
                  <c:v>556837.12080875027</c:v>
                </c:pt>
                <c:pt idx="9">
                  <c:v>818438.72248891473</c:v>
                </c:pt>
                <c:pt idx="10">
                  <c:v>1100892.4853490896</c:v>
                </c:pt>
                <c:pt idx="11">
                  <c:v>1387038.6350088886</c:v>
                </c:pt>
                <c:pt idx="12">
                  <c:v>1705856.3409001771</c:v>
                </c:pt>
                <c:pt idx="13">
                  <c:v>2038623.099099013</c:v>
                </c:pt>
                <c:pt idx="14">
                  <c:v>2257796.6927008396</c:v>
                </c:pt>
                <c:pt idx="15">
                  <c:v>2476258.9991370058</c:v>
                </c:pt>
                <c:pt idx="16">
                  <c:v>2671931.0358181968</c:v>
                </c:pt>
                <c:pt idx="17">
                  <c:v>2829377.9347047745</c:v>
                </c:pt>
                <c:pt idx="18">
                  <c:v>2931851.2539684661</c:v>
                </c:pt>
                <c:pt idx="19">
                  <c:v>3086459.449123783</c:v>
                </c:pt>
                <c:pt idx="20">
                  <c:v>3253078.3300079838</c:v>
                </c:pt>
                <c:pt idx="21">
                  <c:v>3430243.9081056211</c:v>
                </c:pt>
                <c:pt idx="22">
                  <c:v>3608246.8470880869</c:v>
                </c:pt>
                <c:pt idx="23">
                  <c:v>3783506.6822309047</c:v>
                </c:pt>
                <c:pt idx="24">
                  <c:v>3996790.8269868437</c:v>
                </c:pt>
                <c:pt idx="25">
                  <c:v>4163255.9501572596</c:v>
                </c:pt>
                <c:pt idx="26">
                  <c:v>4331486.3327789325</c:v>
                </c:pt>
                <c:pt idx="27">
                  <c:v>4500710.2132334681</c:v>
                </c:pt>
                <c:pt idx="28">
                  <c:v>4657089.9803172471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1A-45F7-A17C-FA864C0E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482336"/>
        <c:axId val="771479936"/>
      </c:scatterChart>
      <c:valAx>
        <c:axId val="77148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79936"/>
        <c:crosses val="autoZero"/>
        <c:crossBetween val="midCat"/>
      </c:valAx>
      <c:valAx>
        <c:axId val="7714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We(BBL)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8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DRIVE INDEX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DDI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  <c:pt idx="28">
                  <c:v>Jan-22</c:v>
                </c:pt>
                <c:pt idx="29">
                  <c:v>Feb-22</c:v>
                </c:pt>
              </c:strCache>
            </c:strRef>
          </c:cat>
          <c:val>
            <c:numRef>
              <c:f>Sheet1!$BL$16:$BL$30</c:f>
              <c:numCache>
                <c:formatCode>General</c:formatCode>
                <c:ptCount val="15"/>
                <c:pt idx="0">
                  <c:v>0.77139680165094393</c:v>
                </c:pt>
                <c:pt idx="1">
                  <c:v>0.71771680905486424</c:v>
                </c:pt>
                <c:pt idx="2">
                  <c:v>0.6731739198076917</c:v>
                </c:pt>
                <c:pt idx="3">
                  <c:v>0.64180234515273726</c:v>
                </c:pt>
                <c:pt idx="4">
                  <c:v>0.62213548479570924</c:v>
                </c:pt>
                <c:pt idx="5">
                  <c:v>0.59408723110255468</c:v>
                </c:pt>
                <c:pt idx="6">
                  <c:v>0.56698869040123279</c:v>
                </c:pt>
                <c:pt idx="7">
                  <c:v>0.54124462373764193</c:v>
                </c:pt>
                <c:pt idx="8">
                  <c:v>0.51742669927475149</c:v>
                </c:pt>
                <c:pt idx="9">
                  <c:v>0.49620949202006498</c:v>
                </c:pt>
                <c:pt idx="10">
                  <c:v>0.47400863930711606</c:v>
                </c:pt>
                <c:pt idx="11">
                  <c:v>0.45925188705854997</c:v>
                </c:pt>
                <c:pt idx="12">
                  <c:v>0.44530429100656665</c:v>
                </c:pt>
                <c:pt idx="13">
                  <c:v>0.43237364394072453</c:v>
                </c:pt>
                <c:pt idx="14">
                  <c:v>0.42199330655176798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FF-4DE2-B110-DE16E9DC80D3}"/>
            </c:ext>
          </c:extLst>
        </c:ser>
        <c:ser>
          <c:idx val="2"/>
          <c:order val="2"/>
          <c:tx>
            <c:v>WDI</c:v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  <c:pt idx="28">
                  <c:v>Jan-22</c:v>
                </c:pt>
                <c:pt idx="29">
                  <c:v>Feb-22</c:v>
                </c:pt>
              </c:strCache>
            </c:strRef>
          </c:cat>
          <c:val>
            <c:numRef>
              <c:f>Sheet1!$BN$16:$BN$30</c:f>
              <c:numCache>
                <c:formatCode>General</c:formatCode>
                <c:ptCount val="15"/>
                <c:pt idx="0">
                  <c:v>1.5596517356260942E-2</c:v>
                </c:pt>
                <c:pt idx="1">
                  <c:v>8.4099227695190043E-2</c:v>
                </c:pt>
                <c:pt idx="2">
                  <c:v>0.14094179588848188</c:v>
                </c:pt>
                <c:pt idx="3">
                  <c:v>0.18097603932877218</c:v>
                </c:pt>
                <c:pt idx="4">
                  <c:v>0.20607353232678816</c:v>
                </c:pt>
                <c:pt idx="5">
                  <c:v>0.24186678238761783</c:v>
                </c:pt>
                <c:pt idx="6">
                  <c:v>0.27644807412210859</c:v>
                </c:pt>
                <c:pt idx="7">
                  <c:v>0.30930087935388201</c:v>
                </c:pt>
                <c:pt idx="8">
                  <c:v>0.3396956745363805</c:v>
                </c:pt>
                <c:pt idx="9">
                  <c:v>0.36677161349384896</c:v>
                </c:pt>
                <c:pt idx="10">
                  <c:v>0.39510281305484585</c:v>
                </c:pt>
                <c:pt idx="11">
                  <c:v>0.41393436417731544</c:v>
                </c:pt>
                <c:pt idx="12">
                  <c:v>0.43173332587730612</c:v>
                </c:pt>
                <c:pt idx="13">
                  <c:v>0.4482345273046513</c:v>
                </c:pt>
                <c:pt idx="14">
                  <c:v>0.46148119912755264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FF-4DE2-B110-DE16E9DC8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410007616"/>
        <c:axId val="410008096"/>
      </c:areaChart>
      <c:lineChart>
        <c:grouping val="standard"/>
        <c:varyColors val="0"/>
        <c:ser>
          <c:idx val="1"/>
          <c:order val="1"/>
          <c:tx>
            <c:v>EDI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Nov-19</c:v>
                </c:pt>
                <c:pt idx="3">
                  <c:v>Dec-19</c:v>
                </c:pt>
                <c:pt idx="4">
                  <c:v>Jan-20</c:v>
                </c:pt>
                <c:pt idx="5">
                  <c:v>Feb-20</c:v>
                </c:pt>
                <c:pt idx="6">
                  <c:v>Mar-20</c:v>
                </c:pt>
                <c:pt idx="7">
                  <c:v>Apr-20</c:v>
                </c:pt>
                <c:pt idx="8">
                  <c:v>May-20</c:v>
                </c:pt>
                <c:pt idx="9">
                  <c:v>Jun-20</c:v>
                </c:pt>
                <c:pt idx="10">
                  <c:v>Jul-20</c:v>
                </c:pt>
                <c:pt idx="11">
                  <c:v>Aug-20</c:v>
                </c:pt>
                <c:pt idx="12">
                  <c:v>Sep-20</c:v>
                </c:pt>
                <c:pt idx="13">
                  <c:v>Oct-20</c:v>
                </c:pt>
                <c:pt idx="14">
                  <c:v>Nov-20</c:v>
                </c:pt>
                <c:pt idx="15">
                  <c:v>Dec-20</c:v>
                </c:pt>
                <c:pt idx="16">
                  <c:v>Jan-21</c:v>
                </c:pt>
                <c:pt idx="17">
                  <c:v>Feb-21</c:v>
                </c:pt>
                <c:pt idx="18">
                  <c:v>Mar-21</c:v>
                </c:pt>
                <c:pt idx="19">
                  <c:v>Apr-21</c:v>
                </c:pt>
                <c:pt idx="20">
                  <c:v>May-21</c:v>
                </c:pt>
                <c:pt idx="21">
                  <c:v>Jun-21</c:v>
                </c:pt>
                <c:pt idx="22">
                  <c:v>Jul-21</c:v>
                </c:pt>
                <c:pt idx="23">
                  <c:v>Aug-21</c:v>
                </c:pt>
                <c:pt idx="24">
                  <c:v>Sep-21</c:v>
                </c:pt>
                <c:pt idx="25">
                  <c:v>Oct-21</c:v>
                </c:pt>
                <c:pt idx="26">
                  <c:v>Nov-21</c:v>
                </c:pt>
                <c:pt idx="27">
                  <c:v>Dec-21</c:v>
                </c:pt>
                <c:pt idx="28">
                  <c:v>Jan-22</c:v>
                </c:pt>
                <c:pt idx="29">
                  <c:v>Feb-22</c:v>
                </c:pt>
              </c:strCache>
            </c:strRef>
          </c:cat>
          <c:val>
            <c:numRef>
              <c:f>Sheet1!$BM$16:$BM$30</c:f>
              <c:numCache>
                <c:formatCode>General</c:formatCode>
                <c:ptCount val="15"/>
                <c:pt idx="0">
                  <c:v>0.21300668099279513</c:v>
                </c:pt>
                <c:pt idx="1">
                  <c:v>0.19818396324994572</c:v>
                </c:pt>
                <c:pt idx="2">
                  <c:v>0.18588428430382642</c:v>
                </c:pt>
                <c:pt idx="3">
                  <c:v>0.17722161551849056</c:v>
                </c:pt>
                <c:pt idx="4">
                  <c:v>0.17179098287750261</c:v>
                </c:pt>
                <c:pt idx="5">
                  <c:v>0.16404598650982749</c:v>
                </c:pt>
                <c:pt idx="6">
                  <c:v>0.15656323547665865</c:v>
                </c:pt>
                <c:pt idx="7">
                  <c:v>0.14945449690847606</c:v>
                </c:pt>
                <c:pt idx="8">
                  <c:v>0.14287762618886801</c:v>
                </c:pt>
                <c:pt idx="9">
                  <c:v>0.13701889448608601</c:v>
                </c:pt>
                <c:pt idx="10">
                  <c:v>0.13088854763803806</c:v>
                </c:pt>
                <c:pt idx="11">
                  <c:v>0.12681374876413457</c:v>
                </c:pt>
                <c:pt idx="12">
                  <c:v>0.12296238311612721</c:v>
                </c:pt>
                <c:pt idx="13">
                  <c:v>0.11939182875462419</c:v>
                </c:pt>
                <c:pt idx="14">
                  <c:v>0.11652549432067931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FF-4DE2-B110-DE16E9DC8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007616"/>
        <c:axId val="410008096"/>
      </c:lineChart>
      <c:catAx>
        <c:axId val="41000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8096"/>
        <c:crosses val="autoZero"/>
        <c:auto val="1"/>
        <c:lblAlgn val="ctr"/>
        <c:lblOffset val="100"/>
        <c:noMultiLvlLbl val="0"/>
      </c:catAx>
      <c:valAx>
        <c:axId val="410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Exponential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PRODUCTION HISTORY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Sheet2!$Z$3:$Z$71</c:f>
              <c:numCache>
                <c:formatCode>General</c:formatCode>
                <c:ptCount val="69"/>
                <c:pt idx="0">
                  <c:v>0</c:v>
                </c:pt>
                <c:pt idx="1">
                  <c:v>1</c:v>
                </c:pt>
                <c:pt idx="2">
                  <c:v>2.0333333333333332</c:v>
                </c:pt>
                <c:pt idx="3">
                  <c:v>3.0666666666666669</c:v>
                </c:pt>
                <c:pt idx="4">
                  <c:v>4.0333333333333332</c:v>
                </c:pt>
                <c:pt idx="5">
                  <c:v>5.0666666666666664</c:v>
                </c:pt>
                <c:pt idx="6">
                  <c:v>6.0666666666666664</c:v>
                </c:pt>
                <c:pt idx="7">
                  <c:v>7.1</c:v>
                </c:pt>
                <c:pt idx="8">
                  <c:v>8.1</c:v>
                </c:pt>
                <c:pt idx="9">
                  <c:v>9.1333333333333329</c:v>
                </c:pt>
                <c:pt idx="10">
                  <c:v>10.166666666666666</c:v>
                </c:pt>
                <c:pt idx="11">
                  <c:v>11.166666666666666</c:v>
                </c:pt>
                <c:pt idx="12">
                  <c:v>12.2</c:v>
                </c:pt>
                <c:pt idx="13">
                  <c:v>13.2</c:v>
                </c:pt>
                <c:pt idx="14">
                  <c:v>14.233333333333333</c:v>
                </c:pt>
                <c:pt idx="15">
                  <c:v>15.266666666666667</c:v>
                </c:pt>
                <c:pt idx="16">
                  <c:v>16.2</c:v>
                </c:pt>
                <c:pt idx="17">
                  <c:v>17.233333333333334</c:v>
                </c:pt>
                <c:pt idx="18">
                  <c:v>18.233333333333334</c:v>
                </c:pt>
                <c:pt idx="19">
                  <c:v>19.266666666666666</c:v>
                </c:pt>
                <c:pt idx="20">
                  <c:v>20.266666666666666</c:v>
                </c:pt>
                <c:pt idx="21">
                  <c:v>21.3</c:v>
                </c:pt>
                <c:pt idx="22">
                  <c:v>22.333333333333332</c:v>
                </c:pt>
                <c:pt idx="23">
                  <c:v>23.333333333333332</c:v>
                </c:pt>
                <c:pt idx="24">
                  <c:v>24.366666666666667</c:v>
                </c:pt>
                <c:pt idx="25">
                  <c:v>25.366666666666667</c:v>
                </c:pt>
                <c:pt idx="26">
                  <c:v>26.4</c:v>
                </c:pt>
                <c:pt idx="27">
                  <c:v>27.433333333333334</c:v>
                </c:pt>
                <c:pt idx="28">
                  <c:v>28.366666666666667</c:v>
                </c:pt>
                <c:pt idx="29">
                  <c:v>29.4</c:v>
                </c:pt>
                <c:pt idx="30">
                  <c:v>30.4</c:v>
                </c:pt>
                <c:pt idx="31">
                  <c:v>31.433333333333334</c:v>
                </c:pt>
                <c:pt idx="32">
                  <c:v>32.43333333333333</c:v>
                </c:pt>
                <c:pt idx="33">
                  <c:v>33.466666666666669</c:v>
                </c:pt>
                <c:pt idx="34">
                  <c:v>34.5</c:v>
                </c:pt>
                <c:pt idx="35">
                  <c:v>35.5</c:v>
                </c:pt>
                <c:pt idx="36">
                  <c:v>36.533333333333331</c:v>
                </c:pt>
                <c:pt idx="37">
                  <c:v>37.533333333333331</c:v>
                </c:pt>
                <c:pt idx="38">
                  <c:v>38.56666666666667</c:v>
                </c:pt>
                <c:pt idx="39">
                  <c:v>39.6</c:v>
                </c:pt>
                <c:pt idx="40">
                  <c:v>40.533333333333331</c:v>
                </c:pt>
                <c:pt idx="41">
                  <c:v>41.56666666666667</c:v>
                </c:pt>
                <c:pt idx="42">
                  <c:v>42.56666666666667</c:v>
                </c:pt>
                <c:pt idx="43">
                  <c:v>43.6</c:v>
                </c:pt>
                <c:pt idx="44">
                  <c:v>44.6</c:v>
                </c:pt>
                <c:pt idx="45">
                  <c:v>45.633333333333333</c:v>
                </c:pt>
                <c:pt idx="46">
                  <c:v>46.666666666666664</c:v>
                </c:pt>
                <c:pt idx="47">
                  <c:v>47.666666666666664</c:v>
                </c:pt>
                <c:pt idx="48">
                  <c:v>48.7</c:v>
                </c:pt>
                <c:pt idx="49">
                  <c:v>49.7</c:v>
                </c:pt>
                <c:pt idx="50">
                  <c:v>50.733333333333334</c:v>
                </c:pt>
                <c:pt idx="51">
                  <c:v>51.766666666666666</c:v>
                </c:pt>
                <c:pt idx="52">
                  <c:v>52.733333333333334</c:v>
                </c:pt>
                <c:pt idx="53">
                  <c:v>53.766666666666666</c:v>
                </c:pt>
                <c:pt idx="54">
                  <c:v>54.766666666666666</c:v>
                </c:pt>
                <c:pt idx="55">
                  <c:v>55.8</c:v>
                </c:pt>
                <c:pt idx="56">
                  <c:v>56.8</c:v>
                </c:pt>
                <c:pt idx="57">
                  <c:v>57.833333333333336</c:v>
                </c:pt>
                <c:pt idx="58">
                  <c:v>58.866666666666667</c:v>
                </c:pt>
                <c:pt idx="59">
                  <c:v>59.866666666666667</c:v>
                </c:pt>
                <c:pt idx="60">
                  <c:v>60.9</c:v>
                </c:pt>
                <c:pt idx="61">
                  <c:v>61.9</c:v>
                </c:pt>
                <c:pt idx="62">
                  <c:v>62.93333333333333</c:v>
                </c:pt>
                <c:pt idx="63">
                  <c:v>63.966666666666669</c:v>
                </c:pt>
                <c:pt idx="64">
                  <c:v>64.900000000000006</c:v>
                </c:pt>
                <c:pt idx="65">
                  <c:v>65.933333333333337</c:v>
                </c:pt>
                <c:pt idx="66">
                  <c:v>66.933333333333337</c:v>
                </c:pt>
                <c:pt idx="67">
                  <c:v>67.966666666666669</c:v>
                </c:pt>
                <c:pt idx="68">
                  <c:v>68.966666666666669</c:v>
                </c:pt>
              </c:numCache>
            </c:numRef>
          </c:xVal>
          <c:yVal>
            <c:numRef>
              <c:f>Sheet2!$W$3:$W$71</c:f>
              <c:numCache>
                <c:formatCode>0</c:formatCode>
                <c:ptCount val="69"/>
                <c:pt idx="0">
                  <c:v>15468.504999999999</c:v>
                </c:pt>
                <c:pt idx="1">
                  <c:v>40944.001999999993</c:v>
                </c:pt>
                <c:pt idx="2">
                  <c:v>68866.967000000004</c:v>
                </c:pt>
                <c:pt idx="3">
                  <c:v>87090.51400000001</c:v>
                </c:pt>
                <c:pt idx="4">
                  <c:v>134854.42199999999</c:v>
                </c:pt>
                <c:pt idx="5">
                  <c:v>130015.28700000001</c:v>
                </c:pt>
                <c:pt idx="6">
                  <c:v>138022.799</c:v>
                </c:pt>
                <c:pt idx="7">
                  <c:v>138846.00900000002</c:v>
                </c:pt>
                <c:pt idx="8">
                  <c:v>131245.66745142598</c:v>
                </c:pt>
                <c:pt idx="9">
                  <c:v>132435.397</c:v>
                </c:pt>
                <c:pt idx="10">
                  <c:v>116076.226</c:v>
                </c:pt>
                <c:pt idx="11">
                  <c:v>107533.57999999999</c:v>
                </c:pt>
                <c:pt idx="12">
                  <c:v>106466.459</c:v>
                </c:pt>
                <c:pt idx="13">
                  <c:v>92715.942999999999</c:v>
                </c:pt>
                <c:pt idx="14">
                  <c:v>81099.654999999999</c:v>
                </c:pt>
                <c:pt idx="15">
                  <c:v>65021.445000000007</c:v>
                </c:pt>
                <c:pt idx="16">
                  <c:v>113979.15700000001</c:v>
                </c:pt>
                <c:pt idx="17">
                  <c:v>100097.83</c:v>
                </c:pt>
                <c:pt idx="18">
                  <c:v>124608.28200000001</c:v>
                </c:pt>
                <c:pt idx="19">
                  <c:v>125100.07699999999</c:v>
                </c:pt>
                <c:pt idx="20">
                  <c:v>124011.67600000001</c:v>
                </c:pt>
                <c:pt idx="21">
                  <c:v>126381.192</c:v>
                </c:pt>
                <c:pt idx="22">
                  <c:v>119995.111</c:v>
                </c:pt>
                <c:pt idx="23">
                  <c:v>120158.351</c:v>
                </c:pt>
                <c:pt idx="24">
                  <c:v>119483.482</c:v>
                </c:pt>
                <c:pt idx="25">
                  <c:v>122235.51699999999</c:v>
                </c:pt>
                <c:pt idx="26">
                  <c:v>107002.86099999999</c:v>
                </c:pt>
                <c:pt idx="27">
                  <c:v>93498.73</c:v>
                </c:pt>
                <c:pt idx="28">
                  <c:v>105447.686</c:v>
                </c:pt>
                <c:pt idx="29">
                  <c:v>114630.66100000001</c:v>
                </c:pt>
                <c:pt idx="30">
                  <c:v>119710.01799999998</c:v>
                </c:pt>
                <c:pt idx="31">
                  <c:v>105533.31</c:v>
                </c:pt>
                <c:pt idx="32">
                  <c:v>93282.532999999996</c:v>
                </c:pt>
                <c:pt idx="33">
                  <c:v>96187.260000000009</c:v>
                </c:pt>
                <c:pt idx="34">
                  <c:v>95354.372000000003</c:v>
                </c:pt>
                <c:pt idx="35">
                  <c:v>98746.597000000009</c:v>
                </c:pt>
                <c:pt idx="36">
                  <c:v>87145.682000000001</c:v>
                </c:pt>
                <c:pt idx="37">
                  <c:v>88622.811000000002</c:v>
                </c:pt>
                <c:pt idx="38">
                  <c:v>95728.669000000009</c:v>
                </c:pt>
                <c:pt idx="39">
                  <c:v>84040.89899999999</c:v>
                </c:pt>
                <c:pt idx="40">
                  <c:v>95356.25</c:v>
                </c:pt>
                <c:pt idx="41">
                  <c:v>91661.606000000014</c:v>
                </c:pt>
                <c:pt idx="42">
                  <c:v>90000.26</c:v>
                </c:pt>
                <c:pt idx="43">
                  <c:v>96831.076000000001</c:v>
                </c:pt>
                <c:pt idx="44">
                  <c:v>104132.47600000001</c:v>
                </c:pt>
                <c:pt idx="45">
                  <c:v>99844.400999999983</c:v>
                </c:pt>
                <c:pt idx="46">
                  <c:v>85463.891000000003</c:v>
                </c:pt>
                <c:pt idx="47">
                  <c:v>86695.178999999989</c:v>
                </c:pt>
                <c:pt idx="48">
                  <c:v>99579.027999999977</c:v>
                </c:pt>
                <c:pt idx="49">
                  <c:v>99716.347999999998</c:v>
                </c:pt>
                <c:pt idx="50">
                  <c:v>94537.144000000015</c:v>
                </c:pt>
                <c:pt idx="51">
                  <c:v>92175.027000000002</c:v>
                </c:pt>
                <c:pt idx="52">
                  <c:v>95911.037000000011</c:v>
                </c:pt>
                <c:pt idx="53">
                  <c:v>90901.804000000004</c:v>
                </c:pt>
                <c:pt idx="54">
                  <c:v>89263.38499999998</c:v>
                </c:pt>
                <c:pt idx="55">
                  <c:v>82879.243000000002</c:v>
                </c:pt>
                <c:pt idx="56">
                  <c:v>85426.828000000009</c:v>
                </c:pt>
                <c:pt idx="57">
                  <c:v>89869.849000000002</c:v>
                </c:pt>
                <c:pt idx="58">
                  <c:v>83661.326000000001</c:v>
                </c:pt>
                <c:pt idx="59">
                  <c:v>80329.785999999993</c:v>
                </c:pt>
                <c:pt idx="60">
                  <c:v>77569.809000000008</c:v>
                </c:pt>
                <c:pt idx="61">
                  <c:v>80172.423999999999</c:v>
                </c:pt>
                <c:pt idx="62">
                  <c:v>77013.626000000004</c:v>
                </c:pt>
                <c:pt idx="63">
                  <c:v>68636.254000000001</c:v>
                </c:pt>
                <c:pt idx="64">
                  <c:v>76138.008999999991</c:v>
                </c:pt>
                <c:pt idx="65">
                  <c:v>66855.275999999998</c:v>
                </c:pt>
                <c:pt idx="66">
                  <c:v>71431.570000000007</c:v>
                </c:pt>
                <c:pt idx="67">
                  <c:v>67182.752999999997</c:v>
                </c:pt>
                <c:pt idx="68">
                  <c:v>67837.206999999995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E-49CF-9C8D-0B57D0947513}"/>
            </c:ext>
          </c:extLst>
        </c:ser>
        <c:ser>
          <c:idx val="1"/>
          <c:order val="1"/>
          <c:tx>
            <c:v>NEW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7.2418568693711952E-2"/>
                  <c:y val="-0.1681169183407469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chemeClr val="accent2"/>
                        </a:solidFill>
                      </a:rPr>
                      <a:t>y = 267251e</a:t>
                    </a:r>
                    <a:r>
                      <a:rPr lang="en-US" sz="1000" baseline="30000">
                        <a:solidFill>
                          <a:schemeClr val="accent2"/>
                        </a:solidFill>
                      </a:rPr>
                      <a:t>-0.02x</a:t>
                    </a:r>
                    <a:br>
                      <a:rPr lang="en-US" baseline="0"/>
                    </a:br>
                    <a:r>
                      <a:rPr lang="en-US" baseline="0"/>
                      <a:t>R² = 0.9312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Sheet2!$Z$51:$Z$71</c:f>
              <c:numCache>
                <c:formatCode>General</c:formatCode>
                <c:ptCount val="21"/>
                <c:pt idx="0">
                  <c:v>48.7</c:v>
                </c:pt>
                <c:pt idx="1">
                  <c:v>49.7</c:v>
                </c:pt>
                <c:pt idx="2">
                  <c:v>50.733333333333334</c:v>
                </c:pt>
                <c:pt idx="3">
                  <c:v>51.766666666666666</c:v>
                </c:pt>
                <c:pt idx="4">
                  <c:v>52.733333333333334</c:v>
                </c:pt>
                <c:pt idx="5">
                  <c:v>53.766666666666666</c:v>
                </c:pt>
                <c:pt idx="6">
                  <c:v>54.766666666666666</c:v>
                </c:pt>
                <c:pt idx="7">
                  <c:v>55.8</c:v>
                </c:pt>
                <c:pt idx="8">
                  <c:v>56.8</c:v>
                </c:pt>
                <c:pt idx="9">
                  <c:v>57.833333333333336</c:v>
                </c:pt>
                <c:pt idx="10">
                  <c:v>58.866666666666667</c:v>
                </c:pt>
                <c:pt idx="11">
                  <c:v>59.866666666666667</c:v>
                </c:pt>
                <c:pt idx="12">
                  <c:v>60.9</c:v>
                </c:pt>
                <c:pt idx="13">
                  <c:v>61.9</c:v>
                </c:pt>
                <c:pt idx="14">
                  <c:v>62.93333333333333</c:v>
                </c:pt>
                <c:pt idx="15">
                  <c:v>63.966666666666669</c:v>
                </c:pt>
                <c:pt idx="16">
                  <c:v>64.900000000000006</c:v>
                </c:pt>
                <c:pt idx="17">
                  <c:v>65.933333333333337</c:v>
                </c:pt>
                <c:pt idx="18">
                  <c:v>66.933333333333337</c:v>
                </c:pt>
                <c:pt idx="19">
                  <c:v>67.966666666666669</c:v>
                </c:pt>
                <c:pt idx="20">
                  <c:v>68.966666666666669</c:v>
                </c:pt>
              </c:numCache>
            </c:numRef>
          </c:xVal>
          <c:yVal>
            <c:numRef>
              <c:f>Sheet2!$W$51:$W$71</c:f>
              <c:numCache>
                <c:formatCode>0</c:formatCode>
                <c:ptCount val="21"/>
                <c:pt idx="0">
                  <c:v>99579.027999999977</c:v>
                </c:pt>
                <c:pt idx="1">
                  <c:v>99716.347999999998</c:v>
                </c:pt>
                <c:pt idx="2">
                  <c:v>94537.144000000015</c:v>
                </c:pt>
                <c:pt idx="3">
                  <c:v>92175.027000000002</c:v>
                </c:pt>
                <c:pt idx="4">
                  <c:v>95911.037000000011</c:v>
                </c:pt>
                <c:pt idx="5">
                  <c:v>90901.804000000004</c:v>
                </c:pt>
                <c:pt idx="6">
                  <c:v>89263.38499999998</c:v>
                </c:pt>
                <c:pt idx="7">
                  <c:v>82879.243000000002</c:v>
                </c:pt>
                <c:pt idx="8">
                  <c:v>85426.828000000009</c:v>
                </c:pt>
                <c:pt idx="9">
                  <c:v>89869.849000000002</c:v>
                </c:pt>
                <c:pt idx="10">
                  <c:v>83661.326000000001</c:v>
                </c:pt>
                <c:pt idx="11">
                  <c:v>80329.785999999993</c:v>
                </c:pt>
                <c:pt idx="12">
                  <c:v>77569.809000000008</c:v>
                </c:pt>
                <c:pt idx="13">
                  <c:v>80172.423999999999</c:v>
                </c:pt>
                <c:pt idx="14">
                  <c:v>77013.626000000004</c:v>
                </c:pt>
                <c:pt idx="15">
                  <c:v>68636.254000000001</c:v>
                </c:pt>
                <c:pt idx="16">
                  <c:v>76138.008999999991</c:v>
                </c:pt>
                <c:pt idx="17">
                  <c:v>66855.275999999998</c:v>
                </c:pt>
                <c:pt idx="18">
                  <c:v>71431.570000000007</c:v>
                </c:pt>
                <c:pt idx="19">
                  <c:v>67182.752999999997</c:v>
                </c:pt>
                <c:pt idx="20">
                  <c:v>67837.206999999995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E-49CF-9C8D-0B57D0947513}"/>
            </c:ext>
          </c:extLst>
        </c:ser>
        <c:ser>
          <c:idx val="2"/>
          <c:order val="2"/>
          <c:tx>
            <c:v>extratpolate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Sheet2!$Z$51:$Z$203</c:f>
              <c:numCache>
                <c:formatCode>General</c:formatCode>
                <c:ptCount val="153"/>
                <c:pt idx="0">
                  <c:v>48.7</c:v>
                </c:pt>
                <c:pt idx="1">
                  <c:v>49.7</c:v>
                </c:pt>
                <c:pt idx="2">
                  <c:v>50.733333333333334</c:v>
                </c:pt>
                <c:pt idx="3">
                  <c:v>51.766666666666666</c:v>
                </c:pt>
                <c:pt idx="4">
                  <c:v>52.733333333333334</c:v>
                </c:pt>
                <c:pt idx="5">
                  <c:v>53.766666666666666</c:v>
                </c:pt>
                <c:pt idx="6">
                  <c:v>54.766666666666666</c:v>
                </c:pt>
                <c:pt idx="7">
                  <c:v>55.8</c:v>
                </c:pt>
                <c:pt idx="8">
                  <c:v>56.8</c:v>
                </c:pt>
                <c:pt idx="9">
                  <c:v>57.833333333333336</c:v>
                </c:pt>
                <c:pt idx="10">
                  <c:v>58.866666666666667</c:v>
                </c:pt>
                <c:pt idx="11">
                  <c:v>59.866666666666667</c:v>
                </c:pt>
                <c:pt idx="12">
                  <c:v>60.9</c:v>
                </c:pt>
                <c:pt idx="13">
                  <c:v>61.9</c:v>
                </c:pt>
                <c:pt idx="14">
                  <c:v>62.93333333333333</c:v>
                </c:pt>
                <c:pt idx="15">
                  <c:v>63.966666666666669</c:v>
                </c:pt>
                <c:pt idx="16">
                  <c:v>64.900000000000006</c:v>
                </c:pt>
                <c:pt idx="17">
                  <c:v>65.933333333333337</c:v>
                </c:pt>
                <c:pt idx="18">
                  <c:v>66.933333333333337</c:v>
                </c:pt>
                <c:pt idx="19">
                  <c:v>67.966666666666669</c:v>
                </c:pt>
                <c:pt idx="20">
                  <c:v>68.966666666666669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  <c:pt idx="37">
                  <c:v>85</c:v>
                </c:pt>
                <c:pt idx="38">
                  <c:v>86</c:v>
                </c:pt>
                <c:pt idx="39">
                  <c:v>87</c:v>
                </c:pt>
                <c:pt idx="40">
                  <c:v>88</c:v>
                </c:pt>
                <c:pt idx="41">
                  <c:v>89</c:v>
                </c:pt>
                <c:pt idx="42">
                  <c:v>90</c:v>
                </c:pt>
                <c:pt idx="43">
                  <c:v>91</c:v>
                </c:pt>
                <c:pt idx="44">
                  <c:v>92</c:v>
                </c:pt>
                <c:pt idx="45">
                  <c:v>93</c:v>
                </c:pt>
                <c:pt idx="46">
                  <c:v>94</c:v>
                </c:pt>
                <c:pt idx="47">
                  <c:v>95</c:v>
                </c:pt>
                <c:pt idx="48">
                  <c:v>96</c:v>
                </c:pt>
                <c:pt idx="49">
                  <c:v>97</c:v>
                </c:pt>
                <c:pt idx="50">
                  <c:v>98</c:v>
                </c:pt>
                <c:pt idx="51">
                  <c:v>99</c:v>
                </c:pt>
                <c:pt idx="52">
                  <c:v>100</c:v>
                </c:pt>
                <c:pt idx="53">
                  <c:v>101</c:v>
                </c:pt>
                <c:pt idx="54">
                  <c:v>102</c:v>
                </c:pt>
                <c:pt idx="55">
                  <c:v>103</c:v>
                </c:pt>
                <c:pt idx="56">
                  <c:v>104</c:v>
                </c:pt>
                <c:pt idx="57">
                  <c:v>105</c:v>
                </c:pt>
                <c:pt idx="58">
                  <c:v>106</c:v>
                </c:pt>
                <c:pt idx="59">
                  <c:v>107</c:v>
                </c:pt>
                <c:pt idx="60">
                  <c:v>108</c:v>
                </c:pt>
                <c:pt idx="61">
                  <c:v>109</c:v>
                </c:pt>
                <c:pt idx="62">
                  <c:v>110</c:v>
                </c:pt>
                <c:pt idx="63">
                  <c:v>111</c:v>
                </c:pt>
                <c:pt idx="64">
                  <c:v>112</c:v>
                </c:pt>
                <c:pt idx="65">
                  <c:v>113</c:v>
                </c:pt>
                <c:pt idx="66">
                  <c:v>114</c:v>
                </c:pt>
                <c:pt idx="67">
                  <c:v>115</c:v>
                </c:pt>
                <c:pt idx="68">
                  <c:v>116</c:v>
                </c:pt>
                <c:pt idx="69">
                  <c:v>117</c:v>
                </c:pt>
                <c:pt idx="70">
                  <c:v>118</c:v>
                </c:pt>
                <c:pt idx="71">
                  <c:v>119</c:v>
                </c:pt>
                <c:pt idx="72">
                  <c:v>120</c:v>
                </c:pt>
                <c:pt idx="73">
                  <c:v>121</c:v>
                </c:pt>
                <c:pt idx="74">
                  <c:v>122</c:v>
                </c:pt>
                <c:pt idx="75">
                  <c:v>123</c:v>
                </c:pt>
                <c:pt idx="76">
                  <c:v>124</c:v>
                </c:pt>
                <c:pt idx="77">
                  <c:v>125</c:v>
                </c:pt>
                <c:pt idx="78">
                  <c:v>126</c:v>
                </c:pt>
                <c:pt idx="79">
                  <c:v>127</c:v>
                </c:pt>
                <c:pt idx="80">
                  <c:v>128</c:v>
                </c:pt>
                <c:pt idx="81">
                  <c:v>129</c:v>
                </c:pt>
                <c:pt idx="82">
                  <c:v>130</c:v>
                </c:pt>
                <c:pt idx="83">
                  <c:v>131</c:v>
                </c:pt>
                <c:pt idx="84">
                  <c:v>132</c:v>
                </c:pt>
                <c:pt idx="85">
                  <c:v>133</c:v>
                </c:pt>
                <c:pt idx="86">
                  <c:v>134</c:v>
                </c:pt>
                <c:pt idx="87">
                  <c:v>135</c:v>
                </c:pt>
                <c:pt idx="88">
                  <c:v>136</c:v>
                </c:pt>
                <c:pt idx="89">
                  <c:v>137</c:v>
                </c:pt>
                <c:pt idx="90">
                  <c:v>138</c:v>
                </c:pt>
                <c:pt idx="91">
                  <c:v>139</c:v>
                </c:pt>
                <c:pt idx="92">
                  <c:v>140</c:v>
                </c:pt>
                <c:pt idx="93">
                  <c:v>141</c:v>
                </c:pt>
                <c:pt idx="94">
                  <c:v>142</c:v>
                </c:pt>
                <c:pt idx="95">
                  <c:v>143</c:v>
                </c:pt>
                <c:pt idx="96">
                  <c:v>144</c:v>
                </c:pt>
                <c:pt idx="97">
                  <c:v>145</c:v>
                </c:pt>
                <c:pt idx="98">
                  <c:v>146</c:v>
                </c:pt>
                <c:pt idx="99">
                  <c:v>147</c:v>
                </c:pt>
                <c:pt idx="100">
                  <c:v>148</c:v>
                </c:pt>
                <c:pt idx="101">
                  <c:v>149</c:v>
                </c:pt>
                <c:pt idx="102">
                  <c:v>150</c:v>
                </c:pt>
                <c:pt idx="103">
                  <c:v>151</c:v>
                </c:pt>
                <c:pt idx="104">
                  <c:v>152</c:v>
                </c:pt>
                <c:pt idx="105">
                  <c:v>153</c:v>
                </c:pt>
                <c:pt idx="106">
                  <c:v>154</c:v>
                </c:pt>
                <c:pt idx="107">
                  <c:v>155</c:v>
                </c:pt>
                <c:pt idx="108">
                  <c:v>156</c:v>
                </c:pt>
                <c:pt idx="109">
                  <c:v>157</c:v>
                </c:pt>
                <c:pt idx="110">
                  <c:v>158</c:v>
                </c:pt>
                <c:pt idx="111">
                  <c:v>159</c:v>
                </c:pt>
                <c:pt idx="112">
                  <c:v>160</c:v>
                </c:pt>
                <c:pt idx="113">
                  <c:v>161</c:v>
                </c:pt>
                <c:pt idx="114">
                  <c:v>162</c:v>
                </c:pt>
                <c:pt idx="115">
                  <c:v>163</c:v>
                </c:pt>
                <c:pt idx="116">
                  <c:v>164</c:v>
                </c:pt>
                <c:pt idx="117">
                  <c:v>165</c:v>
                </c:pt>
                <c:pt idx="118">
                  <c:v>166</c:v>
                </c:pt>
                <c:pt idx="119">
                  <c:v>167</c:v>
                </c:pt>
                <c:pt idx="120">
                  <c:v>168</c:v>
                </c:pt>
                <c:pt idx="121">
                  <c:v>169</c:v>
                </c:pt>
                <c:pt idx="122">
                  <c:v>170</c:v>
                </c:pt>
                <c:pt idx="123">
                  <c:v>171</c:v>
                </c:pt>
                <c:pt idx="124">
                  <c:v>172</c:v>
                </c:pt>
                <c:pt idx="125">
                  <c:v>173</c:v>
                </c:pt>
                <c:pt idx="126">
                  <c:v>174</c:v>
                </c:pt>
                <c:pt idx="127">
                  <c:v>175</c:v>
                </c:pt>
              </c:numCache>
            </c:numRef>
          </c:xVal>
          <c:yVal>
            <c:numRef>
              <c:f>Sheet2!$AA$51:$AA$203</c:f>
              <c:numCache>
                <c:formatCode>General</c:formatCode>
                <c:ptCount val="153"/>
                <c:pt idx="21">
                  <c:v>67234.619883772975</c:v>
                </c:pt>
                <c:pt idx="22">
                  <c:v>65903.285210358255</c:v>
                </c:pt>
                <c:pt idx="23">
                  <c:v>64598.312729749887</c:v>
                </c:pt>
                <c:pt idx="24">
                  <c:v>63319.180435555725</c:v>
                </c:pt>
                <c:pt idx="25">
                  <c:v>62065.376657802779</c:v>
                </c:pt>
                <c:pt idx="26">
                  <c:v>60836.399858262339</c:v>
                </c:pt>
                <c:pt idx="27">
                  <c:v>59631.75842982802</c:v>
                </c:pt>
                <c:pt idx="28">
                  <c:v>58450.970499866344</c:v>
                </c:pt>
                <c:pt idx="29">
                  <c:v>57293.563737461285</c:v>
                </c:pt>
                <c:pt idx="30">
                  <c:v>56159.075164475573</c:v>
                </c:pt>
                <c:pt idx="31">
                  <c:v>55047.050970353303</c:v>
                </c:pt>
                <c:pt idx="32">
                  <c:v>53957.046330589648</c:v>
                </c:pt>
                <c:pt idx="33">
                  <c:v>52888.625228795099</c:v>
                </c:pt>
                <c:pt idx="34">
                  <c:v>51841.360282283145</c:v>
                </c:pt>
                <c:pt idx="35">
                  <c:v>50814.832571111452</c:v>
                </c:pt>
                <c:pt idx="36">
                  <c:v>49808.631470508357</c:v>
                </c:pt>
                <c:pt idx="37">
                  <c:v>48822.354486617391</c:v>
                </c:pt>
                <c:pt idx="38">
                  <c:v>47855.607095494473</c:v>
                </c:pt>
                <c:pt idx="39">
                  <c:v>46908.002585293027</c:v>
                </c:pt>
                <c:pt idx="40">
                  <c:v>45979.16190157408</c:v>
                </c:pt>
                <c:pt idx="41">
                  <c:v>45068.713495679418</c:v>
                </c:pt>
                <c:pt idx="42">
                  <c:v>44176.293176107225</c:v>
                </c:pt>
                <c:pt idx="43">
                  <c:v>43301.543962830561</c:v>
                </c:pt>
                <c:pt idx="44">
                  <c:v>42444.115944500656</c:v>
                </c:pt>
                <c:pt idx="45">
                  <c:v>41603.666138477645</c:v>
                </c:pt>
                <c:pt idx="46">
                  <c:v>40779.858353632968</c:v>
                </c:pt>
                <c:pt idx="47">
                  <c:v>39972.363055868438</c:v>
                </c:pt>
                <c:pt idx="48">
                  <c:v>39180.857236298209</c:v>
                </c:pt>
                <c:pt idx="49">
                  <c:v>38405.024282040882</c:v>
                </c:pt>
                <c:pt idx="50">
                  <c:v>37644.553849570199</c:v>
                </c:pt>
                <c:pt idx="51">
                  <c:v>36899.141740573417</c:v>
                </c:pt>
                <c:pt idx="52">
                  <c:v>36168.489780267984</c:v>
                </c:pt>
                <c:pt idx="53">
                  <c:v>35452.30569812761</c:v>
                </c:pt>
                <c:pt idx="54">
                  <c:v>34750.303010970201</c:v>
                </c:pt>
                <c:pt idx="55">
                  <c:v>34062.200908360741</c:v>
                </c:pt>
                <c:pt idx="56">
                  <c:v>33387.724140283346</c:v>
                </c:pt>
                <c:pt idx="57">
                  <c:v>32726.602907037668</c:v>
                </c:pt>
                <c:pt idx="58">
                  <c:v>32078.572751315322</c:v>
                </c:pt>
                <c:pt idx="59">
                  <c:v>31443.374452413507</c:v>
                </c:pt>
                <c:pt idx="60">
                  <c:v>30820.753922543245</c:v>
                </c:pt>
                <c:pt idx="61">
                  <c:v>30210.462105190862</c:v>
                </c:pt>
                <c:pt idx="62">
                  <c:v>29612.25487549209</c:v>
                </c:pt>
                <c:pt idx="63">
                  <c:v>29025.892942578841</c:v>
                </c:pt>
                <c:pt idx="64">
                  <c:v>28451.141753859691</c:v>
                </c:pt>
                <c:pt idx="65">
                  <c:v>27887.7714011957</c:v>
                </c:pt>
                <c:pt idx="66">
                  <c:v>27335.556528934096</c:v>
                </c:pt>
                <c:pt idx="67">
                  <c:v>26794.276243763012</c:v>
                </c:pt>
                <c:pt idx="68">
                  <c:v>26263.714026351226</c:v>
                </c:pt>
                <c:pt idx="69">
                  <c:v>25743.657644737494</c:v>
                </c:pt>
                <c:pt idx="70">
                  <c:v>25233.899069435</c:v>
                </c:pt>
                <c:pt idx="71">
                  <c:v>24734.234390216756</c:v>
                </c:pt>
                <c:pt idx="72">
                  <c:v>24244.463734548783</c:v>
                </c:pt>
                <c:pt idx="73">
                  <c:v>23764.391187638459</c:v>
                </c:pt>
                <c:pt idx="74">
                  <c:v>23293.824714065962</c:v>
                </c:pt>
                <c:pt idx="75">
                  <c:v>22832.576080967567</c:v>
                </c:pt>
                <c:pt idx="76">
                  <c:v>22380.460782739963</c:v>
                </c:pt>
                <c:pt idx="77">
                  <c:v>21937.29796723558</c:v>
                </c:pt>
                <c:pt idx="78">
                  <c:v>21502.910363419294</c:v>
                </c:pt>
                <c:pt idx="79">
                  <c:v>21077.12421045767</c:v>
                </c:pt>
                <c:pt idx="80">
                  <c:v>20659.7691882123</c:v>
                </c:pt>
                <c:pt idx="81">
                  <c:v>20250.678349109479</c:v>
                </c:pt>
                <c:pt idx="82">
                  <c:v>19849.688051358942</c:v>
                </c:pt>
                <c:pt idx="83">
                  <c:v>19456.63789349499</c:v>
                </c:pt>
                <c:pt idx="84">
                  <c:v>19071.370650213728</c:v>
                </c:pt>
                <c:pt idx="85">
                  <c:v>18693.732209480888</c:v>
                </c:pt>
                <c:pt idx="86">
                  <c:v>18323.571510884925</c:v>
                </c:pt>
                <c:pt idx="87">
                  <c:v>17960.740485210863</c:v>
                </c:pt>
                <c:pt idx="88">
                  <c:v>17605.093995210613</c:v>
                </c:pt>
                <c:pt idx="89">
                  <c:v>17256.489777546169</c:v>
                </c:pt>
                <c:pt idx="90">
                  <c:v>16914.788385882337</c:v>
                </c:pt>
                <c:pt idx="91">
                  <c:v>16579.853135106379</c:v>
                </c:pt>
                <c:pt idx="92">
                  <c:v>16251.550046652123</c:v>
                </c:pt>
                <c:pt idx="93">
                  <c:v>15929.747794906754</c:v>
                </c:pt>
                <c:pt idx="94">
                  <c:v>15614.317654678811</c:v>
                </c:pt>
                <c:pt idx="95">
                  <c:v>15305.133449706416</c:v>
                </c:pt>
                <c:pt idx="96">
                  <c:v>15002.071502185072</c:v>
                </c:pt>
                <c:pt idx="97">
                  <c:v>14705.010583294888</c:v>
                </c:pt>
                <c:pt idx="98">
                  <c:v>14413.831864707447</c:v>
                </c:pt>
                <c:pt idx="99">
                  <c:v>14128.418871052874</c:v>
                </c:pt>
                <c:pt idx="100">
                  <c:v>13848.657433328151</c:v>
                </c:pt>
                <c:pt idx="101">
                  <c:v>13574.435643227989</c:v>
                </c:pt>
                <c:pt idx="102">
                  <c:v>13305.643808380008</c:v>
                </c:pt>
                <c:pt idx="103">
                  <c:v>13042.174408466326</c:v>
                </c:pt>
                <c:pt idx="104">
                  <c:v>12783.922052214008</c:v>
                </c:pt>
                <c:pt idx="105">
                  <c:v>12530.783435237143</c:v>
                </c:pt>
                <c:pt idx="106">
                  <c:v>12282.657298713713</c:v>
                </c:pt>
                <c:pt idx="107">
                  <c:v>12039.444388880716</c:v>
                </c:pt>
                <c:pt idx="108">
                  <c:v>11801.047417331336</c:v>
                </c:pt>
                <c:pt idx="109">
                  <c:v>11567.371022098288</c:v>
                </c:pt>
                <c:pt idx="110">
                  <c:v>11338.321729507748</c:v>
                </c:pt>
                <c:pt idx="111">
                  <c:v>11113.807916788648</c:v>
                </c:pt>
                <c:pt idx="112">
                  <c:v>10893.739775422348</c:v>
                </c:pt>
                <c:pt idx="113">
                  <c:v>10678.029275218014</c:v>
                </c:pt>
                <c:pt idx="114">
                  <c:v>10466.590129099392</c:v>
                </c:pt>
                <c:pt idx="115">
                  <c:v>10259.337758588805</c:v>
                </c:pt>
                <c:pt idx="116">
                  <c:v>10056.189259974646</c:v>
                </c:pt>
                <c:pt idx="117">
                  <c:v>9857.0633711487899</c:v>
                </c:pt>
                <c:pt idx="118">
                  <c:v>9661.8804391006579</c:v>
                </c:pt>
                <c:pt idx="119">
                  <c:v>9470.5623880549574</c:v>
                </c:pt>
                <c:pt idx="120">
                  <c:v>9283.032688240326</c:v>
                </c:pt>
                <c:pt idx="121">
                  <c:v>9099.2163252764094</c:v>
                </c:pt>
                <c:pt idx="122">
                  <c:v>8919.0397701671045</c:v>
                </c:pt>
                <c:pt idx="123">
                  <c:v>8742.4309498879848</c:v>
                </c:pt>
                <c:pt idx="124">
                  <c:v>8569.3192185561184</c:v>
                </c:pt>
                <c:pt idx="125">
                  <c:v>8399.6353291707892</c:v>
                </c:pt>
                <c:pt idx="126">
                  <c:v>8233.311405913757</c:v>
                </c:pt>
                <c:pt idx="127">
                  <c:v>8070.2809169980419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1E-49CF-9C8D-0B57D0947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808415"/>
        <c:axId val="1464809375"/>
      </c:scatterChart>
      <c:valAx>
        <c:axId val="146480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09375"/>
        <c:crosses val="autoZero"/>
        <c:crossBetween val="midCat"/>
      </c:valAx>
      <c:valAx>
        <c:axId val="146480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floe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08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13" Type="http://schemas.openxmlformats.org/officeDocument/2006/relationships/chart" Target="../charts/chart34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Relationship Id="rId14" Type="http://schemas.openxmlformats.org/officeDocument/2006/relationships/chart" Target="../charts/chart3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3462</xdr:colOff>
      <xdr:row>0</xdr:row>
      <xdr:rowOff>364548</xdr:rowOff>
    </xdr:from>
    <xdr:to>
      <xdr:col>51</xdr:col>
      <xdr:colOff>279687</xdr:colOff>
      <xdr:row>40</xdr:row>
      <xdr:rowOff>147782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EEAB2-8E23-2987-F825-83479201A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1026531</xdr:colOff>
      <xdr:row>7</xdr:row>
      <xdr:rowOff>143552</xdr:rowOff>
    </xdr:from>
    <xdr:to>
      <xdr:col>15</xdr:col>
      <xdr:colOff>495644</xdr:colOff>
      <xdr:row>19</xdr:row>
      <xdr:rowOff>50467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A3FC6-DE58-5CE3-BA27-1932C2CE7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1702293</xdr:colOff>
      <xdr:row>13</xdr:row>
      <xdr:rowOff>142521</xdr:rowOff>
    </xdr:from>
    <xdr:to>
      <xdr:col>9</xdr:col>
      <xdr:colOff>459419</xdr:colOff>
      <xdr:row>28</xdr:row>
      <xdr:rowOff>111401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515210-E9F1-AD84-F865-74D80531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5774</xdr:colOff>
      <xdr:row>0</xdr:row>
      <xdr:rowOff>473364</xdr:rowOff>
    </xdr:from>
    <xdr:to>
      <xdr:col>35</xdr:col>
      <xdr:colOff>11207</xdr:colOff>
      <xdr:row>25</xdr:row>
      <xdr:rowOff>78441</xdr:rowOff>
    </xdr:to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40849CC6-7E58-ED6A-540D-877A4AB62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503158</xdr:colOff>
      <xdr:row>0</xdr:row>
      <xdr:rowOff>0</xdr:rowOff>
    </xdr:from>
    <xdr:to>
      <xdr:col>70</xdr:col>
      <xdr:colOff>332862</xdr:colOff>
      <xdr:row>22</xdr:row>
      <xdr:rowOff>121781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FC46C1-9113-DBF9-E13B-E726F9E5E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242187</xdr:colOff>
      <xdr:row>0</xdr:row>
      <xdr:rowOff>271096</xdr:rowOff>
    </xdr:from>
    <xdr:to>
      <xdr:col>48</xdr:col>
      <xdr:colOff>208817</xdr:colOff>
      <xdr:row>23</xdr:row>
      <xdr:rowOff>39386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15F916-6478-B1F2-E49D-767DB54BF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66597</xdr:colOff>
      <xdr:row>32</xdr:row>
      <xdr:rowOff>98732</xdr:rowOff>
    </xdr:from>
    <xdr:to>
      <xdr:col>54</xdr:col>
      <xdr:colOff>408213</xdr:colOff>
      <xdr:row>64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D3CCA0-F23D-6F64-FC94-931D867B2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400373</xdr:colOff>
      <xdr:row>0</xdr:row>
      <xdr:rowOff>516194</xdr:rowOff>
    </xdr:from>
    <xdr:to>
      <xdr:col>41</xdr:col>
      <xdr:colOff>467032</xdr:colOff>
      <xdr:row>34</xdr:row>
      <xdr:rowOff>98323</xdr:rowOff>
    </xdr:to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88672865-395E-A973-D5B6-2D2434572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369442</xdr:colOff>
      <xdr:row>22</xdr:row>
      <xdr:rowOff>5981</xdr:rowOff>
    </xdr:from>
    <xdr:to>
      <xdr:col>64</xdr:col>
      <xdr:colOff>260192</xdr:colOff>
      <xdr:row>37</xdr:row>
      <xdr:rowOff>80771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BFA210-FEED-A20B-0179-4D2922B28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22693</xdr:colOff>
      <xdr:row>4</xdr:row>
      <xdr:rowOff>153495</xdr:rowOff>
    </xdr:from>
    <xdr:to>
      <xdr:col>53</xdr:col>
      <xdr:colOff>319553</xdr:colOff>
      <xdr:row>30</xdr:row>
      <xdr:rowOff>16445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303F5F-9EE9-EBD9-0A71-970D89AAA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127868</xdr:colOff>
      <xdr:row>33</xdr:row>
      <xdr:rowOff>140238</xdr:rowOff>
    </xdr:from>
    <xdr:to>
      <xdr:col>47</xdr:col>
      <xdr:colOff>556493</xdr:colOff>
      <xdr:row>60</xdr:row>
      <xdr:rowOff>29115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BEB127-E34A-4C79-8987-1E9C35374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228600</xdr:colOff>
      <xdr:row>1</xdr:row>
      <xdr:rowOff>102870</xdr:rowOff>
    </xdr:from>
    <xdr:to>
      <xdr:col>26</xdr:col>
      <xdr:colOff>586740</xdr:colOff>
      <xdr:row>17</xdr:row>
      <xdr:rowOff>38878</xdr:rowOff>
    </xdr:to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68BAD462-C1EF-F9A8-1786-E1ABA4BAF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232617</xdr:colOff>
      <xdr:row>0</xdr:row>
      <xdr:rowOff>165877</xdr:rowOff>
    </xdr:from>
    <xdr:to>
      <xdr:col>67</xdr:col>
      <xdr:colOff>543638</xdr:colOff>
      <xdr:row>12</xdr:row>
      <xdr:rowOff>179873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72B9B9-7328-C36F-FC44-BD8DB44CE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15939</xdr:colOff>
      <xdr:row>0</xdr:row>
      <xdr:rowOff>89243</xdr:rowOff>
    </xdr:from>
    <xdr:to>
      <xdr:col>51</xdr:col>
      <xdr:colOff>135080</xdr:colOff>
      <xdr:row>27</xdr:row>
      <xdr:rowOff>112135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5C505A-05C5-C0BF-610B-89AA0FFB1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596813</xdr:colOff>
      <xdr:row>34</xdr:row>
      <xdr:rowOff>179694</xdr:rowOff>
    </xdr:from>
    <xdr:to>
      <xdr:col>53</xdr:col>
      <xdr:colOff>596077</xdr:colOff>
      <xdr:row>76</xdr:row>
      <xdr:rowOff>132530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D060C3-EC0C-47AB-BFF0-143A94932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147940</xdr:colOff>
      <xdr:row>0</xdr:row>
      <xdr:rowOff>408878</xdr:rowOff>
    </xdr:from>
    <xdr:to>
      <xdr:col>53</xdr:col>
      <xdr:colOff>544180</xdr:colOff>
      <xdr:row>14</xdr:row>
      <xdr:rowOff>90511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DAD88-F3AC-3A4D-3248-50BB1BF7A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479644</xdr:colOff>
      <xdr:row>0</xdr:row>
      <xdr:rowOff>324257</xdr:rowOff>
    </xdr:from>
    <xdr:to>
      <xdr:col>36</xdr:col>
      <xdr:colOff>124296</xdr:colOff>
      <xdr:row>14</xdr:row>
      <xdr:rowOff>24720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99862A-7983-944A-2428-990A4ADD5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16348</xdr:colOff>
      <xdr:row>36</xdr:row>
      <xdr:rowOff>184438</xdr:rowOff>
    </xdr:from>
    <xdr:to>
      <xdr:col>50</xdr:col>
      <xdr:colOff>242081</xdr:colOff>
      <xdr:row>66</xdr:row>
      <xdr:rowOff>127351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92B6D-E232-660B-4640-62A0058C1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24848</xdr:colOff>
      <xdr:row>3</xdr:row>
      <xdr:rowOff>97276</xdr:rowOff>
    </xdr:from>
    <xdr:to>
      <xdr:col>52</xdr:col>
      <xdr:colOff>445851</xdr:colOff>
      <xdr:row>28</xdr:row>
      <xdr:rowOff>24240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769962-8DFD-26B9-4B51-9F1EE296B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543657</xdr:colOff>
      <xdr:row>1</xdr:row>
      <xdr:rowOff>62869</xdr:rowOff>
    </xdr:from>
    <xdr:to>
      <xdr:col>61</xdr:col>
      <xdr:colOff>9793</xdr:colOff>
      <xdr:row>40</xdr:row>
      <xdr:rowOff>21191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0FABE-9910-674C-E35B-E067D79A3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595616</xdr:colOff>
      <xdr:row>5</xdr:row>
      <xdr:rowOff>123749</xdr:rowOff>
    </xdr:from>
    <xdr:to>
      <xdr:col>45</xdr:col>
      <xdr:colOff>590193</xdr:colOff>
      <xdr:row>30</xdr:row>
      <xdr:rowOff>26231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11EEC1-BBFB-8423-FD90-D044D13FE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501316</xdr:colOff>
      <xdr:row>13</xdr:row>
      <xdr:rowOff>179137</xdr:rowOff>
    </xdr:from>
    <xdr:to>
      <xdr:col>25</xdr:col>
      <xdr:colOff>260684</xdr:colOff>
      <xdr:row>28</xdr:row>
      <xdr:rowOff>114968</xdr:rowOff>
    </xdr:to>
    <xdr:graphicFrame macro="">
      <xdr:nvGraphicFramePr>
        <xdr:cNvPr id="3" name="Chart 2" hidden="1">
          <a:extLst>
            <a:ext uri="{FF2B5EF4-FFF2-40B4-BE49-F238E27FC236}">
              <a16:creationId xmlns:a16="http://schemas.microsoft.com/office/drawing/2014/main" id="{1C05987F-B8D9-A6BB-9A4D-ABC28E0B7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314704</xdr:colOff>
      <xdr:row>43</xdr:row>
      <xdr:rowOff>85832</xdr:rowOff>
    </xdr:from>
    <xdr:to>
      <xdr:col>45</xdr:col>
      <xdr:colOff>74072</xdr:colOff>
      <xdr:row>58</xdr:row>
      <xdr:rowOff>21663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ABECFF-3B5F-AB5E-28D4-78CB1BC7E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501316</xdr:colOff>
      <xdr:row>13</xdr:row>
      <xdr:rowOff>179137</xdr:rowOff>
    </xdr:from>
    <xdr:to>
      <xdr:col>25</xdr:col>
      <xdr:colOff>260684</xdr:colOff>
      <xdr:row>28</xdr:row>
      <xdr:rowOff>114968</xdr:rowOff>
    </xdr:to>
    <xdr:graphicFrame macro="">
      <xdr:nvGraphicFramePr>
        <xdr:cNvPr id="5" name="Chart 4" hidden="1">
          <a:extLst>
            <a:ext uri="{FF2B5EF4-FFF2-40B4-BE49-F238E27FC236}">
              <a16:creationId xmlns:a16="http://schemas.microsoft.com/office/drawing/2014/main" id="{B319C4F2-882A-F723-2721-27DA921D8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501316</xdr:colOff>
      <xdr:row>13</xdr:row>
      <xdr:rowOff>179137</xdr:rowOff>
    </xdr:from>
    <xdr:to>
      <xdr:col>25</xdr:col>
      <xdr:colOff>260684</xdr:colOff>
      <xdr:row>28</xdr:row>
      <xdr:rowOff>114968</xdr:rowOff>
    </xdr:to>
    <xdr:graphicFrame macro="">
      <xdr:nvGraphicFramePr>
        <xdr:cNvPr id="7" name="Chart 6" hidden="1">
          <a:extLst>
            <a:ext uri="{FF2B5EF4-FFF2-40B4-BE49-F238E27FC236}">
              <a16:creationId xmlns:a16="http://schemas.microsoft.com/office/drawing/2014/main" id="{712BB200-E391-A345-F28C-EA4DD7F4B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501316</xdr:colOff>
      <xdr:row>13</xdr:row>
      <xdr:rowOff>179137</xdr:rowOff>
    </xdr:from>
    <xdr:to>
      <xdr:col>25</xdr:col>
      <xdr:colOff>260684</xdr:colOff>
      <xdr:row>28</xdr:row>
      <xdr:rowOff>114968</xdr:rowOff>
    </xdr:to>
    <xdr:graphicFrame macro="">
      <xdr:nvGraphicFramePr>
        <xdr:cNvPr id="8" name="Chart 7" hidden="1">
          <a:extLst>
            <a:ext uri="{FF2B5EF4-FFF2-40B4-BE49-F238E27FC236}">
              <a16:creationId xmlns:a16="http://schemas.microsoft.com/office/drawing/2014/main" id="{6440EA62-A593-DD10-6C90-7D59AE6DE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501316</xdr:colOff>
      <xdr:row>13</xdr:row>
      <xdr:rowOff>179137</xdr:rowOff>
    </xdr:from>
    <xdr:to>
      <xdr:col>27</xdr:col>
      <xdr:colOff>260684</xdr:colOff>
      <xdr:row>28</xdr:row>
      <xdr:rowOff>114968</xdr:rowOff>
    </xdr:to>
    <xdr:graphicFrame macro="">
      <xdr:nvGraphicFramePr>
        <xdr:cNvPr id="9" name="Chart 8" hidden="1">
          <a:extLst>
            <a:ext uri="{FF2B5EF4-FFF2-40B4-BE49-F238E27FC236}">
              <a16:creationId xmlns:a16="http://schemas.microsoft.com/office/drawing/2014/main" id="{A4064EC8-FDBD-3327-CA66-B80CF6676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206375</xdr:colOff>
      <xdr:row>4</xdr:row>
      <xdr:rowOff>21431</xdr:rowOff>
    </xdr:from>
    <xdr:to>
      <xdr:col>16</xdr:col>
      <xdr:colOff>555625</xdr:colOff>
      <xdr:row>19</xdr:row>
      <xdr:rowOff>26193</xdr:rowOff>
    </xdr:to>
    <xdr:graphicFrame macro="">
      <xdr:nvGraphicFramePr>
        <xdr:cNvPr id="10" name="Chart 9" hidden="1">
          <a:extLst>
            <a:ext uri="{FF2B5EF4-FFF2-40B4-BE49-F238E27FC236}">
              <a16:creationId xmlns:a16="http://schemas.microsoft.com/office/drawing/2014/main" id="{AAC4F504-AF50-E22C-E500-49B7B2CB0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45</xdr:col>
      <xdr:colOff>367788</xdr:colOff>
      <xdr:row>0</xdr:row>
      <xdr:rowOff>324112</xdr:rowOff>
    </xdr:from>
    <xdr:to>
      <xdr:col>53</xdr:col>
      <xdr:colOff>66967</xdr:colOff>
      <xdr:row>13</xdr:row>
      <xdr:rowOff>90197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2FA9DB4-06D7-1BCE-6E51-D40E26861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529936</xdr:colOff>
      <xdr:row>2</xdr:row>
      <xdr:rowOff>45027</xdr:rowOff>
    </xdr:from>
    <xdr:to>
      <xdr:col>27</xdr:col>
      <xdr:colOff>280554</xdr:colOff>
      <xdr:row>17</xdr:row>
      <xdr:rowOff>86591</xdr:rowOff>
    </xdr:to>
    <xdr:graphicFrame macro="">
      <xdr:nvGraphicFramePr>
        <xdr:cNvPr id="12" name="Chart 11" hidden="1">
          <a:extLst>
            <a:ext uri="{FF2B5EF4-FFF2-40B4-BE49-F238E27FC236}">
              <a16:creationId xmlns:a16="http://schemas.microsoft.com/office/drawing/2014/main" id="{DEBDF05C-B78C-7E40-BF67-F49722B1C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529936</xdr:colOff>
      <xdr:row>2</xdr:row>
      <xdr:rowOff>45027</xdr:rowOff>
    </xdr:from>
    <xdr:to>
      <xdr:col>27</xdr:col>
      <xdr:colOff>280554</xdr:colOff>
      <xdr:row>17</xdr:row>
      <xdr:rowOff>86591</xdr:rowOff>
    </xdr:to>
    <xdr:graphicFrame macro="">
      <xdr:nvGraphicFramePr>
        <xdr:cNvPr id="13" name="Chart 12" hidden="1">
          <a:extLst>
            <a:ext uri="{FF2B5EF4-FFF2-40B4-BE49-F238E27FC236}">
              <a16:creationId xmlns:a16="http://schemas.microsoft.com/office/drawing/2014/main" id="{1BB6CD5F-F082-E3F0-FD5D-6D9EFC987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2101445</xdr:colOff>
      <xdr:row>3</xdr:row>
      <xdr:rowOff>37808</xdr:rowOff>
    </xdr:from>
    <xdr:to>
      <xdr:col>32</xdr:col>
      <xdr:colOff>57102</xdr:colOff>
      <xdr:row>22</xdr:row>
      <xdr:rowOff>72887</xdr:rowOff>
    </xdr:to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4E685E8E-652B-9F81-FC49-A0B72DCA4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334616</xdr:colOff>
      <xdr:row>0</xdr:row>
      <xdr:rowOff>0</xdr:rowOff>
    </xdr:from>
    <xdr:to>
      <xdr:col>43</xdr:col>
      <xdr:colOff>523460</xdr:colOff>
      <xdr:row>20</xdr:row>
      <xdr:rowOff>0</xdr:rowOff>
    </xdr:to>
    <xdr:graphicFrame macro="">
      <xdr:nvGraphicFramePr>
        <xdr:cNvPr id="4" name="Chart 3" hidden="1">
          <a:extLst>
            <a:ext uri="{FF2B5EF4-FFF2-40B4-BE49-F238E27FC236}">
              <a16:creationId xmlns:a16="http://schemas.microsoft.com/office/drawing/2014/main" id="{05D6E902-6182-70BF-0BAB-EB1559965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49</xdr:col>
      <xdr:colOff>3737</xdr:colOff>
      <xdr:row>20</xdr:row>
      <xdr:rowOff>76200</xdr:rowOff>
    </xdr:from>
    <xdr:to>
      <xdr:col>60</xdr:col>
      <xdr:colOff>273317</xdr:colOff>
      <xdr:row>45</xdr:row>
      <xdr:rowOff>147970</xdr:rowOff>
    </xdr:to>
    <xdr:graphicFrame macro="">
      <xdr:nvGraphicFramePr>
        <xdr:cNvPr id="14" name="Chart 13" hidden="1">
          <a:extLst>
            <a:ext uri="{FF2B5EF4-FFF2-40B4-BE49-F238E27FC236}">
              <a16:creationId xmlns:a16="http://schemas.microsoft.com/office/drawing/2014/main" id="{9E4FADE5-EF4F-ACE8-7A3E-06D840E6C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61471</xdr:colOff>
      <xdr:row>3</xdr:row>
      <xdr:rowOff>67405</xdr:rowOff>
    </xdr:from>
    <xdr:to>
      <xdr:col>49</xdr:col>
      <xdr:colOff>86454</xdr:colOff>
      <xdr:row>34</xdr:row>
      <xdr:rowOff>4947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DA4B8EC-0A68-93A0-2F15-36DF00BFA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1556650</xdr:colOff>
      <xdr:row>46</xdr:row>
      <xdr:rowOff>140199</xdr:rowOff>
    </xdr:from>
    <xdr:to>
      <xdr:col>66</xdr:col>
      <xdr:colOff>277380</xdr:colOff>
      <xdr:row>67</xdr:row>
      <xdr:rowOff>98287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903F9-6C74-2756-4258-7594EB1E8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325932</xdr:colOff>
      <xdr:row>46</xdr:row>
      <xdr:rowOff>38100</xdr:rowOff>
    </xdr:from>
    <xdr:to>
      <xdr:col>86</xdr:col>
      <xdr:colOff>135433</xdr:colOff>
      <xdr:row>83</xdr:row>
      <xdr:rowOff>183710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1C1591-A414-AB1E-6D02-E41F4D120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520700</xdr:colOff>
      <xdr:row>1</xdr:row>
      <xdr:rowOff>123687</xdr:rowOff>
    </xdr:from>
    <xdr:to>
      <xdr:col>86</xdr:col>
      <xdr:colOff>276087</xdr:colOff>
      <xdr:row>40</xdr:row>
      <xdr:rowOff>32026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8F7AAC-E8D7-4417-EA41-B7FA7A25B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142666</xdr:colOff>
      <xdr:row>3</xdr:row>
      <xdr:rowOff>44599</xdr:rowOff>
    </xdr:from>
    <xdr:to>
      <xdr:col>50</xdr:col>
      <xdr:colOff>137748</xdr:colOff>
      <xdr:row>24</xdr:row>
      <xdr:rowOff>747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888E-0610-145F-EAE4-959F4C743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4D97-2290-4CD3-BD16-C0E557525DF3}">
  <dimension ref="A1:V70"/>
  <sheetViews>
    <sheetView zoomScale="84" zoomScaleNormal="55" workbookViewId="0">
      <selection activeCell="H2" sqref="H2:H70"/>
    </sheetView>
  </sheetViews>
  <sheetFormatPr defaultRowHeight="14.4" x14ac:dyDescent="0.3"/>
  <cols>
    <col min="8" max="8" width="15.5546875" bestFit="1" customWidth="1"/>
    <col min="14" max="15" width="9.33203125" bestFit="1" customWidth="1"/>
    <col min="20" max="20" width="16.88671875" customWidth="1"/>
    <col min="21" max="21" width="21.109375" customWidth="1"/>
  </cols>
  <sheetData>
    <row r="1" spans="1:22" ht="52.8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12</v>
      </c>
      <c r="K1" s="12" t="s">
        <v>9</v>
      </c>
      <c r="L1" s="12" t="s">
        <v>13</v>
      </c>
      <c r="M1" s="12" t="s">
        <v>14</v>
      </c>
      <c r="N1" s="13" t="s">
        <v>15</v>
      </c>
      <c r="O1" s="13" t="s">
        <v>16</v>
      </c>
      <c r="P1" s="13" t="s">
        <v>10</v>
      </c>
      <c r="Q1" s="13" t="s">
        <v>11</v>
      </c>
      <c r="R1" s="24" t="s">
        <v>41</v>
      </c>
      <c r="T1" s="73" t="s">
        <v>158</v>
      </c>
      <c r="U1" s="73" t="s">
        <v>159</v>
      </c>
      <c r="V1" s="73" t="s">
        <v>153</v>
      </c>
    </row>
    <row r="2" spans="1:22" x14ac:dyDescent="0.3">
      <c r="A2" s="14">
        <v>43770</v>
      </c>
      <c r="B2" s="15">
        <v>516.57791476666659</v>
      </c>
      <c r="C2" s="15">
        <v>515.61683333333326</v>
      </c>
      <c r="D2" s="15">
        <v>0.9610814333333334</v>
      </c>
      <c r="E2" s="15">
        <v>2427.7333333333331</v>
      </c>
      <c r="F2" s="15">
        <v>0</v>
      </c>
      <c r="G2" s="15">
        <v>15468.504999999999</v>
      </c>
      <c r="H2" s="17">
        <v>2.0706707029999995E-3</v>
      </c>
      <c r="I2" s="15">
        <v>72832</v>
      </c>
      <c r="J2" s="15"/>
      <c r="K2" s="15">
        <v>28.832443000000001</v>
      </c>
      <c r="L2" s="15">
        <v>0</v>
      </c>
      <c r="M2" s="16">
        <v>1</v>
      </c>
      <c r="N2" s="18">
        <f>H2</f>
        <v>2.0706707029999995E-3</v>
      </c>
      <c r="O2" s="20">
        <f>I2/1000000</f>
        <v>7.2831999999999994E-2</v>
      </c>
      <c r="P2" s="15">
        <f t="shared" ref="P2:P33" si="0">IF(G2&gt;0,K2/(G2+K2)*100,0)</f>
        <v>0.18604772017159207</v>
      </c>
      <c r="Q2" s="15">
        <f t="shared" ref="Q2:Q33" si="1">I2/(G2/6.2898)</f>
        <v>29.614931345983337</v>
      </c>
      <c r="R2">
        <f>A2-$A$2</f>
        <v>0</v>
      </c>
      <c r="T2" s="25">
        <f>G2</f>
        <v>15468.504999999999</v>
      </c>
      <c r="U2">
        <f>T2/(35*10^6)</f>
        <v>4.4195728571428571E-4</v>
      </c>
      <c r="V2">
        <f>U2*100</f>
        <v>4.4195728571428568E-2</v>
      </c>
    </row>
    <row r="3" spans="1:22" x14ac:dyDescent="0.3">
      <c r="A3" s="14">
        <v>43800</v>
      </c>
      <c r="B3" s="15">
        <v>1331.7231766451612</v>
      </c>
      <c r="C3" s="15">
        <v>1320.7742580645161</v>
      </c>
      <c r="D3" s="15">
        <v>10.948918580645163</v>
      </c>
      <c r="E3" s="15">
        <v>4109.5161290322585</v>
      </c>
      <c r="F3" s="15">
        <v>0</v>
      </c>
      <c r="G3" s="15">
        <v>40944.001999999993</v>
      </c>
      <c r="H3" s="17">
        <v>5.4809139909999995E-3</v>
      </c>
      <c r="I3" s="15">
        <v>127395</v>
      </c>
      <c r="J3" s="15"/>
      <c r="K3" s="15">
        <v>339.41647600000005</v>
      </c>
      <c r="L3" s="15">
        <v>0</v>
      </c>
      <c r="M3" s="16">
        <v>2</v>
      </c>
      <c r="N3" s="18">
        <f t="shared" ref="N3:N34" si="2">N2+H3</f>
        <v>7.551584693999999E-3</v>
      </c>
      <c r="O3" s="20">
        <f t="shared" ref="O3:O34" si="3">O2+I3/1000000</f>
        <v>0.20022699999999999</v>
      </c>
      <c r="P3" s="15">
        <f t="shared" si="0"/>
        <v>0.82216175047935758</v>
      </c>
      <c r="Q3" s="15">
        <f t="shared" si="1"/>
        <v>19.570365178274468</v>
      </c>
      <c r="R3">
        <f t="shared" ref="R3:R66" si="4">A3-$A$2</f>
        <v>30</v>
      </c>
      <c r="T3" s="25">
        <f>T2+G3</f>
        <v>56412.506999999991</v>
      </c>
      <c r="U3">
        <f t="shared" ref="U3:U66" si="5">T3/(35*10^6)</f>
        <v>1.6117859142857141E-3</v>
      </c>
      <c r="V3">
        <f t="shared" ref="V3:V66" si="6">U3*100</f>
        <v>0.16117859142857141</v>
      </c>
    </row>
    <row r="4" spans="1:22" x14ac:dyDescent="0.3">
      <c r="A4" s="14">
        <v>43831</v>
      </c>
      <c r="B4" s="15">
        <v>2233.3469898709682</v>
      </c>
      <c r="C4" s="15">
        <v>2221.5150645161293</v>
      </c>
      <c r="D4" s="15">
        <v>11.83192535483871</v>
      </c>
      <c r="E4" s="15">
        <v>2463.9677419354839</v>
      </c>
      <c r="F4" s="15">
        <v>0</v>
      </c>
      <c r="G4" s="15">
        <v>68866.967000000004</v>
      </c>
      <c r="H4" s="17">
        <v>9.2187842969999999E-3</v>
      </c>
      <c r="I4" s="15">
        <v>76383</v>
      </c>
      <c r="J4" s="15"/>
      <c r="K4" s="15">
        <v>366.78968599999996</v>
      </c>
      <c r="L4" s="15">
        <v>0</v>
      </c>
      <c r="M4" s="16">
        <v>2</v>
      </c>
      <c r="N4" s="18">
        <f t="shared" si="2"/>
        <v>1.6770368990999998E-2</v>
      </c>
      <c r="O4" s="20">
        <f t="shared" si="3"/>
        <v>0.27661000000000002</v>
      </c>
      <c r="P4" s="15">
        <f t="shared" si="0"/>
        <v>0.52978446289361869</v>
      </c>
      <c r="Q4" s="15">
        <f t="shared" si="1"/>
        <v>6.976258928319</v>
      </c>
      <c r="R4">
        <f t="shared" si="4"/>
        <v>61</v>
      </c>
      <c r="T4" s="25">
        <f t="shared" ref="T4:T67" si="7">T3+G4</f>
        <v>125279.47399999999</v>
      </c>
      <c r="U4">
        <f t="shared" si="5"/>
        <v>3.5794135428571425E-3</v>
      </c>
      <c r="V4">
        <f t="shared" si="6"/>
        <v>0.35794135428571427</v>
      </c>
    </row>
    <row r="5" spans="1:22" x14ac:dyDescent="0.3">
      <c r="A5" s="14">
        <v>43862</v>
      </c>
      <c r="B5" s="15">
        <v>3074.8418097931035</v>
      </c>
      <c r="C5" s="15">
        <v>3003.1211724137934</v>
      </c>
      <c r="D5" s="15">
        <v>71.720637379310347</v>
      </c>
      <c r="E5" s="15">
        <v>18664.862068965514</v>
      </c>
      <c r="F5" s="15">
        <v>0</v>
      </c>
      <c r="G5" s="15">
        <v>87090.51400000001</v>
      </c>
      <c r="H5" s="17">
        <v>1.1658255007000001E-2</v>
      </c>
      <c r="I5" s="15">
        <v>541281</v>
      </c>
      <c r="J5" s="15"/>
      <c r="K5" s="15">
        <v>2079.8984839999998</v>
      </c>
      <c r="L5" s="15">
        <v>0</v>
      </c>
      <c r="M5" s="16">
        <v>4</v>
      </c>
      <c r="N5" s="18">
        <f t="shared" si="2"/>
        <v>2.8428623997999999E-2</v>
      </c>
      <c r="O5" s="20">
        <f t="shared" si="3"/>
        <v>0.81789100000000003</v>
      </c>
      <c r="P5" s="15">
        <f t="shared" si="0"/>
        <v>2.3324984443390337</v>
      </c>
      <c r="Q5" s="15">
        <f t="shared" si="1"/>
        <v>39.092078774503491</v>
      </c>
      <c r="R5">
        <f t="shared" si="4"/>
        <v>92</v>
      </c>
      <c r="T5" s="25">
        <f t="shared" si="7"/>
        <v>212369.98800000001</v>
      </c>
      <c r="U5">
        <f t="shared" si="5"/>
        <v>6.0677139428571428E-3</v>
      </c>
      <c r="V5">
        <f t="shared" si="6"/>
        <v>0.60677139428571425</v>
      </c>
    </row>
    <row r="6" spans="1:22" x14ac:dyDescent="0.3">
      <c r="A6" s="14">
        <v>43891</v>
      </c>
      <c r="B6" s="15">
        <v>4551.2038123548391</v>
      </c>
      <c r="C6" s="15">
        <v>4350.1426451612906</v>
      </c>
      <c r="D6" s="15">
        <v>201.06116719354836</v>
      </c>
      <c r="E6" s="15">
        <v>37983.129032258061</v>
      </c>
      <c r="F6" s="15">
        <v>0</v>
      </c>
      <c r="G6" s="15">
        <v>134854.42199999999</v>
      </c>
      <c r="H6" s="17">
        <v>1.8052106583999999E-2</v>
      </c>
      <c r="I6" s="15">
        <v>1177477</v>
      </c>
      <c r="J6" s="15"/>
      <c r="K6" s="15">
        <v>6232.8961829999998</v>
      </c>
      <c r="L6" s="15">
        <v>0</v>
      </c>
      <c r="M6" s="16">
        <v>4</v>
      </c>
      <c r="N6" s="18">
        <f t="shared" si="2"/>
        <v>4.6480730582000002E-2</v>
      </c>
      <c r="O6" s="20">
        <f t="shared" si="3"/>
        <v>1.995368</v>
      </c>
      <c r="P6" s="15">
        <f t="shared" si="0"/>
        <v>4.4177579269849776</v>
      </c>
      <c r="Q6" s="15">
        <f t="shared" si="1"/>
        <v>54.919184145107231</v>
      </c>
      <c r="R6">
        <f t="shared" si="4"/>
        <v>121</v>
      </c>
      <c r="T6" s="25">
        <f t="shared" si="7"/>
        <v>347224.41000000003</v>
      </c>
      <c r="U6">
        <f t="shared" si="5"/>
        <v>9.9206974285714292E-3</v>
      </c>
      <c r="V6">
        <f t="shared" si="6"/>
        <v>0.99206974285714289</v>
      </c>
    </row>
    <row r="7" spans="1:22" x14ac:dyDescent="0.3">
      <c r="A7" s="14">
        <v>43922</v>
      </c>
      <c r="B7" s="15">
        <v>4554.8624885999998</v>
      </c>
      <c r="C7" s="15">
        <v>4333.8428999999996</v>
      </c>
      <c r="D7" s="15">
        <v>221.01958859999999</v>
      </c>
      <c r="E7" s="15">
        <v>37711.800000000003</v>
      </c>
      <c r="F7" s="15">
        <v>0</v>
      </c>
      <c r="G7" s="15">
        <v>130015.287</v>
      </c>
      <c r="H7" s="17">
        <v>1.7404322242999998E-2</v>
      </c>
      <c r="I7" s="15">
        <v>1131354</v>
      </c>
      <c r="J7" s="15"/>
      <c r="K7" s="15">
        <v>6630.5876579999995</v>
      </c>
      <c r="L7" s="15">
        <v>0</v>
      </c>
      <c r="M7" s="16">
        <v>4</v>
      </c>
      <c r="N7" s="18">
        <f t="shared" si="2"/>
        <v>6.3885052824999997E-2</v>
      </c>
      <c r="O7" s="20">
        <f t="shared" si="3"/>
        <v>3.126722</v>
      </c>
      <c r="P7" s="15">
        <f t="shared" si="0"/>
        <v>4.852387731861767</v>
      </c>
      <c r="Q7" s="15">
        <f t="shared" si="1"/>
        <v>54.731951552743183</v>
      </c>
      <c r="R7">
        <f t="shared" si="4"/>
        <v>152</v>
      </c>
      <c r="T7" s="25">
        <f t="shared" si="7"/>
        <v>477239.69700000004</v>
      </c>
      <c r="U7">
        <f t="shared" si="5"/>
        <v>1.3635419914285716E-2</v>
      </c>
      <c r="V7">
        <f t="shared" si="6"/>
        <v>1.3635419914285716</v>
      </c>
    </row>
    <row r="8" spans="1:22" x14ac:dyDescent="0.3">
      <c r="A8" s="14">
        <v>43952</v>
      </c>
      <c r="B8" s="15">
        <v>4741.1337682580643</v>
      </c>
      <c r="C8" s="15">
        <v>4452.3483548387103</v>
      </c>
      <c r="D8" s="15">
        <v>288.78541341935482</v>
      </c>
      <c r="E8" s="15">
        <v>38992.580645161288</v>
      </c>
      <c r="F8" s="15">
        <v>0</v>
      </c>
      <c r="G8" s="15">
        <v>138022.799</v>
      </c>
      <c r="H8" s="17">
        <v>1.8476237120000003E-2</v>
      </c>
      <c r="I8" s="15">
        <v>1208770</v>
      </c>
      <c r="J8" s="15"/>
      <c r="K8" s="15">
        <v>8952.3478159999995</v>
      </c>
      <c r="L8" s="15">
        <v>0</v>
      </c>
      <c r="M8" s="16">
        <v>4</v>
      </c>
      <c r="N8" s="18">
        <f t="shared" si="2"/>
        <v>8.2361289944999999E-2</v>
      </c>
      <c r="O8" s="20">
        <f t="shared" si="3"/>
        <v>4.3354920000000003</v>
      </c>
      <c r="P8" s="15">
        <f t="shared" si="0"/>
        <v>6.091062339408686</v>
      </c>
      <c r="Q8" s="15">
        <f t="shared" si="1"/>
        <v>55.084533867480836</v>
      </c>
      <c r="R8">
        <f t="shared" si="4"/>
        <v>182</v>
      </c>
      <c r="T8" s="25">
        <f t="shared" si="7"/>
        <v>615262.49600000004</v>
      </c>
      <c r="U8">
        <f t="shared" si="5"/>
        <v>1.7578928457142859E-2</v>
      </c>
      <c r="V8">
        <f t="shared" si="6"/>
        <v>1.7578928457142859</v>
      </c>
    </row>
    <row r="9" spans="1:22" x14ac:dyDescent="0.3">
      <c r="A9" s="14">
        <v>43983</v>
      </c>
      <c r="B9" s="15">
        <v>5157.0676500333338</v>
      </c>
      <c r="C9" s="15">
        <v>4628.2003000000004</v>
      </c>
      <c r="D9" s="15">
        <v>528.86735003333331</v>
      </c>
      <c r="E9" s="15">
        <v>40561.4</v>
      </c>
      <c r="F9" s="15">
        <v>0</v>
      </c>
      <c r="G9" s="15">
        <v>138846.00900000002</v>
      </c>
      <c r="H9" s="17">
        <v>1.8586435024000002E-2</v>
      </c>
      <c r="I9" s="15">
        <v>1216842</v>
      </c>
      <c r="J9" s="15"/>
      <c r="K9" s="15">
        <v>15866.020500999999</v>
      </c>
      <c r="L9" s="15">
        <v>0</v>
      </c>
      <c r="M9" s="16">
        <v>4</v>
      </c>
      <c r="N9" s="18">
        <f t="shared" si="2"/>
        <v>0.10094772496900001</v>
      </c>
      <c r="O9" s="20">
        <f t="shared" si="3"/>
        <v>5.5523340000000001</v>
      </c>
      <c r="P9" s="15">
        <f t="shared" si="0"/>
        <v>10.255195121008638</v>
      </c>
      <c r="Q9" s="15">
        <f t="shared" si="1"/>
        <v>55.123606841302866</v>
      </c>
      <c r="R9">
        <f t="shared" si="4"/>
        <v>213</v>
      </c>
      <c r="T9" s="25">
        <f t="shared" si="7"/>
        <v>754108.50500000012</v>
      </c>
      <c r="U9">
        <f t="shared" si="5"/>
        <v>2.154595728571429E-2</v>
      </c>
      <c r="V9">
        <f t="shared" si="6"/>
        <v>2.154595728571429</v>
      </c>
    </row>
    <row r="10" spans="1:22" x14ac:dyDescent="0.3">
      <c r="A10" s="14">
        <v>44013</v>
      </c>
      <c r="B10" s="15">
        <v>5075.399374723419</v>
      </c>
      <c r="C10" s="15">
        <v>4233.7312081105165</v>
      </c>
      <c r="D10" s="15">
        <v>841.66816661290329</v>
      </c>
      <c r="E10" s="15">
        <v>36586.129032258068</v>
      </c>
      <c r="F10" s="15">
        <v>0</v>
      </c>
      <c r="G10" s="15">
        <v>131245.66745142598</v>
      </c>
      <c r="H10" s="17">
        <v>1.7577880099E-2</v>
      </c>
      <c r="I10" s="15">
        <v>1134170</v>
      </c>
      <c r="J10" s="15"/>
      <c r="K10" s="15">
        <v>26091.713165000001</v>
      </c>
      <c r="L10" s="15">
        <v>0</v>
      </c>
      <c r="M10" s="16">
        <v>4</v>
      </c>
      <c r="N10" s="18">
        <f t="shared" si="2"/>
        <v>0.118525605068</v>
      </c>
      <c r="O10" s="20">
        <f t="shared" si="3"/>
        <v>6.6865040000000002</v>
      </c>
      <c r="P10" s="15">
        <f t="shared" si="0"/>
        <v>16.583289401905827</v>
      </c>
      <c r="Q10" s="15">
        <f t="shared" si="1"/>
        <v>54.353813002171542</v>
      </c>
      <c r="R10">
        <f t="shared" si="4"/>
        <v>243</v>
      </c>
      <c r="T10" s="25">
        <f t="shared" si="7"/>
        <v>885354.17245142604</v>
      </c>
      <c r="U10">
        <f t="shared" si="5"/>
        <v>2.5295833498612173E-2</v>
      </c>
      <c r="V10">
        <f t="shared" si="6"/>
        <v>2.5295833498612175</v>
      </c>
    </row>
    <row r="11" spans="1:22" x14ac:dyDescent="0.3">
      <c r="A11" s="14">
        <v>44044</v>
      </c>
      <c r="B11" s="15">
        <v>5198.5133242580641</v>
      </c>
      <c r="C11" s="15">
        <v>4272.1095806451613</v>
      </c>
      <c r="D11" s="15">
        <v>926.40374361290321</v>
      </c>
      <c r="E11" s="15">
        <v>38776.93548387097</v>
      </c>
      <c r="F11" s="15">
        <v>0</v>
      </c>
      <c r="G11" s="15">
        <v>132435.397</v>
      </c>
      <c r="H11" s="17">
        <v>1.7728287028999999E-2</v>
      </c>
      <c r="I11" s="15">
        <v>1202085</v>
      </c>
      <c r="J11" s="15"/>
      <c r="K11" s="15">
        <v>28718.516051999999</v>
      </c>
      <c r="L11" s="15">
        <v>0</v>
      </c>
      <c r="M11" s="16">
        <v>4</v>
      </c>
      <c r="N11" s="18">
        <f t="shared" si="2"/>
        <v>0.13625389209700001</v>
      </c>
      <c r="O11" s="20">
        <f t="shared" si="3"/>
        <v>7.8885890000000005</v>
      </c>
      <c r="P11" s="15">
        <f t="shared" si="0"/>
        <v>17.820551489018648</v>
      </c>
      <c r="Q11" s="15">
        <f t="shared" si="1"/>
        <v>57.091037624933463</v>
      </c>
      <c r="R11">
        <f t="shared" si="4"/>
        <v>274</v>
      </c>
      <c r="T11" s="25">
        <f t="shared" si="7"/>
        <v>1017789.569451426</v>
      </c>
      <c r="U11">
        <f t="shared" si="5"/>
        <v>2.9079701984326457E-2</v>
      </c>
      <c r="V11">
        <f t="shared" si="6"/>
        <v>2.9079701984326456</v>
      </c>
    </row>
    <row r="12" spans="1:22" x14ac:dyDescent="0.3">
      <c r="A12" s="14">
        <v>44075</v>
      </c>
      <c r="B12" s="15">
        <v>5011.4444383</v>
      </c>
      <c r="C12" s="15">
        <v>3869.2075333333332</v>
      </c>
      <c r="D12" s="15">
        <v>1142.2369049666665</v>
      </c>
      <c r="E12" s="15">
        <v>38640.633333333331</v>
      </c>
      <c r="F12" s="15">
        <v>0</v>
      </c>
      <c r="G12" s="15">
        <v>116076.226</v>
      </c>
      <c r="H12" s="17">
        <v>1.5538388516999999E-2</v>
      </c>
      <c r="I12" s="15">
        <v>1159219</v>
      </c>
      <c r="J12" s="15"/>
      <c r="K12" s="15">
        <v>34267.107148999996</v>
      </c>
      <c r="L12" s="15">
        <v>0</v>
      </c>
      <c r="M12" s="16">
        <v>4</v>
      </c>
      <c r="N12" s="18">
        <f t="shared" si="2"/>
        <v>0.15179228061400002</v>
      </c>
      <c r="O12" s="20">
        <f t="shared" si="3"/>
        <v>9.0478079999999999</v>
      </c>
      <c r="P12" s="15">
        <f t="shared" si="0"/>
        <v>22.792568470621223</v>
      </c>
      <c r="Q12" s="15">
        <f t="shared" si="1"/>
        <v>62.814375668967735</v>
      </c>
      <c r="R12">
        <f t="shared" si="4"/>
        <v>305</v>
      </c>
      <c r="T12" s="25">
        <f t="shared" si="7"/>
        <v>1133865.7954514259</v>
      </c>
      <c r="U12">
        <f t="shared" si="5"/>
        <v>3.2396165584326453E-2</v>
      </c>
      <c r="V12">
        <f t="shared" si="6"/>
        <v>3.2396165584326453</v>
      </c>
    </row>
    <row r="13" spans="1:22" x14ac:dyDescent="0.3">
      <c r="A13" s="14">
        <v>44105</v>
      </c>
      <c r="B13" s="15">
        <v>4790.9731789677417</v>
      </c>
      <c r="C13" s="15">
        <v>3468.8251612903227</v>
      </c>
      <c r="D13" s="15">
        <v>1322.1480176774194</v>
      </c>
      <c r="E13" s="15">
        <v>39782.93548387097</v>
      </c>
      <c r="F13" s="15">
        <v>0</v>
      </c>
      <c r="G13" s="15">
        <v>107533.57999999999</v>
      </c>
      <c r="H13" s="17">
        <v>1.4394838648000001E-2</v>
      </c>
      <c r="I13" s="15">
        <v>1233271</v>
      </c>
      <c r="J13" s="15"/>
      <c r="K13" s="15">
        <v>40986.588548</v>
      </c>
      <c r="L13" s="15">
        <v>0</v>
      </c>
      <c r="M13" s="16">
        <v>4</v>
      </c>
      <c r="N13" s="18">
        <f t="shared" si="2"/>
        <v>0.16618711926200003</v>
      </c>
      <c r="O13" s="20">
        <f t="shared" si="3"/>
        <v>10.281079</v>
      </c>
      <c r="P13" s="15">
        <f t="shared" si="0"/>
        <v>27.59664828602293</v>
      </c>
      <c r="Q13" s="15">
        <f t="shared" si="1"/>
        <v>72.135866171292733</v>
      </c>
      <c r="R13">
        <f t="shared" si="4"/>
        <v>335</v>
      </c>
      <c r="T13" s="25">
        <f t="shared" si="7"/>
        <v>1241399.375451426</v>
      </c>
      <c r="U13">
        <f t="shared" si="5"/>
        <v>3.5468553584326455E-2</v>
      </c>
      <c r="V13">
        <f t="shared" si="6"/>
        <v>3.5468553584326457</v>
      </c>
    </row>
    <row r="14" spans="1:22" x14ac:dyDescent="0.3">
      <c r="A14" s="14">
        <v>44136</v>
      </c>
      <c r="B14" s="15">
        <v>4682.9043930333337</v>
      </c>
      <c r="C14" s="15">
        <v>3548.8819666666668</v>
      </c>
      <c r="D14" s="15">
        <v>1134.0224263666667</v>
      </c>
      <c r="E14" s="15">
        <v>43526.833333333336</v>
      </c>
      <c r="F14" s="15">
        <v>0</v>
      </c>
      <c r="G14" s="15">
        <v>106466.45900000002</v>
      </c>
      <c r="H14" s="17">
        <v>1.4251989924999996E-2</v>
      </c>
      <c r="I14" s="15">
        <v>1305805</v>
      </c>
      <c r="J14" s="15"/>
      <c r="K14" s="15">
        <v>34020.672791000005</v>
      </c>
      <c r="L14" s="15">
        <v>0</v>
      </c>
      <c r="M14" s="16">
        <v>4</v>
      </c>
      <c r="N14" s="18">
        <f t="shared" si="2"/>
        <v>0.18043910918700001</v>
      </c>
      <c r="O14" s="20">
        <f t="shared" si="3"/>
        <v>11.586884</v>
      </c>
      <c r="P14" s="15">
        <f t="shared" si="0"/>
        <v>24.216219918000675</v>
      </c>
      <c r="Q14" s="15">
        <f t="shared" si="1"/>
        <v>77.144035465667159</v>
      </c>
      <c r="R14">
        <f t="shared" si="4"/>
        <v>366</v>
      </c>
      <c r="T14" s="25">
        <f t="shared" si="7"/>
        <v>1347865.8344514261</v>
      </c>
      <c r="U14">
        <f t="shared" si="5"/>
        <v>3.851045241289789E-2</v>
      </c>
      <c r="V14">
        <f t="shared" si="6"/>
        <v>3.8510452412897891</v>
      </c>
    </row>
    <row r="15" spans="1:22" x14ac:dyDescent="0.3">
      <c r="A15" s="14">
        <v>44166</v>
      </c>
      <c r="B15" s="15">
        <v>3958.3229507096776</v>
      </c>
      <c r="C15" s="15">
        <v>2990.836870967742</v>
      </c>
      <c r="D15" s="15">
        <v>967.48607974193544</v>
      </c>
      <c r="E15" s="15">
        <v>28478.096774193546</v>
      </c>
      <c r="F15" s="15">
        <v>0</v>
      </c>
      <c r="G15" s="15">
        <v>92715.942999999999</v>
      </c>
      <c r="H15" s="17">
        <v>1.2411295518999998E-2</v>
      </c>
      <c r="I15" s="15">
        <v>882821</v>
      </c>
      <c r="J15" s="15"/>
      <c r="K15" s="15">
        <v>29992.068472000003</v>
      </c>
      <c r="L15" s="15">
        <v>0</v>
      </c>
      <c r="M15" s="16">
        <v>4</v>
      </c>
      <c r="N15" s="18">
        <f t="shared" si="2"/>
        <v>0.19285040470600001</v>
      </c>
      <c r="O15" s="20">
        <f t="shared" si="3"/>
        <v>12.469704999999999</v>
      </c>
      <c r="P15" s="15">
        <f t="shared" si="0"/>
        <v>24.441817703845452</v>
      </c>
      <c r="Q15" s="15">
        <f t="shared" si="1"/>
        <v>59.890104615556787</v>
      </c>
      <c r="R15">
        <f t="shared" si="4"/>
        <v>396</v>
      </c>
      <c r="T15" s="25">
        <f t="shared" si="7"/>
        <v>1440581.777451426</v>
      </c>
      <c r="U15">
        <f t="shared" si="5"/>
        <v>4.1159479355755028E-2</v>
      </c>
      <c r="V15">
        <f t="shared" si="6"/>
        <v>4.1159479355755026</v>
      </c>
    </row>
    <row r="16" spans="1:22" x14ac:dyDescent="0.3">
      <c r="A16" s="14">
        <v>44197</v>
      </c>
      <c r="B16" s="15">
        <v>3412.3246129354839</v>
      </c>
      <c r="C16" s="15">
        <v>2616.1179032258065</v>
      </c>
      <c r="D16" s="15">
        <v>796.2067097096774</v>
      </c>
      <c r="E16" s="15">
        <v>28179.645161290322</v>
      </c>
      <c r="F16" s="15">
        <v>0</v>
      </c>
      <c r="G16" s="15">
        <v>81099.654999999999</v>
      </c>
      <c r="H16" s="17">
        <v>1.0856296692E-2</v>
      </c>
      <c r="I16" s="15">
        <v>873569</v>
      </c>
      <c r="J16" s="15"/>
      <c r="K16" s="15">
        <v>24682.408001</v>
      </c>
      <c r="L16" s="15">
        <v>0</v>
      </c>
      <c r="M16" s="16">
        <v>4</v>
      </c>
      <c r="N16" s="18">
        <f t="shared" si="2"/>
        <v>0.20370670139800001</v>
      </c>
      <c r="O16" s="20">
        <f t="shared" si="3"/>
        <v>13.343273999999999</v>
      </c>
      <c r="P16" s="15">
        <f t="shared" si="0"/>
        <v>23.333263977624132</v>
      </c>
      <c r="Q16" s="15">
        <f t="shared" si="1"/>
        <v>67.750896057449324</v>
      </c>
      <c r="R16">
        <f t="shared" si="4"/>
        <v>427</v>
      </c>
      <c r="T16" s="25">
        <f t="shared" si="7"/>
        <v>1521681.4324514261</v>
      </c>
      <c r="U16">
        <f t="shared" si="5"/>
        <v>4.3476612355755027E-2</v>
      </c>
      <c r="V16">
        <f t="shared" si="6"/>
        <v>4.3476612355755027</v>
      </c>
    </row>
    <row r="17" spans="1:22" x14ac:dyDescent="0.3">
      <c r="A17" s="14">
        <v>44228</v>
      </c>
      <c r="B17" s="15">
        <v>2729.8568438571428</v>
      </c>
      <c r="C17" s="15">
        <v>2322.1944642857143</v>
      </c>
      <c r="D17" s="15">
        <v>407.66237957142852</v>
      </c>
      <c r="E17" s="15">
        <v>28708.96428571429</v>
      </c>
      <c r="F17" s="15">
        <v>0</v>
      </c>
      <c r="G17" s="15">
        <v>65021.445</v>
      </c>
      <c r="H17" s="17">
        <v>8.7040086379999992E-3</v>
      </c>
      <c r="I17" s="15">
        <v>803851</v>
      </c>
      <c r="J17" s="15"/>
      <c r="K17" s="15">
        <v>11414.546628</v>
      </c>
      <c r="L17" s="15">
        <v>0</v>
      </c>
      <c r="M17" s="16">
        <v>4</v>
      </c>
      <c r="N17" s="18">
        <f t="shared" si="2"/>
        <v>0.21241071003600001</v>
      </c>
      <c r="O17" s="20">
        <f t="shared" si="3"/>
        <v>14.147124999999999</v>
      </c>
      <c r="P17" s="15">
        <f t="shared" si="0"/>
        <v>14.933470979944255</v>
      </c>
      <c r="Q17" s="15">
        <f t="shared" si="1"/>
        <v>77.759914745050651</v>
      </c>
      <c r="R17">
        <f t="shared" si="4"/>
        <v>458</v>
      </c>
      <c r="T17" s="25">
        <f t="shared" si="7"/>
        <v>1586702.8774514261</v>
      </c>
      <c r="U17">
        <f t="shared" si="5"/>
        <v>4.5334367927183601E-2</v>
      </c>
      <c r="V17">
        <f t="shared" si="6"/>
        <v>4.5334367927183603</v>
      </c>
    </row>
    <row r="18" spans="1:22" x14ac:dyDescent="0.3">
      <c r="A18" s="14">
        <v>44256</v>
      </c>
      <c r="B18" s="15">
        <v>4074.3102437419357</v>
      </c>
      <c r="C18" s="15">
        <v>3676.7469999999998</v>
      </c>
      <c r="D18" s="15">
        <v>397.56324374193548</v>
      </c>
      <c r="E18" s="15">
        <v>24903.096774193546</v>
      </c>
      <c r="F18" s="15">
        <v>0</v>
      </c>
      <c r="G18" s="15">
        <v>113979.15699999999</v>
      </c>
      <c r="H18" s="17">
        <v>1.5257667184999999E-2</v>
      </c>
      <c r="I18" s="15">
        <v>771996</v>
      </c>
      <c r="J18" s="15"/>
      <c r="K18" s="15">
        <v>12324.460556</v>
      </c>
      <c r="L18" s="15">
        <v>0</v>
      </c>
      <c r="M18" s="16">
        <v>5</v>
      </c>
      <c r="N18" s="18">
        <f t="shared" si="2"/>
        <v>0.227668377221</v>
      </c>
      <c r="O18" s="20">
        <f t="shared" si="3"/>
        <v>14.919120999999999</v>
      </c>
      <c r="P18" s="15">
        <f t="shared" si="0"/>
        <v>9.7578048788156284</v>
      </c>
      <c r="Q18" s="15">
        <f t="shared" si="1"/>
        <v>42.601652517924833</v>
      </c>
      <c r="R18">
        <f t="shared" si="4"/>
        <v>486</v>
      </c>
      <c r="T18" s="25">
        <f t="shared" si="7"/>
        <v>1700682.034451426</v>
      </c>
      <c r="U18">
        <f t="shared" si="5"/>
        <v>4.8590915270040745E-2</v>
      </c>
      <c r="V18">
        <f t="shared" si="6"/>
        <v>4.8590915270040744</v>
      </c>
    </row>
    <row r="19" spans="1:22" x14ac:dyDescent="0.3">
      <c r="A19" s="14">
        <v>44287</v>
      </c>
      <c r="B19" s="15">
        <v>3471.0138587333331</v>
      </c>
      <c r="C19" s="15">
        <v>3336.5943333333335</v>
      </c>
      <c r="D19" s="15">
        <v>134.4195254</v>
      </c>
      <c r="E19" s="15">
        <v>19135.133333333331</v>
      </c>
      <c r="F19" s="15">
        <v>0</v>
      </c>
      <c r="G19" s="15">
        <v>100097.83000000002</v>
      </c>
      <c r="H19" s="17">
        <v>1.3397504747000001E-2</v>
      </c>
      <c r="I19" s="15">
        <v>574054</v>
      </c>
      <c r="J19" s="15"/>
      <c r="K19" s="15">
        <v>4032.5857620000002</v>
      </c>
      <c r="L19" s="15">
        <v>0</v>
      </c>
      <c r="M19" s="16">
        <v>5</v>
      </c>
      <c r="N19" s="18">
        <f t="shared" si="2"/>
        <v>0.241065881968</v>
      </c>
      <c r="O19" s="20">
        <f t="shared" si="3"/>
        <v>15.493174999999999</v>
      </c>
      <c r="P19" s="15">
        <f t="shared" si="0"/>
        <v>3.8726300404070781</v>
      </c>
      <c r="Q19" s="15">
        <f t="shared" si="1"/>
        <v>36.071559685159997</v>
      </c>
      <c r="R19">
        <f t="shared" si="4"/>
        <v>517</v>
      </c>
      <c r="T19" s="25">
        <f t="shared" si="7"/>
        <v>1800779.8644514261</v>
      </c>
      <c r="U19">
        <f t="shared" si="5"/>
        <v>5.1450853270040744E-2</v>
      </c>
      <c r="V19">
        <f t="shared" si="6"/>
        <v>5.1450853270040744</v>
      </c>
    </row>
    <row r="20" spans="1:22" x14ac:dyDescent="0.3">
      <c r="A20" s="19">
        <v>44317</v>
      </c>
      <c r="B20" s="15">
        <v>4114.4267350967739</v>
      </c>
      <c r="C20" s="15">
        <v>4019.6219999999998</v>
      </c>
      <c r="D20" s="15">
        <v>94.804735096774209</v>
      </c>
      <c r="E20" s="15">
        <v>26418.548387096773</v>
      </c>
      <c r="F20" s="15">
        <v>0</v>
      </c>
      <c r="G20" s="15">
        <v>124608.28199999999</v>
      </c>
      <c r="H20" s="17">
        <v>1.6672600285999997E-2</v>
      </c>
      <c r="I20" s="15">
        <v>818975</v>
      </c>
      <c r="J20" s="15"/>
      <c r="K20" s="15">
        <v>2938.9467879999997</v>
      </c>
      <c r="L20" s="15">
        <v>0</v>
      </c>
      <c r="M20" s="16">
        <v>5</v>
      </c>
      <c r="N20" s="18">
        <f t="shared" si="2"/>
        <v>0.25773848225399998</v>
      </c>
      <c r="O20" s="20">
        <f t="shared" si="3"/>
        <v>16.312149999999999</v>
      </c>
      <c r="P20" s="15">
        <f t="shared" si="0"/>
        <v>2.304202777219809</v>
      </c>
      <c r="Q20" s="15">
        <f t="shared" si="1"/>
        <v>41.339057663919959</v>
      </c>
      <c r="R20">
        <f t="shared" si="4"/>
        <v>547</v>
      </c>
      <c r="T20" s="25">
        <f t="shared" si="7"/>
        <v>1925388.146451426</v>
      </c>
      <c r="U20">
        <f t="shared" si="5"/>
        <v>5.501108989861217E-2</v>
      </c>
      <c r="V20">
        <f t="shared" si="6"/>
        <v>5.5011089898612173</v>
      </c>
    </row>
    <row r="21" spans="1:22" x14ac:dyDescent="0.3">
      <c r="A21" s="19">
        <v>44348</v>
      </c>
      <c r="B21" s="15">
        <v>4364.4313966999998</v>
      </c>
      <c r="C21" s="15">
        <v>4170.0025666666661</v>
      </c>
      <c r="D21" s="15">
        <v>194.42883003333333</v>
      </c>
      <c r="E21" s="15">
        <v>28423.933333333334</v>
      </c>
      <c r="F21" s="15">
        <v>0</v>
      </c>
      <c r="G21" s="15">
        <v>125100.07699999999</v>
      </c>
      <c r="H21" s="17">
        <v>1.6738402505E-2</v>
      </c>
      <c r="I21" s="15">
        <v>852718</v>
      </c>
      <c r="J21" s="15"/>
      <c r="K21" s="15">
        <v>5832.8649009999999</v>
      </c>
      <c r="L21" s="15">
        <v>0</v>
      </c>
      <c r="M21" s="16">
        <v>5</v>
      </c>
      <c r="N21" s="18">
        <f t="shared" si="2"/>
        <v>0.27447688475900001</v>
      </c>
      <c r="O21" s="20">
        <f t="shared" si="3"/>
        <v>17.164867999999998</v>
      </c>
      <c r="P21" s="15">
        <f t="shared" si="0"/>
        <v>4.4548490367002529</v>
      </c>
      <c r="Q21" s="15">
        <f t="shared" si="1"/>
        <v>42.873080536952827</v>
      </c>
      <c r="R21">
        <f t="shared" si="4"/>
        <v>578</v>
      </c>
      <c r="T21" s="25">
        <f t="shared" si="7"/>
        <v>2050488.223451426</v>
      </c>
      <c r="U21">
        <f t="shared" si="5"/>
        <v>5.8585377812897889E-2</v>
      </c>
      <c r="V21">
        <f t="shared" si="6"/>
        <v>5.8585377812897885</v>
      </c>
    </row>
    <row r="22" spans="1:22" x14ac:dyDescent="0.3">
      <c r="A22" s="19">
        <v>44378</v>
      </c>
      <c r="B22" s="15">
        <v>4306.9242510645163</v>
      </c>
      <c r="C22" s="15">
        <v>4000.3766451612901</v>
      </c>
      <c r="D22" s="15">
        <v>306.54760590322576</v>
      </c>
      <c r="E22" s="15">
        <v>28223.741935483871</v>
      </c>
      <c r="F22" s="15">
        <v>0</v>
      </c>
      <c r="G22" s="15">
        <v>124011.67599999999</v>
      </c>
      <c r="H22" s="17">
        <v>1.6592774349999999E-2</v>
      </c>
      <c r="I22" s="15">
        <v>874936</v>
      </c>
      <c r="J22" s="15"/>
      <c r="K22" s="15">
        <v>9502.9757829999999</v>
      </c>
      <c r="L22" s="15">
        <v>0</v>
      </c>
      <c r="M22" s="16">
        <v>5</v>
      </c>
      <c r="N22" s="18">
        <f t="shared" si="2"/>
        <v>0.29106965910900001</v>
      </c>
      <c r="O22" s="20">
        <f t="shared" si="3"/>
        <v>18.039804</v>
      </c>
      <c r="P22" s="15">
        <f t="shared" si="0"/>
        <v>7.117552760011006</v>
      </c>
      <c r="Q22" s="15">
        <f t="shared" si="1"/>
        <v>44.376244482011515</v>
      </c>
      <c r="R22">
        <f t="shared" si="4"/>
        <v>608</v>
      </c>
      <c r="T22" s="25">
        <f t="shared" si="7"/>
        <v>2174499.8994514262</v>
      </c>
      <c r="U22">
        <f t="shared" si="5"/>
        <v>6.2128568555755034E-2</v>
      </c>
      <c r="V22">
        <f t="shared" si="6"/>
        <v>6.2128568555755033</v>
      </c>
    </row>
    <row r="23" spans="1:22" x14ac:dyDescent="0.3">
      <c r="A23" s="19">
        <v>44409</v>
      </c>
      <c r="B23" s="15">
        <v>4335.7342911935484</v>
      </c>
      <c r="C23" s="15">
        <v>4076.8126451612907</v>
      </c>
      <c r="D23" s="15">
        <v>258.92164603225808</v>
      </c>
      <c r="E23" s="15">
        <v>28660.161290322583</v>
      </c>
      <c r="F23" s="15">
        <v>0</v>
      </c>
      <c r="G23" s="15">
        <v>126381.192</v>
      </c>
      <c r="H23" s="17">
        <v>1.6909815821000002E-2</v>
      </c>
      <c r="I23" s="15">
        <v>888465</v>
      </c>
      <c r="J23" s="15"/>
      <c r="K23" s="15">
        <v>8026.571027</v>
      </c>
      <c r="L23" s="15">
        <v>0</v>
      </c>
      <c r="M23" s="16">
        <v>5</v>
      </c>
      <c r="N23" s="18">
        <f t="shared" si="2"/>
        <v>0.30797947493</v>
      </c>
      <c r="O23" s="20">
        <f t="shared" si="3"/>
        <v>18.928269</v>
      </c>
      <c r="P23" s="15">
        <f t="shared" si="0"/>
        <v>5.9718061265461371</v>
      </c>
      <c r="Q23" s="15">
        <f t="shared" si="1"/>
        <v>44.217553803417204</v>
      </c>
      <c r="R23">
        <f t="shared" si="4"/>
        <v>639</v>
      </c>
      <c r="T23" s="25">
        <f t="shared" si="7"/>
        <v>2300881.091451426</v>
      </c>
      <c r="U23">
        <f t="shared" si="5"/>
        <v>6.5739459755755028E-2</v>
      </c>
      <c r="V23">
        <f t="shared" si="6"/>
        <v>6.5739459755755032</v>
      </c>
    </row>
    <row r="24" spans="1:22" x14ac:dyDescent="0.3">
      <c r="A24" s="19">
        <v>44440</v>
      </c>
      <c r="B24" s="15">
        <v>4336.5430260666662</v>
      </c>
      <c r="C24" s="15">
        <v>3999.8370333333337</v>
      </c>
      <c r="D24" s="15">
        <v>336.70599273333335</v>
      </c>
      <c r="E24" s="15">
        <v>28568.9</v>
      </c>
      <c r="F24" s="15">
        <v>0</v>
      </c>
      <c r="G24" s="15">
        <v>119995.111</v>
      </c>
      <c r="H24" s="17">
        <v>1.6055357560999999E-2</v>
      </c>
      <c r="I24" s="15">
        <v>857067</v>
      </c>
      <c r="J24" s="15"/>
      <c r="K24" s="15">
        <v>10101.179781999999</v>
      </c>
      <c r="L24" s="15">
        <v>0</v>
      </c>
      <c r="M24" s="16">
        <v>5</v>
      </c>
      <c r="N24" s="18">
        <f t="shared" si="2"/>
        <v>0.32403483249100001</v>
      </c>
      <c r="O24" s="20">
        <f t="shared" si="3"/>
        <v>19.785336000000001</v>
      </c>
      <c r="P24" s="15">
        <f t="shared" si="0"/>
        <v>7.7643872252486918</v>
      </c>
      <c r="Q24" s="15">
        <f t="shared" si="1"/>
        <v>44.924997124257835</v>
      </c>
      <c r="R24">
        <f t="shared" si="4"/>
        <v>670</v>
      </c>
      <c r="T24" s="25">
        <f t="shared" si="7"/>
        <v>2420876.2024514261</v>
      </c>
      <c r="U24">
        <f t="shared" si="5"/>
        <v>6.9167891498612175E-2</v>
      </c>
      <c r="V24">
        <f t="shared" si="6"/>
        <v>6.9167891498612173</v>
      </c>
    </row>
    <row r="25" spans="1:22" x14ac:dyDescent="0.3">
      <c r="A25" s="19">
        <v>44470</v>
      </c>
      <c r="B25" s="15">
        <v>4670.8837780645154</v>
      </c>
      <c r="C25" s="15">
        <v>3876.0758387096776</v>
      </c>
      <c r="D25" s="15">
        <v>794.80793935483871</v>
      </c>
      <c r="E25" s="15">
        <v>30372.129032258061</v>
      </c>
      <c r="F25" s="15">
        <v>0</v>
      </c>
      <c r="G25" s="15">
        <v>120158.351</v>
      </c>
      <c r="H25" s="17">
        <v>1.6077199089000002E-2</v>
      </c>
      <c r="I25" s="15">
        <v>941536</v>
      </c>
      <c r="J25" s="15"/>
      <c r="K25" s="15">
        <v>24639.046119999999</v>
      </c>
      <c r="L25" s="15">
        <v>0</v>
      </c>
      <c r="M25" s="16">
        <v>5</v>
      </c>
      <c r="N25" s="18">
        <f t="shared" si="2"/>
        <v>0.34011203158000003</v>
      </c>
      <c r="O25" s="20">
        <f t="shared" si="3"/>
        <v>20.726872</v>
      </c>
      <c r="P25" s="15">
        <f t="shared" si="0"/>
        <v>17.016221707066002</v>
      </c>
      <c r="Q25" s="15">
        <f t="shared" si="1"/>
        <v>49.285572609098132</v>
      </c>
      <c r="R25">
        <f t="shared" si="4"/>
        <v>700</v>
      </c>
      <c r="T25" s="25">
        <f t="shared" si="7"/>
        <v>2541034.5534514259</v>
      </c>
      <c r="U25">
        <f t="shared" si="5"/>
        <v>7.2600987241469309E-2</v>
      </c>
      <c r="V25">
        <f t="shared" si="6"/>
        <v>7.260098724146931</v>
      </c>
    </row>
    <row r="26" spans="1:22" x14ac:dyDescent="0.3">
      <c r="A26" s="19">
        <v>44501</v>
      </c>
      <c r="B26" s="15">
        <v>5015.567054733333</v>
      </c>
      <c r="C26" s="15">
        <v>3982.7827333333335</v>
      </c>
      <c r="D26" s="15">
        <v>1032.7843214</v>
      </c>
      <c r="E26" s="15">
        <v>24988.1</v>
      </c>
      <c r="F26" s="15">
        <v>0</v>
      </c>
      <c r="G26" s="15">
        <v>119483.48199999999</v>
      </c>
      <c r="H26" s="17">
        <v>1.5986901547999997E-2</v>
      </c>
      <c r="I26" s="15">
        <v>749643</v>
      </c>
      <c r="J26" s="15"/>
      <c r="K26" s="15">
        <v>30983.529642000001</v>
      </c>
      <c r="L26" s="15">
        <v>0</v>
      </c>
      <c r="M26" s="16">
        <v>5</v>
      </c>
      <c r="N26" s="18">
        <f t="shared" si="2"/>
        <v>0.35609893312800001</v>
      </c>
      <c r="O26" s="20">
        <f t="shared" si="3"/>
        <v>21.476514999999999</v>
      </c>
      <c r="P26" s="15">
        <f t="shared" si="0"/>
        <v>20.591576388662418</v>
      </c>
      <c r="Q26" s="15">
        <f t="shared" si="1"/>
        <v>39.462396495944098</v>
      </c>
      <c r="R26">
        <f t="shared" si="4"/>
        <v>731</v>
      </c>
      <c r="T26" s="25">
        <f t="shared" si="7"/>
        <v>2660518.0354514257</v>
      </c>
      <c r="U26">
        <f t="shared" si="5"/>
        <v>7.6014801012897884E-2</v>
      </c>
      <c r="V26">
        <f t="shared" si="6"/>
        <v>7.6014801012897886</v>
      </c>
    </row>
    <row r="27" spans="1:22" x14ac:dyDescent="0.3">
      <c r="A27" s="19">
        <v>44531</v>
      </c>
      <c r="B27" s="15">
        <v>4972.8667276451615</v>
      </c>
      <c r="C27" s="15">
        <v>3943.0811935483871</v>
      </c>
      <c r="D27" s="15">
        <v>1029.7855340967742</v>
      </c>
      <c r="E27" s="15">
        <v>24474.064516129034</v>
      </c>
      <c r="F27" s="15">
        <v>0</v>
      </c>
      <c r="G27" s="15">
        <v>122235.51699999999</v>
      </c>
      <c r="H27" s="17">
        <v>1.6355124103999998E-2</v>
      </c>
      <c r="I27" s="15">
        <v>758696</v>
      </c>
      <c r="J27" s="15"/>
      <c r="K27" s="15">
        <v>31923.351557000002</v>
      </c>
      <c r="L27" s="15">
        <v>0</v>
      </c>
      <c r="M27" s="16">
        <v>5</v>
      </c>
      <c r="N27" s="18">
        <f t="shared" si="2"/>
        <v>0.37245405723199998</v>
      </c>
      <c r="O27" s="20">
        <f t="shared" si="3"/>
        <v>22.235211</v>
      </c>
      <c r="P27" s="15">
        <f t="shared" si="0"/>
        <v>20.708086311100804</v>
      </c>
      <c r="Q27" s="15">
        <f t="shared" si="1"/>
        <v>39.039766983601012</v>
      </c>
      <c r="R27">
        <f t="shared" si="4"/>
        <v>761</v>
      </c>
      <c r="T27" s="25">
        <f t="shared" si="7"/>
        <v>2782753.5524514257</v>
      </c>
      <c r="U27">
        <f t="shared" si="5"/>
        <v>7.9507244355755013E-2</v>
      </c>
      <c r="V27">
        <f t="shared" si="6"/>
        <v>7.9507244355755011</v>
      </c>
    </row>
    <row r="28" spans="1:22" x14ac:dyDescent="0.3">
      <c r="A28" s="19">
        <v>44562</v>
      </c>
      <c r="B28" s="15">
        <v>4580.7267282580642</v>
      </c>
      <c r="C28" s="15">
        <v>3451.7051935483869</v>
      </c>
      <c r="D28" s="15">
        <v>1129.0215347096773</v>
      </c>
      <c r="E28" s="15">
        <v>23145.290322580644</v>
      </c>
      <c r="F28" s="15">
        <v>0</v>
      </c>
      <c r="G28" s="15">
        <v>107002.86099999999</v>
      </c>
      <c r="H28" s="17">
        <v>1.4316993241999998E-2</v>
      </c>
      <c r="I28" s="15">
        <v>717504</v>
      </c>
      <c r="J28" s="15"/>
      <c r="K28" s="15">
        <v>34999.667576</v>
      </c>
      <c r="L28" s="15">
        <v>0</v>
      </c>
      <c r="M28" s="16">
        <v>5</v>
      </c>
      <c r="N28" s="18">
        <f t="shared" si="2"/>
        <v>0.38677105047399996</v>
      </c>
      <c r="O28" s="20">
        <f t="shared" si="3"/>
        <v>22.952715000000001</v>
      </c>
      <c r="P28" s="15">
        <f t="shared" si="0"/>
        <v>24.647214332713887</v>
      </c>
      <c r="Q28" s="15">
        <f t="shared" si="1"/>
        <v>42.176037322964667</v>
      </c>
      <c r="R28">
        <f t="shared" si="4"/>
        <v>792</v>
      </c>
      <c r="T28" s="25">
        <f t="shared" si="7"/>
        <v>2889756.4134514257</v>
      </c>
      <c r="U28">
        <f t="shared" si="5"/>
        <v>8.2564468955755019E-2</v>
      </c>
      <c r="V28">
        <f t="shared" si="6"/>
        <v>8.2564468955755022</v>
      </c>
    </row>
    <row r="29" spans="1:22" x14ac:dyDescent="0.3">
      <c r="A29" s="19">
        <v>44593</v>
      </c>
      <c r="B29" s="15">
        <v>4863.3997439642862</v>
      </c>
      <c r="C29" s="15">
        <v>3339.2403571428572</v>
      </c>
      <c r="D29" s="15">
        <v>1524.1593868214286</v>
      </c>
      <c r="E29" s="15">
        <v>21932.535714285714</v>
      </c>
      <c r="F29" s="15">
        <v>0</v>
      </c>
      <c r="G29" s="15">
        <v>93498.73000000001</v>
      </c>
      <c r="H29" s="17">
        <v>1.2510139195000002E-2</v>
      </c>
      <c r="I29" s="15">
        <v>614111</v>
      </c>
      <c r="J29" s="15"/>
      <c r="K29" s="15">
        <v>42676.462830999997</v>
      </c>
      <c r="L29" s="15">
        <v>0</v>
      </c>
      <c r="M29" s="16">
        <v>6</v>
      </c>
      <c r="N29" s="18">
        <f t="shared" si="2"/>
        <v>0.39928118966899995</v>
      </c>
      <c r="O29" s="20">
        <f t="shared" si="3"/>
        <v>23.566826000000002</v>
      </c>
      <c r="P29" s="15">
        <f t="shared" si="0"/>
        <v>31.339381236613008</v>
      </c>
      <c r="Q29" s="15">
        <f t="shared" si="1"/>
        <v>41.312169350321653</v>
      </c>
      <c r="R29">
        <f t="shared" si="4"/>
        <v>823</v>
      </c>
      <c r="T29" s="25">
        <f t="shared" si="7"/>
        <v>2983255.1434514257</v>
      </c>
      <c r="U29">
        <f t="shared" si="5"/>
        <v>8.5235861241469313E-2</v>
      </c>
      <c r="V29">
        <f t="shared" si="6"/>
        <v>8.5235861241469308</v>
      </c>
    </row>
    <row r="30" spans="1:22" x14ac:dyDescent="0.3">
      <c r="A30" s="19">
        <v>44621</v>
      </c>
      <c r="B30" s="15">
        <v>4993.8569247096775</v>
      </c>
      <c r="C30" s="15">
        <v>3401.5382580645164</v>
      </c>
      <c r="D30" s="15">
        <v>1592.3186666451611</v>
      </c>
      <c r="E30" s="15">
        <v>25188.709677419356</v>
      </c>
      <c r="F30" s="15">
        <v>0</v>
      </c>
      <c r="G30" s="15">
        <v>105447.686</v>
      </c>
      <c r="H30" s="17">
        <v>1.4108910679000001E-2</v>
      </c>
      <c r="I30" s="15">
        <v>780850</v>
      </c>
      <c r="J30" s="15"/>
      <c r="K30" s="15">
        <v>49361.878665999997</v>
      </c>
      <c r="L30" s="15">
        <v>0</v>
      </c>
      <c r="M30" s="16">
        <v>7</v>
      </c>
      <c r="N30" s="18">
        <f t="shared" si="2"/>
        <v>0.41339010034799994</v>
      </c>
      <c r="O30" s="20">
        <f t="shared" si="3"/>
        <v>24.347676000000003</v>
      </c>
      <c r="P30" s="15">
        <f t="shared" si="0"/>
        <v>31.885548397799408</v>
      </c>
      <c r="Q30" s="15">
        <f t="shared" si="1"/>
        <v>46.576558635909748</v>
      </c>
      <c r="R30">
        <f t="shared" si="4"/>
        <v>851</v>
      </c>
      <c r="T30" s="25">
        <f t="shared" si="7"/>
        <v>3088702.8294514259</v>
      </c>
      <c r="U30">
        <f t="shared" si="5"/>
        <v>8.8248652270040737E-2</v>
      </c>
      <c r="V30">
        <f t="shared" si="6"/>
        <v>8.8248652270040733</v>
      </c>
    </row>
    <row r="31" spans="1:22" x14ac:dyDescent="0.3">
      <c r="A31" s="19">
        <v>44652</v>
      </c>
      <c r="B31" s="15">
        <v>5176.5577974333337</v>
      </c>
      <c r="C31" s="15">
        <v>3821.0220333333327</v>
      </c>
      <c r="D31" s="15">
        <v>1355.5357641000001</v>
      </c>
      <c r="E31" s="15">
        <v>29630.233333333334</v>
      </c>
      <c r="F31" s="15">
        <v>0</v>
      </c>
      <c r="G31" s="15">
        <v>114630.66100000001</v>
      </c>
      <c r="H31" s="17">
        <v>1.5337593625999998E-2</v>
      </c>
      <c r="I31" s="15">
        <v>888907</v>
      </c>
      <c r="J31" s="15"/>
      <c r="K31" s="15">
        <v>40666.072923</v>
      </c>
      <c r="L31" s="15">
        <v>0</v>
      </c>
      <c r="M31" s="16">
        <v>7</v>
      </c>
      <c r="N31" s="18">
        <f t="shared" si="2"/>
        <v>0.42872769397399996</v>
      </c>
      <c r="O31" s="20">
        <f t="shared" si="3"/>
        <v>25.236583000000003</v>
      </c>
      <c r="P31" s="15">
        <f t="shared" si="0"/>
        <v>26.186045189568031</v>
      </c>
      <c r="Q31" s="15">
        <f t="shared" si="1"/>
        <v>48.774448300529293</v>
      </c>
      <c r="R31">
        <f t="shared" si="4"/>
        <v>882</v>
      </c>
      <c r="T31" s="25">
        <f t="shared" si="7"/>
        <v>3203333.4904514258</v>
      </c>
      <c r="U31">
        <f t="shared" si="5"/>
        <v>9.1523814012897886E-2</v>
      </c>
      <c r="V31">
        <f t="shared" si="6"/>
        <v>9.1523814012897891</v>
      </c>
    </row>
    <row r="32" spans="1:22" x14ac:dyDescent="0.3">
      <c r="A32" s="19">
        <v>44682</v>
      </c>
      <c r="B32" s="15">
        <v>5390.3114322258061</v>
      </c>
      <c r="C32" s="15">
        <v>3861.6134838709672</v>
      </c>
      <c r="D32" s="15">
        <v>1528.6979483548389</v>
      </c>
      <c r="E32" s="15">
        <v>30295.838709677417</v>
      </c>
      <c r="F32" s="15">
        <v>0</v>
      </c>
      <c r="G32" s="15">
        <v>119710.018</v>
      </c>
      <c r="H32" s="17">
        <v>1.6017212090000003E-2</v>
      </c>
      <c r="I32" s="15">
        <v>939171</v>
      </c>
      <c r="J32" s="15"/>
      <c r="K32" s="15">
        <v>47389.636399000003</v>
      </c>
      <c r="L32" s="15">
        <v>0</v>
      </c>
      <c r="M32" s="16">
        <v>7</v>
      </c>
      <c r="N32" s="18">
        <f t="shared" si="2"/>
        <v>0.44474490606399997</v>
      </c>
      <c r="O32" s="20">
        <f t="shared" si="3"/>
        <v>26.175754000000005</v>
      </c>
      <c r="P32" s="15">
        <f t="shared" si="0"/>
        <v>28.360104375705763</v>
      </c>
      <c r="Q32" s="15">
        <f t="shared" si="1"/>
        <v>49.345893138200005</v>
      </c>
      <c r="R32">
        <f t="shared" si="4"/>
        <v>912</v>
      </c>
      <c r="T32" s="25">
        <f t="shared" si="7"/>
        <v>3323043.5084514259</v>
      </c>
      <c r="U32">
        <f t="shared" si="5"/>
        <v>9.4944100241469306E-2</v>
      </c>
      <c r="V32">
        <f t="shared" si="6"/>
        <v>9.49441002414693</v>
      </c>
    </row>
    <row r="33" spans="1:22" x14ac:dyDescent="0.3">
      <c r="A33" s="19">
        <v>44713</v>
      </c>
      <c r="B33" s="15">
        <v>5092.026302133333</v>
      </c>
      <c r="C33" s="15">
        <v>3517.777</v>
      </c>
      <c r="D33" s="15">
        <v>1574.2493021333332</v>
      </c>
      <c r="E33" s="15">
        <v>26858.733333333337</v>
      </c>
      <c r="F33" s="15">
        <v>0</v>
      </c>
      <c r="G33" s="15">
        <v>105533.31000000001</v>
      </c>
      <c r="H33" s="17">
        <v>1.4120367163999999E-2</v>
      </c>
      <c r="I33" s="15">
        <v>805762</v>
      </c>
      <c r="J33" s="15"/>
      <c r="K33" s="15">
        <v>47227.479063999999</v>
      </c>
      <c r="L33" s="15">
        <v>0</v>
      </c>
      <c r="M33" s="16">
        <v>7</v>
      </c>
      <c r="N33" s="18">
        <f t="shared" si="2"/>
        <v>0.45886527322799997</v>
      </c>
      <c r="O33" s="20">
        <f t="shared" si="3"/>
        <v>26.981516000000006</v>
      </c>
      <c r="P33" s="15">
        <f t="shared" si="0"/>
        <v>30.91596957136283</v>
      </c>
      <c r="Q33" s="15">
        <f t="shared" si="1"/>
        <v>48.023527619857646</v>
      </c>
      <c r="R33">
        <f t="shared" si="4"/>
        <v>943</v>
      </c>
      <c r="T33" s="25">
        <f t="shared" si="7"/>
        <v>3428576.818451426</v>
      </c>
      <c r="U33">
        <f t="shared" si="5"/>
        <v>9.7959337670040739E-2</v>
      </c>
      <c r="V33">
        <f t="shared" si="6"/>
        <v>9.7959337670040743</v>
      </c>
    </row>
    <row r="34" spans="1:22" x14ac:dyDescent="0.3">
      <c r="A34" s="19">
        <v>44743</v>
      </c>
      <c r="B34" s="15">
        <v>4644.2221437419348</v>
      </c>
      <c r="C34" s="15">
        <v>3009.1139677419355</v>
      </c>
      <c r="D34" s="15">
        <v>1635.1081760000002</v>
      </c>
      <c r="E34" s="15">
        <v>20856.806451612905</v>
      </c>
      <c r="F34" s="15">
        <v>0</v>
      </c>
      <c r="G34" s="15">
        <v>93282.53300000001</v>
      </c>
      <c r="H34" s="17">
        <v>1.2481212014000001E-2</v>
      </c>
      <c r="I34" s="15">
        <v>646561</v>
      </c>
      <c r="J34" s="15"/>
      <c r="K34" s="15">
        <v>50688.353455999997</v>
      </c>
      <c r="L34" s="15">
        <v>0</v>
      </c>
      <c r="M34" s="16">
        <v>7</v>
      </c>
      <c r="N34" s="18">
        <f t="shared" si="2"/>
        <v>0.47134648524199996</v>
      </c>
      <c r="O34" s="20">
        <f t="shared" si="3"/>
        <v>27.628077000000005</v>
      </c>
      <c r="P34" s="15">
        <f t="shared" ref="P34:P70" si="8">IF(G34&gt;0,K34/(G34+K34)*100,0)</f>
        <v>35.207363588395509</v>
      </c>
      <c r="Q34" s="15">
        <f t="shared" ref="Q34:Q70" si="9">I34/(G34/6.2898)</f>
        <v>43.595936420379999</v>
      </c>
      <c r="R34">
        <f t="shared" si="4"/>
        <v>973</v>
      </c>
      <c r="T34" s="25">
        <f t="shared" si="7"/>
        <v>3521859.3514514258</v>
      </c>
      <c r="U34">
        <f t="shared" si="5"/>
        <v>0.10062455289861216</v>
      </c>
      <c r="V34">
        <f t="shared" si="6"/>
        <v>10.062455289861216</v>
      </c>
    </row>
    <row r="35" spans="1:22" x14ac:dyDescent="0.3">
      <c r="A35" s="19">
        <v>44774</v>
      </c>
      <c r="B35" s="15">
        <v>5096.1346319032182</v>
      </c>
      <c r="C35" s="15">
        <v>3102.8148387096762</v>
      </c>
      <c r="D35" s="15">
        <v>1993.319793193546</v>
      </c>
      <c r="E35" s="15">
        <v>21461.935483870941</v>
      </c>
      <c r="F35" s="15">
        <v>0</v>
      </c>
      <c r="G35" s="15">
        <v>96187.26</v>
      </c>
      <c r="H35" s="17">
        <v>1.286986477999999E-2</v>
      </c>
      <c r="I35" s="15">
        <v>665320</v>
      </c>
      <c r="J35" s="15"/>
      <c r="K35" s="15">
        <v>61792.913589000003</v>
      </c>
      <c r="L35" s="15">
        <v>0</v>
      </c>
      <c r="M35" s="16">
        <v>7</v>
      </c>
      <c r="N35" s="18">
        <f t="shared" ref="N35:N70" si="10">N34+H35</f>
        <v>0.48421635002199992</v>
      </c>
      <c r="O35" s="20">
        <f t="shared" ref="O35:O70" si="11">O34+I35/1000000</f>
        <v>28.293397000000006</v>
      </c>
      <c r="P35" s="15">
        <f t="shared" si="8"/>
        <v>39.114347190021434</v>
      </c>
      <c r="Q35" s="15">
        <f t="shared" si="9"/>
        <v>43.506070720800238</v>
      </c>
      <c r="R35">
        <f t="shared" si="4"/>
        <v>1004</v>
      </c>
      <c r="T35" s="25">
        <f t="shared" si="7"/>
        <v>3618046.6114514256</v>
      </c>
      <c r="U35">
        <f t="shared" si="5"/>
        <v>0.10337276032718359</v>
      </c>
      <c r="V35">
        <f t="shared" si="6"/>
        <v>10.337276032718359</v>
      </c>
    </row>
    <row r="36" spans="1:22" x14ac:dyDescent="0.3">
      <c r="A36" s="19">
        <v>44805</v>
      </c>
      <c r="B36" s="15">
        <v>4857.2669413333251</v>
      </c>
      <c r="C36" s="15">
        <v>3178.479066666664</v>
      </c>
      <c r="D36" s="15">
        <v>1678.7878746666656</v>
      </c>
      <c r="E36" s="15">
        <v>22216.933333333309</v>
      </c>
      <c r="F36" s="15">
        <v>0</v>
      </c>
      <c r="G36" s="15">
        <v>95354.372000000003</v>
      </c>
      <c r="H36" s="17">
        <v>1.2758424279999998E-2</v>
      </c>
      <c r="I36" s="15">
        <v>666508</v>
      </c>
      <c r="J36" s="15"/>
      <c r="K36" s="15">
        <v>50363.636240000007</v>
      </c>
      <c r="L36" s="15">
        <v>0</v>
      </c>
      <c r="M36" s="16">
        <v>7</v>
      </c>
      <c r="N36" s="18">
        <f t="shared" si="10"/>
        <v>0.49697477430199993</v>
      </c>
      <c r="O36" s="20">
        <f t="shared" si="11"/>
        <v>28.959905000000006</v>
      </c>
      <c r="P36" s="15">
        <f t="shared" si="8"/>
        <v>34.562396815807595</v>
      </c>
      <c r="Q36" s="15">
        <f t="shared" si="9"/>
        <v>43.964444738831688</v>
      </c>
      <c r="R36">
        <f t="shared" si="4"/>
        <v>1035</v>
      </c>
      <c r="T36" s="25">
        <f t="shared" si="7"/>
        <v>3713400.9834514256</v>
      </c>
      <c r="U36">
        <f t="shared" si="5"/>
        <v>0.10609717095575502</v>
      </c>
      <c r="V36">
        <f t="shared" si="6"/>
        <v>10.609717095575503</v>
      </c>
    </row>
    <row r="37" spans="1:22" x14ac:dyDescent="0.3">
      <c r="A37" s="19">
        <v>44835</v>
      </c>
      <c r="B37" s="15">
        <v>4721.1618671612832</v>
      </c>
      <c r="C37" s="15">
        <v>3185.3740967741855</v>
      </c>
      <c r="D37" s="15">
        <v>1535.7877703870956</v>
      </c>
      <c r="E37" s="15">
        <v>21743.645161290278</v>
      </c>
      <c r="F37" s="15">
        <v>0</v>
      </c>
      <c r="G37" s="15">
        <v>98746.596999999994</v>
      </c>
      <c r="H37" s="17">
        <v>1.3212304310000001E-2</v>
      </c>
      <c r="I37" s="15">
        <v>674053</v>
      </c>
      <c r="J37" s="15"/>
      <c r="K37" s="15">
        <v>47609.420882000006</v>
      </c>
      <c r="L37" s="15">
        <v>0</v>
      </c>
      <c r="M37" s="16">
        <v>7</v>
      </c>
      <c r="N37" s="18">
        <f t="shared" si="10"/>
        <v>0.51018707861199997</v>
      </c>
      <c r="O37" s="20">
        <f t="shared" si="11"/>
        <v>29.633958000000007</v>
      </c>
      <c r="P37" s="15">
        <f t="shared" si="8"/>
        <v>32.529868994102614</v>
      </c>
      <c r="Q37" s="15">
        <f t="shared" si="9"/>
        <v>42.934730797862329</v>
      </c>
      <c r="R37">
        <f t="shared" si="4"/>
        <v>1065</v>
      </c>
      <c r="T37" s="25">
        <f t="shared" si="7"/>
        <v>3812147.5804514256</v>
      </c>
      <c r="U37">
        <f t="shared" si="5"/>
        <v>0.10891850229861216</v>
      </c>
      <c r="V37">
        <f t="shared" si="6"/>
        <v>10.891850229861216</v>
      </c>
    </row>
    <row r="38" spans="1:22" x14ac:dyDescent="0.3">
      <c r="A38" s="19">
        <v>44866</v>
      </c>
      <c r="B38" s="15">
        <v>4150.7155398333334</v>
      </c>
      <c r="C38" s="15">
        <v>2904.8560666666663</v>
      </c>
      <c r="D38" s="15">
        <v>1245.8594731666667</v>
      </c>
      <c r="E38" s="15">
        <v>20819.466666666667</v>
      </c>
      <c r="F38" s="15">
        <v>0</v>
      </c>
      <c r="G38" s="15">
        <v>87145.682000000015</v>
      </c>
      <c r="H38" s="17">
        <v>1.1660100755E-2</v>
      </c>
      <c r="I38" s="15">
        <v>624584</v>
      </c>
      <c r="J38" s="15"/>
      <c r="K38" s="15">
        <v>37375.784195</v>
      </c>
      <c r="L38" s="15">
        <v>0</v>
      </c>
      <c r="M38" s="16">
        <v>7</v>
      </c>
      <c r="N38" s="18">
        <f t="shared" si="10"/>
        <v>0.52184717936699998</v>
      </c>
      <c r="O38" s="20">
        <f t="shared" si="11"/>
        <v>30.258542000000006</v>
      </c>
      <c r="P38" s="15">
        <f t="shared" si="8"/>
        <v>30.015534941156012</v>
      </c>
      <c r="Q38" s="15">
        <f t="shared" si="9"/>
        <v>45.079783106178446</v>
      </c>
      <c r="R38">
        <f t="shared" si="4"/>
        <v>1096</v>
      </c>
      <c r="T38" s="25">
        <f t="shared" si="7"/>
        <v>3899293.2624514257</v>
      </c>
      <c r="U38">
        <f t="shared" si="5"/>
        <v>0.1114083789271836</v>
      </c>
      <c r="V38">
        <f t="shared" si="6"/>
        <v>11.140837892718359</v>
      </c>
    </row>
    <row r="39" spans="1:22" x14ac:dyDescent="0.3">
      <c r="A39" s="19">
        <v>44896</v>
      </c>
      <c r="B39" s="15">
        <v>4621.9457286451616</v>
      </c>
      <c r="C39" s="15">
        <v>2858.8003548387101</v>
      </c>
      <c r="D39" s="15">
        <v>1763.1453738064515</v>
      </c>
      <c r="E39" s="15">
        <v>19349.870967741936</v>
      </c>
      <c r="F39" s="15">
        <v>0</v>
      </c>
      <c r="G39" s="15">
        <v>88622.811000000016</v>
      </c>
      <c r="H39" s="17">
        <v>1.1857740761000001E-2</v>
      </c>
      <c r="I39" s="15">
        <v>599846</v>
      </c>
      <c r="J39" s="15">
        <v>0</v>
      </c>
      <c r="K39" s="15">
        <v>54657.506588000004</v>
      </c>
      <c r="L39" s="15">
        <v>0</v>
      </c>
      <c r="M39" s="16">
        <v>7</v>
      </c>
      <c r="N39" s="18">
        <f t="shared" si="10"/>
        <v>0.53370492012799997</v>
      </c>
      <c r="O39" s="20">
        <f t="shared" si="11"/>
        <v>30.858388000000005</v>
      </c>
      <c r="P39" s="15">
        <f t="shared" si="8"/>
        <v>38.147253934184235</v>
      </c>
      <c r="Q39" s="15">
        <f t="shared" si="9"/>
        <v>42.572688997644171</v>
      </c>
      <c r="R39">
        <f t="shared" si="4"/>
        <v>1126</v>
      </c>
      <c r="T39" s="25">
        <f t="shared" si="7"/>
        <v>3987916.0734514259</v>
      </c>
      <c r="U39">
        <f t="shared" si="5"/>
        <v>0.11394045924146931</v>
      </c>
      <c r="V39">
        <f t="shared" si="6"/>
        <v>11.394045924146932</v>
      </c>
    </row>
    <row r="40" spans="1:22" x14ac:dyDescent="0.3">
      <c r="A40" s="19">
        <v>44927</v>
      </c>
      <c r="B40" s="15">
        <v>5112.3091026128859</v>
      </c>
      <c r="C40" s="15">
        <v>3088.0215806451579</v>
      </c>
      <c r="D40" s="15">
        <v>2024.2875219677403</v>
      </c>
      <c r="E40" s="15">
        <v>20697.419354838676</v>
      </c>
      <c r="F40" s="15">
        <v>0</v>
      </c>
      <c r="G40" s="15">
        <v>95728.668999999994</v>
      </c>
      <c r="H40" s="17">
        <v>1.2808505253999991E-2</v>
      </c>
      <c r="I40" s="15">
        <v>641620</v>
      </c>
      <c r="J40" s="15">
        <v>0</v>
      </c>
      <c r="K40" s="15">
        <v>62752.913180999996</v>
      </c>
      <c r="L40" s="15">
        <v>0</v>
      </c>
      <c r="M40" s="16">
        <v>7</v>
      </c>
      <c r="N40" s="18">
        <f t="shared" si="10"/>
        <v>0.54651342538199998</v>
      </c>
      <c r="O40" s="20">
        <f t="shared" si="11"/>
        <v>31.500008000000005</v>
      </c>
      <c r="P40" s="15">
        <f t="shared" si="8"/>
        <v>39.596344456815572</v>
      </c>
      <c r="Q40" s="15">
        <f t="shared" si="9"/>
        <v>42.157292252752413</v>
      </c>
      <c r="R40">
        <f t="shared" si="4"/>
        <v>1157</v>
      </c>
      <c r="T40" s="25">
        <f t="shared" si="7"/>
        <v>4083644.7424514256</v>
      </c>
      <c r="U40">
        <f t="shared" si="5"/>
        <v>0.11667556407004073</v>
      </c>
      <c r="V40">
        <f t="shared" si="6"/>
        <v>11.667556407004072</v>
      </c>
    </row>
    <row r="41" spans="1:22" x14ac:dyDescent="0.3">
      <c r="A41" s="19">
        <v>44958</v>
      </c>
      <c r="B41" s="15">
        <v>5212.2559660357019</v>
      </c>
      <c r="C41" s="15">
        <v>3001.4606785714268</v>
      </c>
      <c r="D41" s="15">
        <v>2210.7952874642829</v>
      </c>
      <c r="E41" s="15">
        <v>21019.107142857109</v>
      </c>
      <c r="F41" s="15">
        <v>0</v>
      </c>
      <c r="G41" s="15">
        <v>84040.899000000005</v>
      </c>
      <c r="H41" s="17">
        <v>1.1244680483999991E-2</v>
      </c>
      <c r="I41" s="15">
        <v>588535</v>
      </c>
      <c r="J41" s="15">
        <v>0</v>
      </c>
      <c r="K41" s="15">
        <v>61902.268049000006</v>
      </c>
      <c r="L41" s="15">
        <v>0</v>
      </c>
      <c r="M41" s="16">
        <v>7</v>
      </c>
      <c r="N41" s="18">
        <f t="shared" si="10"/>
        <v>0.55775810586599994</v>
      </c>
      <c r="O41" s="20">
        <f t="shared" si="11"/>
        <v>32.088543000000001</v>
      </c>
      <c r="P41" s="15">
        <f t="shared" si="8"/>
        <v>42.415324609350499</v>
      </c>
      <c r="Q41" s="15">
        <f t="shared" si="9"/>
        <v>44.047213761956542</v>
      </c>
      <c r="R41">
        <f t="shared" si="4"/>
        <v>1188</v>
      </c>
      <c r="T41" s="25">
        <f t="shared" si="7"/>
        <v>4167685.6414514259</v>
      </c>
      <c r="U41">
        <f t="shared" si="5"/>
        <v>0.11907673261289788</v>
      </c>
      <c r="V41">
        <f t="shared" si="6"/>
        <v>11.907673261289787</v>
      </c>
    </row>
    <row r="42" spans="1:22" x14ac:dyDescent="0.3">
      <c r="A42" s="19">
        <v>44986</v>
      </c>
      <c r="B42" s="15">
        <v>5544.9852581290188</v>
      </c>
      <c r="C42" s="15">
        <v>3076.0080645161247</v>
      </c>
      <c r="D42" s="15">
        <v>2468.9771936129</v>
      </c>
      <c r="E42" s="15">
        <v>20633.6451612903</v>
      </c>
      <c r="F42" s="15">
        <v>0</v>
      </c>
      <c r="G42" s="15">
        <v>95356.25</v>
      </c>
      <c r="H42" s="17">
        <v>1.275867555299999E-2</v>
      </c>
      <c r="I42" s="15">
        <v>639643</v>
      </c>
      <c r="J42" s="15">
        <v>0</v>
      </c>
      <c r="K42" s="15">
        <v>76538.293001999991</v>
      </c>
      <c r="L42" s="15">
        <v>0</v>
      </c>
      <c r="M42" s="16">
        <v>7</v>
      </c>
      <c r="N42" s="18">
        <f t="shared" si="10"/>
        <v>0.57051678141899997</v>
      </c>
      <c r="O42" s="20">
        <f t="shared" si="11"/>
        <v>32.728186000000001</v>
      </c>
      <c r="P42" s="15">
        <f t="shared" si="8"/>
        <v>44.526307621708192</v>
      </c>
      <c r="Q42" s="15">
        <f t="shared" si="9"/>
        <v>42.191534811824077</v>
      </c>
      <c r="R42">
        <f t="shared" si="4"/>
        <v>1216</v>
      </c>
      <c r="T42" s="25">
        <f t="shared" si="7"/>
        <v>4263041.8914514259</v>
      </c>
      <c r="U42">
        <f t="shared" si="5"/>
        <v>0.12180119689861217</v>
      </c>
      <c r="V42">
        <f t="shared" si="6"/>
        <v>12.180119689861217</v>
      </c>
    </row>
    <row r="43" spans="1:22" x14ac:dyDescent="0.3">
      <c r="A43" s="19">
        <v>45017</v>
      </c>
      <c r="B43" s="15">
        <v>5317.5180490333223</v>
      </c>
      <c r="C43" s="15">
        <v>3055.3868666666631</v>
      </c>
      <c r="D43" s="15">
        <v>2262.1311823666638</v>
      </c>
      <c r="E43" s="15">
        <v>20907.233333333319</v>
      </c>
      <c r="F43" s="15">
        <v>0</v>
      </c>
      <c r="G43" s="15">
        <v>91661.606</v>
      </c>
      <c r="H43" s="17">
        <v>1.2264331818000001E-2</v>
      </c>
      <c r="I43" s="15">
        <v>627217</v>
      </c>
      <c r="J43" s="15">
        <v>0</v>
      </c>
      <c r="K43" s="15">
        <v>67863.93547099999</v>
      </c>
      <c r="L43" s="15">
        <v>0</v>
      </c>
      <c r="M43" s="16">
        <v>7</v>
      </c>
      <c r="N43" s="18">
        <f t="shared" si="10"/>
        <v>0.58278111323699999</v>
      </c>
      <c r="O43" s="20">
        <f t="shared" si="11"/>
        <v>33.355403000000003</v>
      </c>
      <c r="P43" s="15">
        <f t="shared" si="8"/>
        <v>42.541109621205649</v>
      </c>
      <c r="Q43" s="15">
        <f t="shared" si="9"/>
        <v>43.039497765291173</v>
      </c>
      <c r="R43">
        <f t="shared" si="4"/>
        <v>1247</v>
      </c>
      <c r="T43" s="25">
        <f t="shared" si="7"/>
        <v>4354703.4974514255</v>
      </c>
      <c r="U43">
        <f t="shared" si="5"/>
        <v>0.12442009992718359</v>
      </c>
      <c r="V43">
        <f t="shared" si="6"/>
        <v>12.442009992718358</v>
      </c>
    </row>
    <row r="44" spans="1:22" x14ac:dyDescent="0.3">
      <c r="A44" s="19">
        <v>45047</v>
      </c>
      <c r="B44" s="15">
        <v>5008.435325870968</v>
      </c>
      <c r="C44" s="15">
        <v>2903.2341935483869</v>
      </c>
      <c r="D44" s="15">
        <v>2105.2011323225806</v>
      </c>
      <c r="E44" s="15">
        <v>20072.16129032258</v>
      </c>
      <c r="F44" s="15">
        <v>0</v>
      </c>
      <c r="G44" s="15">
        <v>90000.26</v>
      </c>
      <c r="H44" s="17">
        <v>1.2042043568E-2</v>
      </c>
      <c r="I44" s="15">
        <v>622237</v>
      </c>
      <c r="J44" s="15">
        <v>0</v>
      </c>
      <c r="K44" s="15">
        <v>65261.235101999999</v>
      </c>
      <c r="L44" s="15">
        <v>0</v>
      </c>
      <c r="M44" s="16">
        <v>7</v>
      </c>
      <c r="N44" s="18">
        <f t="shared" si="10"/>
        <v>0.59482315680499998</v>
      </c>
      <c r="O44" s="20">
        <f t="shared" si="11"/>
        <v>33.977640000000001</v>
      </c>
      <c r="P44" s="15">
        <f t="shared" si="8"/>
        <v>42.033110050322669</v>
      </c>
      <c r="Q44" s="15">
        <f t="shared" si="9"/>
        <v>43.485944180605699</v>
      </c>
      <c r="R44">
        <f t="shared" si="4"/>
        <v>1277</v>
      </c>
      <c r="T44" s="25">
        <f t="shared" si="7"/>
        <v>4444703.7574514253</v>
      </c>
      <c r="U44">
        <f t="shared" si="5"/>
        <v>0.12699153592718357</v>
      </c>
      <c r="V44">
        <f t="shared" si="6"/>
        <v>12.699153592718357</v>
      </c>
    </row>
    <row r="45" spans="1:22" x14ac:dyDescent="0.3">
      <c r="A45" s="19">
        <v>45078</v>
      </c>
      <c r="B45" s="15">
        <v>6432.0413528333338</v>
      </c>
      <c r="C45" s="15">
        <v>3227.7025333333336</v>
      </c>
      <c r="D45" s="15">
        <v>3204.3388195000007</v>
      </c>
      <c r="E45" s="15">
        <v>21242.766666666666</v>
      </c>
      <c r="F45" s="15">
        <v>0</v>
      </c>
      <c r="G45" s="15">
        <v>96831.076000000015</v>
      </c>
      <c r="H45" s="17">
        <v>1.2956007416E-2</v>
      </c>
      <c r="I45" s="15">
        <v>637283</v>
      </c>
      <c r="J45" s="15">
        <v>0</v>
      </c>
      <c r="K45" s="15">
        <v>96130.164585000006</v>
      </c>
      <c r="L45" s="15">
        <v>0</v>
      </c>
      <c r="M45" s="16">
        <v>7</v>
      </c>
      <c r="N45" s="18">
        <f t="shared" si="10"/>
        <v>0.60777916422099998</v>
      </c>
      <c r="O45" s="20">
        <f t="shared" si="11"/>
        <v>34.614923000000005</v>
      </c>
      <c r="P45" s="15">
        <f t="shared" si="8"/>
        <v>49.818380257901779</v>
      </c>
      <c r="Q45" s="15">
        <f t="shared" si="9"/>
        <v>41.395621932363937</v>
      </c>
      <c r="R45">
        <f t="shared" si="4"/>
        <v>1308</v>
      </c>
      <c r="T45" s="25">
        <f t="shared" si="7"/>
        <v>4541534.8334514257</v>
      </c>
      <c r="U45">
        <f t="shared" si="5"/>
        <v>0.12975813809861217</v>
      </c>
      <c r="V45">
        <f t="shared" si="6"/>
        <v>12.975813809861217</v>
      </c>
    </row>
    <row r="46" spans="1:22" x14ac:dyDescent="0.3">
      <c r="A46" s="19">
        <v>45108</v>
      </c>
      <c r="B46" s="15">
        <v>6050.4763610645168</v>
      </c>
      <c r="C46" s="15">
        <v>3359.1121290322581</v>
      </c>
      <c r="D46" s="15">
        <v>2691.3642320322583</v>
      </c>
      <c r="E46" s="15">
        <v>21667.806451612902</v>
      </c>
      <c r="F46" s="15">
        <v>0</v>
      </c>
      <c r="G46" s="15">
        <v>104132.47599999998</v>
      </c>
      <c r="H46" s="17">
        <v>1.3932935444999999E-2</v>
      </c>
      <c r="I46" s="15">
        <v>671702</v>
      </c>
      <c r="J46" s="15">
        <v>0</v>
      </c>
      <c r="K46" s="15">
        <v>83432.291192999997</v>
      </c>
      <c r="L46" s="15">
        <v>0</v>
      </c>
      <c r="M46" s="16">
        <v>7</v>
      </c>
      <c r="N46" s="18">
        <f t="shared" si="10"/>
        <v>0.62171209966599994</v>
      </c>
      <c r="O46" s="20">
        <f t="shared" si="11"/>
        <v>35.286625000000008</v>
      </c>
      <c r="P46" s="15">
        <f t="shared" si="8"/>
        <v>44.481856822902152</v>
      </c>
      <c r="Q46" s="15">
        <f t="shared" si="9"/>
        <v>40.572080890499528</v>
      </c>
      <c r="R46">
        <f t="shared" si="4"/>
        <v>1338</v>
      </c>
      <c r="T46" s="25">
        <f t="shared" si="7"/>
        <v>4645667.3094514254</v>
      </c>
      <c r="U46">
        <f t="shared" si="5"/>
        <v>0.13273335169861217</v>
      </c>
      <c r="V46">
        <f t="shared" si="6"/>
        <v>13.273335169861216</v>
      </c>
    </row>
    <row r="47" spans="1:22" x14ac:dyDescent="0.3">
      <c r="A47" s="19">
        <v>45139</v>
      </c>
      <c r="B47" s="15">
        <v>5912.9051225161293</v>
      </c>
      <c r="C47" s="15">
        <v>3220.7871290322582</v>
      </c>
      <c r="D47" s="15">
        <v>2692.117993483871</v>
      </c>
      <c r="E47" s="15">
        <v>17576.741935483871</v>
      </c>
      <c r="F47" s="15">
        <v>0</v>
      </c>
      <c r="G47" s="15">
        <v>99844.400999999983</v>
      </c>
      <c r="H47" s="17">
        <v>1.3359190593000001E-2</v>
      </c>
      <c r="I47" s="15">
        <v>544879</v>
      </c>
      <c r="J47" s="15">
        <v>0</v>
      </c>
      <c r="K47" s="15">
        <v>83455.657798</v>
      </c>
      <c r="L47" s="15">
        <v>0</v>
      </c>
      <c r="M47" s="16">
        <v>7</v>
      </c>
      <c r="N47" s="18">
        <f t="shared" si="10"/>
        <v>0.63507129025899989</v>
      </c>
      <c r="O47" s="20">
        <f t="shared" si="11"/>
        <v>35.83150400000001</v>
      </c>
      <c r="P47" s="15">
        <f t="shared" si="8"/>
        <v>45.529531384367786</v>
      </c>
      <c r="Q47" s="15">
        <f t="shared" si="9"/>
        <v>34.325209023989245</v>
      </c>
      <c r="R47">
        <f t="shared" si="4"/>
        <v>1369</v>
      </c>
      <c r="T47" s="25">
        <f t="shared" si="7"/>
        <v>4745511.7104514251</v>
      </c>
      <c r="U47">
        <f t="shared" si="5"/>
        <v>0.13558604887004072</v>
      </c>
      <c r="V47">
        <f t="shared" si="6"/>
        <v>13.558604887004073</v>
      </c>
    </row>
    <row r="48" spans="1:22" x14ac:dyDescent="0.3">
      <c r="A48" s="19">
        <v>45170</v>
      </c>
      <c r="B48" s="15">
        <v>5132.4030230000008</v>
      </c>
      <c r="C48" s="15">
        <v>2848.7963666666665</v>
      </c>
      <c r="D48" s="15">
        <v>2283.6066563333334</v>
      </c>
      <c r="E48" s="15">
        <v>14753.2</v>
      </c>
      <c r="F48" s="15">
        <v>0</v>
      </c>
      <c r="G48" s="15">
        <v>85463.891000000003</v>
      </c>
      <c r="H48" s="17">
        <v>1.1435076947000002E-2</v>
      </c>
      <c r="I48" s="15">
        <v>442596</v>
      </c>
      <c r="J48" s="15">
        <v>0</v>
      </c>
      <c r="K48" s="15">
        <v>68508.199690000009</v>
      </c>
      <c r="L48" s="15">
        <v>0</v>
      </c>
      <c r="M48" s="16">
        <v>7</v>
      </c>
      <c r="N48" s="18">
        <f t="shared" si="10"/>
        <v>0.64650636720599985</v>
      </c>
      <c r="O48" s="20">
        <f t="shared" si="11"/>
        <v>36.274100000000011</v>
      </c>
      <c r="P48" s="15">
        <f t="shared" si="8"/>
        <v>44.493907553630038</v>
      </c>
      <c r="Q48" s="15">
        <f t="shared" si="9"/>
        <v>32.573292512506825</v>
      </c>
      <c r="R48">
        <f t="shared" si="4"/>
        <v>1400</v>
      </c>
      <c r="T48" s="25">
        <f t="shared" si="7"/>
        <v>4830975.6014514249</v>
      </c>
      <c r="U48">
        <f t="shared" si="5"/>
        <v>0.13802787432718358</v>
      </c>
      <c r="V48">
        <f t="shared" si="6"/>
        <v>13.802787432718358</v>
      </c>
    </row>
    <row r="49" spans="1:22" x14ac:dyDescent="0.3">
      <c r="A49" s="19">
        <v>45200</v>
      </c>
      <c r="B49" s="15">
        <v>5014.0519576129027</v>
      </c>
      <c r="C49" s="15">
        <v>2796.6186774193548</v>
      </c>
      <c r="D49" s="15">
        <v>2217.4332801935484</v>
      </c>
      <c r="E49" s="15">
        <v>18139.387096774193</v>
      </c>
      <c r="F49" s="15">
        <v>0</v>
      </c>
      <c r="G49" s="15">
        <v>86695.179000000004</v>
      </c>
      <c r="H49" s="17">
        <v>1.1599823408000001E-2</v>
      </c>
      <c r="I49" s="15">
        <v>562321</v>
      </c>
      <c r="J49" s="15">
        <v>0</v>
      </c>
      <c r="K49" s="15">
        <v>68740.431685999996</v>
      </c>
      <c r="L49" s="15">
        <v>0</v>
      </c>
      <c r="M49" s="16">
        <v>7</v>
      </c>
      <c r="N49" s="18">
        <f t="shared" si="10"/>
        <v>0.65810619061399989</v>
      </c>
      <c r="O49" s="20">
        <f t="shared" si="11"/>
        <v>36.836421000000009</v>
      </c>
      <c r="P49" s="15">
        <f t="shared" si="8"/>
        <v>44.224377787445725</v>
      </c>
      <c r="Q49" s="15">
        <f t="shared" si="9"/>
        <v>40.796808618389264</v>
      </c>
      <c r="R49">
        <f t="shared" si="4"/>
        <v>1430</v>
      </c>
      <c r="T49" s="25">
        <f t="shared" si="7"/>
        <v>4917670.7804514244</v>
      </c>
      <c r="U49">
        <f t="shared" si="5"/>
        <v>0.14050487944146928</v>
      </c>
      <c r="V49">
        <f t="shared" si="6"/>
        <v>14.050487944146928</v>
      </c>
    </row>
    <row r="50" spans="1:22" x14ac:dyDescent="0.3">
      <c r="A50" s="19">
        <v>45231</v>
      </c>
      <c r="B50" s="15">
        <v>6368.5892640333332</v>
      </c>
      <c r="C50" s="15">
        <v>3319.3009333333334</v>
      </c>
      <c r="D50" s="15">
        <v>3049.2883307000002</v>
      </c>
      <c r="E50" s="15">
        <v>25270.533333333333</v>
      </c>
      <c r="F50" s="15">
        <v>0</v>
      </c>
      <c r="G50" s="15">
        <v>99579.027999999991</v>
      </c>
      <c r="H50" s="17">
        <v>1.3323683672E-2</v>
      </c>
      <c r="I50" s="15">
        <v>758116</v>
      </c>
      <c r="J50" s="15">
        <v>0</v>
      </c>
      <c r="K50" s="15">
        <v>91478.649921000004</v>
      </c>
      <c r="L50" s="15">
        <v>0</v>
      </c>
      <c r="M50" s="16">
        <v>7</v>
      </c>
      <c r="N50" s="18">
        <f t="shared" si="10"/>
        <v>0.67142987428599987</v>
      </c>
      <c r="O50" s="20">
        <f t="shared" si="11"/>
        <v>37.59453700000001</v>
      </c>
      <c r="P50" s="15">
        <f t="shared" si="8"/>
        <v>47.880122336054612</v>
      </c>
      <c r="Q50" s="15">
        <f t="shared" si="9"/>
        <v>47.885564988643999</v>
      </c>
      <c r="R50">
        <f t="shared" si="4"/>
        <v>1461</v>
      </c>
      <c r="T50" s="25">
        <f t="shared" si="7"/>
        <v>5017249.8084514244</v>
      </c>
      <c r="U50">
        <f t="shared" si="5"/>
        <v>0.14334999452718356</v>
      </c>
      <c r="V50">
        <f t="shared" si="6"/>
        <v>14.334999452718355</v>
      </c>
    </row>
    <row r="51" spans="1:22" x14ac:dyDescent="0.3">
      <c r="A51" s="19">
        <v>45261</v>
      </c>
      <c r="B51" s="15">
        <v>6609.2190880967737</v>
      </c>
      <c r="C51" s="15">
        <v>3216.6563870967743</v>
      </c>
      <c r="D51" s="15">
        <v>3392.5627010000003</v>
      </c>
      <c r="E51" s="15">
        <v>35279.258064516129</v>
      </c>
      <c r="F51" s="15">
        <v>0</v>
      </c>
      <c r="G51" s="15">
        <v>99716.348000000013</v>
      </c>
      <c r="H51" s="17">
        <v>1.3342057095E-2</v>
      </c>
      <c r="I51" s="15">
        <v>1093657</v>
      </c>
      <c r="J51" s="15">
        <v>0</v>
      </c>
      <c r="K51" s="15">
        <v>105169.44373100001</v>
      </c>
      <c r="L51" s="15">
        <v>0</v>
      </c>
      <c r="M51" s="16">
        <v>7</v>
      </c>
      <c r="N51" s="18">
        <f t="shared" si="10"/>
        <v>0.6847719313809999</v>
      </c>
      <c r="O51" s="20">
        <f t="shared" si="11"/>
        <v>38.68819400000001</v>
      </c>
      <c r="P51" s="15">
        <f t="shared" si="8"/>
        <v>51.330764736033899</v>
      </c>
      <c r="Q51" s="15">
        <f t="shared" si="9"/>
        <v>68.984513939479598</v>
      </c>
      <c r="R51">
        <f t="shared" si="4"/>
        <v>1491</v>
      </c>
      <c r="T51" s="25">
        <f t="shared" si="7"/>
        <v>5116966.1564514246</v>
      </c>
      <c r="U51">
        <f t="shared" si="5"/>
        <v>0.14619903304146928</v>
      </c>
      <c r="V51">
        <f t="shared" si="6"/>
        <v>14.619903304146927</v>
      </c>
    </row>
    <row r="52" spans="1:22" x14ac:dyDescent="0.3">
      <c r="A52" s="19">
        <v>45292</v>
      </c>
      <c r="B52" s="15">
        <v>6679.887416967742</v>
      </c>
      <c r="C52" s="15">
        <v>3049.5852903225805</v>
      </c>
      <c r="D52" s="15">
        <v>3630.3021266451615</v>
      </c>
      <c r="E52" s="15">
        <v>32800.096774193553</v>
      </c>
      <c r="F52" s="15">
        <v>0</v>
      </c>
      <c r="G52" s="15">
        <v>94537.143999999986</v>
      </c>
      <c r="H52" s="17">
        <v>1.2649079093000001E-2</v>
      </c>
      <c r="I52" s="15">
        <v>1016803</v>
      </c>
      <c r="J52" s="15">
        <v>0</v>
      </c>
      <c r="K52" s="15">
        <v>112539.36592600001</v>
      </c>
      <c r="L52" s="15">
        <v>0</v>
      </c>
      <c r="M52" s="16">
        <v>7</v>
      </c>
      <c r="N52" s="18">
        <f t="shared" si="10"/>
        <v>0.69742101047399985</v>
      </c>
      <c r="O52" s="20">
        <f t="shared" si="11"/>
        <v>39.704997000000013</v>
      </c>
      <c r="P52" s="15">
        <f t="shared" si="8"/>
        <v>54.346756165736331</v>
      </c>
      <c r="Q52" s="15">
        <f t="shared" si="9"/>
        <v>67.650525907573439</v>
      </c>
      <c r="R52">
        <f t="shared" si="4"/>
        <v>1522</v>
      </c>
      <c r="T52" s="25">
        <f t="shared" si="7"/>
        <v>5211503.3004514249</v>
      </c>
      <c r="U52">
        <f t="shared" si="5"/>
        <v>0.14890009429861215</v>
      </c>
      <c r="V52">
        <f t="shared" si="6"/>
        <v>14.890009429861214</v>
      </c>
    </row>
    <row r="53" spans="1:22" x14ac:dyDescent="0.3">
      <c r="A53" s="19">
        <v>45323</v>
      </c>
      <c r="B53" s="15">
        <v>6647.4331037586207</v>
      </c>
      <c r="C53" s="15">
        <v>3178.4492068965519</v>
      </c>
      <c r="D53" s="15">
        <v>3468.9838968620688</v>
      </c>
      <c r="E53" s="15">
        <v>31644.413793103449</v>
      </c>
      <c r="F53" s="15">
        <v>0</v>
      </c>
      <c r="G53" s="15">
        <v>92175.027000000002</v>
      </c>
      <c r="H53" s="17">
        <v>1.2333027601999998E-2</v>
      </c>
      <c r="I53" s="15">
        <v>917688</v>
      </c>
      <c r="J53" s="15">
        <v>0</v>
      </c>
      <c r="K53" s="15">
        <v>100600.53300899999</v>
      </c>
      <c r="L53" s="15">
        <v>0</v>
      </c>
      <c r="M53" s="16">
        <v>7</v>
      </c>
      <c r="N53" s="18">
        <f t="shared" si="10"/>
        <v>0.70975403807599979</v>
      </c>
      <c r="O53" s="20">
        <f t="shared" si="11"/>
        <v>40.622685000000011</v>
      </c>
      <c r="P53" s="15">
        <f t="shared" si="8"/>
        <v>52.185314883434032</v>
      </c>
      <c r="Q53" s="15">
        <f t="shared" si="9"/>
        <v>62.620800560221149</v>
      </c>
      <c r="R53">
        <f t="shared" si="4"/>
        <v>1553</v>
      </c>
      <c r="T53" s="25">
        <f t="shared" si="7"/>
        <v>5303678.3274514247</v>
      </c>
      <c r="U53">
        <f t="shared" si="5"/>
        <v>0.15153366649861214</v>
      </c>
      <c r="V53">
        <f t="shared" si="6"/>
        <v>15.153366649861214</v>
      </c>
    </row>
    <row r="54" spans="1:22" x14ac:dyDescent="0.3">
      <c r="A54" s="19">
        <v>45352</v>
      </c>
      <c r="B54" s="15">
        <v>6782.6351359677419</v>
      </c>
      <c r="C54" s="15">
        <v>3093.9044193548389</v>
      </c>
      <c r="D54" s="15">
        <v>3688.7307166129035</v>
      </c>
      <c r="E54" s="15">
        <v>24819.451612903227</v>
      </c>
      <c r="F54" s="15">
        <v>0</v>
      </c>
      <c r="G54" s="15">
        <v>95911.037000000011</v>
      </c>
      <c r="H54" s="17">
        <v>1.2832906105E-2</v>
      </c>
      <c r="I54" s="15">
        <v>769403</v>
      </c>
      <c r="J54" s="15">
        <v>0</v>
      </c>
      <c r="K54" s="15">
        <v>114350.65221500001</v>
      </c>
      <c r="L54" s="15">
        <v>0</v>
      </c>
      <c r="M54" s="16">
        <v>7</v>
      </c>
      <c r="N54" s="18">
        <f t="shared" si="10"/>
        <v>0.72258694418099978</v>
      </c>
      <c r="O54" s="20">
        <f t="shared" si="11"/>
        <v>41.392088000000008</v>
      </c>
      <c r="P54" s="15">
        <f t="shared" si="8"/>
        <v>54.38492035421271</v>
      </c>
      <c r="Q54" s="15">
        <f t="shared" si="9"/>
        <v>50.457081278351723</v>
      </c>
      <c r="R54">
        <f t="shared" si="4"/>
        <v>1582</v>
      </c>
      <c r="T54" s="25">
        <f t="shared" si="7"/>
        <v>5399589.3644514252</v>
      </c>
      <c r="U54">
        <f t="shared" si="5"/>
        <v>0.15427398184146929</v>
      </c>
      <c r="V54">
        <f t="shared" si="6"/>
        <v>15.427398184146929</v>
      </c>
    </row>
    <row r="55" spans="1:22" x14ac:dyDescent="0.3">
      <c r="A55" s="19">
        <v>45383</v>
      </c>
      <c r="B55" s="15">
        <v>7004.1497088333326</v>
      </c>
      <c r="C55" s="15">
        <v>3030.0601333333334</v>
      </c>
      <c r="D55" s="15">
        <v>3974.0895755000001</v>
      </c>
      <c r="E55" s="15">
        <v>21792.833333333332</v>
      </c>
      <c r="F55" s="15">
        <v>0</v>
      </c>
      <c r="G55" s="15">
        <v>90901.804000000004</v>
      </c>
      <c r="H55" s="17">
        <v>1.2162670246E-2</v>
      </c>
      <c r="I55" s="15">
        <v>653785</v>
      </c>
      <c r="J55" s="15">
        <v>0</v>
      </c>
      <c r="K55" s="15">
        <v>119222.687265</v>
      </c>
      <c r="L55" s="15">
        <v>0</v>
      </c>
      <c r="M55" s="16">
        <v>7</v>
      </c>
      <c r="N55" s="18">
        <f t="shared" si="10"/>
        <v>0.73474961442699982</v>
      </c>
      <c r="O55" s="20">
        <f t="shared" si="11"/>
        <v>42.045873000000007</v>
      </c>
      <c r="P55" s="15">
        <f t="shared" si="8"/>
        <v>56.739072417142197</v>
      </c>
      <c r="Q55" s="15">
        <f t="shared" si="9"/>
        <v>45.237571885812073</v>
      </c>
      <c r="R55">
        <f t="shared" si="4"/>
        <v>1613</v>
      </c>
      <c r="T55" s="25">
        <f t="shared" si="7"/>
        <v>5490491.1684514247</v>
      </c>
      <c r="U55">
        <f t="shared" si="5"/>
        <v>0.15687117624146929</v>
      </c>
      <c r="V55">
        <f t="shared" si="6"/>
        <v>15.687117624146929</v>
      </c>
    </row>
    <row r="56" spans="1:22" x14ac:dyDescent="0.3">
      <c r="A56" s="19">
        <v>45413</v>
      </c>
      <c r="B56" s="15">
        <v>6146.2786168709681</v>
      </c>
      <c r="C56" s="15">
        <v>2879.4640322580653</v>
      </c>
      <c r="D56" s="15">
        <v>3266.8145846129028</v>
      </c>
      <c r="E56" s="15">
        <v>21850.451612903224</v>
      </c>
      <c r="F56" s="15">
        <v>0</v>
      </c>
      <c r="G56" s="15">
        <v>89263.384999999995</v>
      </c>
      <c r="H56" s="17">
        <v>1.194344963E-2</v>
      </c>
      <c r="I56" s="15">
        <v>677364</v>
      </c>
      <c r="J56" s="15">
        <v>0</v>
      </c>
      <c r="K56" s="15">
        <v>101271.252123</v>
      </c>
      <c r="L56" s="15">
        <v>0</v>
      </c>
      <c r="M56" s="16">
        <v>7</v>
      </c>
      <c r="N56" s="18">
        <f t="shared" si="10"/>
        <v>0.74669306405699987</v>
      </c>
      <c r="O56" s="20">
        <f t="shared" si="11"/>
        <v>42.723237000000005</v>
      </c>
      <c r="P56" s="15">
        <f t="shared" si="8"/>
        <v>53.151098221382263</v>
      </c>
      <c r="Q56" s="15">
        <f t="shared" si="9"/>
        <v>47.729358316402632</v>
      </c>
      <c r="R56">
        <f t="shared" si="4"/>
        <v>1643</v>
      </c>
      <c r="T56" s="25">
        <f t="shared" si="7"/>
        <v>5579754.5534514245</v>
      </c>
      <c r="U56">
        <f t="shared" si="5"/>
        <v>0.15942155867004071</v>
      </c>
      <c r="V56">
        <f t="shared" si="6"/>
        <v>15.942155867004072</v>
      </c>
    </row>
    <row r="57" spans="1:22" x14ac:dyDescent="0.3">
      <c r="A57" s="19">
        <v>45444</v>
      </c>
      <c r="B57" s="15">
        <v>6530.0884353666661</v>
      </c>
      <c r="C57" s="15">
        <v>2762.6414333333337</v>
      </c>
      <c r="D57" s="15">
        <v>3767.4470020333329</v>
      </c>
      <c r="E57" s="15">
        <v>22883.200000000001</v>
      </c>
      <c r="F57" s="15">
        <v>0</v>
      </c>
      <c r="G57" s="15">
        <v>82879.242999999988</v>
      </c>
      <c r="H57" s="17">
        <v>1.1089250795000002E-2</v>
      </c>
      <c r="I57" s="15">
        <v>686496</v>
      </c>
      <c r="J57" s="15">
        <v>0</v>
      </c>
      <c r="K57" s="15">
        <v>113023.410061</v>
      </c>
      <c r="L57" s="15">
        <v>0</v>
      </c>
      <c r="M57" s="16">
        <v>7</v>
      </c>
      <c r="N57" s="18">
        <f t="shared" si="10"/>
        <v>0.75778231485199987</v>
      </c>
      <c r="O57" s="20">
        <f t="shared" si="11"/>
        <v>43.409733000000003</v>
      </c>
      <c r="P57" s="15">
        <f t="shared" si="8"/>
        <v>57.693659730992451</v>
      </c>
      <c r="Q57" s="15">
        <f t="shared" si="9"/>
        <v>52.098962110452675</v>
      </c>
      <c r="R57">
        <f t="shared" si="4"/>
        <v>1674</v>
      </c>
      <c r="T57" s="25">
        <f t="shared" si="7"/>
        <v>5662633.7964514242</v>
      </c>
      <c r="U57">
        <f t="shared" si="5"/>
        <v>0.16178953704146926</v>
      </c>
      <c r="V57">
        <f t="shared" si="6"/>
        <v>16.178953704146927</v>
      </c>
    </row>
    <row r="58" spans="1:22" x14ac:dyDescent="0.3">
      <c r="A58" s="19">
        <v>45474</v>
      </c>
      <c r="B58" s="15">
        <v>7304.7066175806458</v>
      </c>
      <c r="C58" s="15">
        <v>2755.7041290322582</v>
      </c>
      <c r="D58" s="15">
        <v>4549.0024885483872</v>
      </c>
      <c r="E58" s="15">
        <v>21635.709677419356</v>
      </c>
      <c r="F58" s="15">
        <v>0</v>
      </c>
      <c r="G58" s="15">
        <v>85426.828000000009</v>
      </c>
      <c r="H58" s="17">
        <v>1.1430117911000001E-2</v>
      </c>
      <c r="I58" s="15">
        <v>670707</v>
      </c>
      <c r="J58" s="15">
        <v>0</v>
      </c>
      <c r="K58" s="15">
        <v>141019.07714499999</v>
      </c>
      <c r="L58" s="15">
        <v>0</v>
      </c>
      <c r="M58" s="16">
        <v>7</v>
      </c>
      <c r="N58" s="18">
        <f t="shared" si="10"/>
        <v>0.76921243276299989</v>
      </c>
      <c r="O58" s="20">
        <f t="shared" si="11"/>
        <v>44.080440000000003</v>
      </c>
      <c r="P58" s="15">
        <f t="shared" si="8"/>
        <v>62.274951297839245</v>
      </c>
      <c r="Q58" s="15">
        <f t="shared" si="9"/>
        <v>49.382764025839748</v>
      </c>
      <c r="R58">
        <f t="shared" si="4"/>
        <v>1704</v>
      </c>
      <c r="T58" s="25">
        <f t="shared" si="7"/>
        <v>5748060.624451424</v>
      </c>
      <c r="U58">
        <f t="shared" si="5"/>
        <v>0.16423030355575496</v>
      </c>
      <c r="V58">
        <f t="shared" si="6"/>
        <v>16.423030355575495</v>
      </c>
    </row>
    <row r="59" spans="1:22" x14ac:dyDescent="0.3">
      <c r="A59" s="19">
        <v>45505</v>
      </c>
      <c r="B59" s="15">
        <v>7370.9136512580635</v>
      </c>
      <c r="C59" s="15">
        <v>2899.0525161290325</v>
      </c>
      <c r="D59" s="15">
        <v>4471.8611351290319</v>
      </c>
      <c r="E59" s="15">
        <v>20939.06451612903</v>
      </c>
      <c r="F59" s="15">
        <v>0</v>
      </c>
      <c r="G59" s="15">
        <v>89870.627999999997</v>
      </c>
      <c r="H59" s="17">
        <v>1.2024698792000001E-2</v>
      </c>
      <c r="I59" s="15">
        <v>649111</v>
      </c>
      <c r="J59" s="15">
        <v>0</v>
      </c>
      <c r="K59" s="15">
        <v>138627.69518900002</v>
      </c>
      <c r="L59" s="15">
        <v>0</v>
      </c>
      <c r="M59" s="16">
        <v>7</v>
      </c>
      <c r="N59" s="18">
        <f t="shared" si="10"/>
        <v>0.78123713155499985</v>
      </c>
      <c r="O59" s="20">
        <f t="shared" si="11"/>
        <v>44.729551000000001</v>
      </c>
      <c r="P59" s="15">
        <f t="shared" si="8"/>
        <v>60.66902078503901</v>
      </c>
      <c r="Q59" s="15">
        <f t="shared" si="9"/>
        <v>45.429507489365712</v>
      </c>
      <c r="R59">
        <f t="shared" si="4"/>
        <v>1735</v>
      </c>
      <c r="T59" s="25">
        <f t="shared" si="7"/>
        <v>5837931.2524514236</v>
      </c>
      <c r="U59">
        <f t="shared" si="5"/>
        <v>0.16679803578432639</v>
      </c>
      <c r="V59">
        <f t="shared" si="6"/>
        <v>16.67980357843264</v>
      </c>
    </row>
    <row r="60" spans="1:22" x14ac:dyDescent="0.3">
      <c r="A60" s="19">
        <v>45536</v>
      </c>
      <c r="B60" s="15">
        <v>6764.3401853000005</v>
      </c>
      <c r="C60" s="15">
        <v>2788.7108666666663</v>
      </c>
      <c r="D60" s="15">
        <v>3975.6293186333337</v>
      </c>
      <c r="E60" s="15">
        <v>19837.899999999998</v>
      </c>
      <c r="F60" s="15">
        <v>0</v>
      </c>
      <c r="G60" s="15">
        <v>83661.326000000001</v>
      </c>
      <c r="H60" s="17">
        <v>1.1193893574000002E-2</v>
      </c>
      <c r="I60" s="15">
        <v>595137</v>
      </c>
      <c r="J60" s="15">
        <v>0</v>
      </c>
      <c r="K60" s="15">
        <v>119268.87955899999</v>
      </c>
      <c r="L60" s="15">
        <v>0</v>
      </c>
      <c r="M60" s="16">
        <v>7</v>
      </c>
      <c r="N60" s="18">
        <f t="shared" si="10"/>
        <v>0.79243102512899988</v>
      </c>
      <c r="O60" s="20">
        <f t="shared" si="11"/>
        <v>45.324688000000002</v>
      </c>
      <c r="P60" s="15">
        <f t="shared" si="8"/>
        <v>58.773349798004183</v>
      </c>
      <c r="Q60" s="15">
        <f t="shared" si="9"/>
        <v>44.743406321338966</v>
      </c>
      <c r="R60">
        <f t="shared" si="4"/>
        <v>1766</v>
      </c>
      <c r="T60" s="25">
        <f t="shared" si="7"/>
        <v>5921592.5784514239</v>
      </c>
      <c r="U60">
        <f t="shared" si="5"/>
        <v>0.16918835938432639</v>
      </c>
      <c r="V60">
        <f t="shared" si="6"/>
        <v>16.91883593843264</v>
      </c>
    </row>
    <row r="61" spans="1:22" x14ac:dyDescent="0.3">
      <c r="A61" s="19">
        <v>45566</v>
      </c>
      <c r="B61" s="15">
        <v>6482.9180115806448</v>
      </c>
      <c r="C61" s="15">
        <v>2591.2834193548388</v>
      </c>
      <c r="D61" s="15">
        <v>3891.6345922258065</v>
      </c>
      <c r="E61" s="15">
        <v>20438.935483870966</v>
      </c>
      <c r="F61" s="15">
        <v>0</v>
      </c>
      <c r="G61" s="15">
        <v>80329.785999999993</v>
      </c>
      <c r="H61" s="17">
        <v>1.0748133204999998E-2</v>
      </c>
      <c r="I61" s="15">
        <v>633607</v>
      </c>
      <c r="J61" s="15">
        <v>0</v>
      </c>
      <c r="K61" s="15">
        <v>120640.67235900002</v>
      </c>
      <c r="L61" s="15">
        <v>0</v>
      </c>
      <c r="M61" s="16">
        <v>7</v>
      </c>
      <c r="N61" s="18">
        <f t="shared" si="10"/>
        <v>0.80317915833399989</v>
      </c>
      <c r="O61" s="20">
        <f t="shared" si="11"/>
        <v>45.958295</v>
      </c>
      <c r="P61" s="15">
        <f t="shared" si="8"/>
        <v>60.029057675479692</v>
      </c>
      <c r="Q61" s="15">
        <f t="shared" si="9"/>
        <v>49.611252650417867</v>
      </c>
      <c r="R61">
        <f t="shared" si="4"/>
        <v>1796</v>
      </c>
      <c r="T61" s="25">
        <f t="shared" si="7"/>
        <v>6001922.3644514242</v>
      </c>
      <c r="U61">
        <f t="shared" si="5"/>
        <v>0.17148349612718355</v>
      </c>
      <c r="V61">
        <f t="shared" si="6"/>
        <v>17.148349612718356</v>
      </c>
    </row>
    <row r="62" spans="1:22" x14ac:dyDescent="0.3">
      <c r="A62" s="19">
        <v>45597</v>
      </c>
      <c r="B62" s="15">
        <v>6507.8028365999999</v>
      </c>
      <c r="C62" s="15">
        <v>2585.6603</v>
      </c>
      <c r="D62" s="15">
        <v>3922.1425365999999</v>
      </c>
      <c r="E62" s="15">
        <v>19487.766666666666</v>
      </c>
      <c r="F62" s="15">
        <v>0</v>
      </c>
      <c r="G62" s="15">
        <v>77569.809000000008</v>
      </c>
      <c r="H62" s="17">
        <v>1.0378848012000001E-2</v>
      </c>
      <c r="I62" s="15">
        <v>584633</v>
      </c>
      <c r="J62" s="15">
        <v>0</v>
      </c>
      <c r="K62" s="15">
        <v>117664.276098</v>
      </c>
      <c r="L62" s="15">
        <v>0</v>
      </c>
      <c r="M62" s="16">
        <v>7</v>
      </c>
      <c r="N62" s="18">
        <f t="shared" si="10"/>
        <v>0.81355800634599984</v>
      </c>
      <c r="O62" s="20">
        <f t="shared" si="11"/>
        <v>46.542927999999996</v>
      </c>
      <c r="P62" s="15">
        <f t="shared" si="8"/>
        <v>60.268306140773042</v>
      </c>
      <c r="Q62" s="15">
        <f t="shared" si="9"/>
        <v>47.405359002495409</v>
      </c>
      <c r="R62">
        <f t="shared" si="4"/>
        <v>1827</v>
      </c>
      <c r="T62" s="25">
        <f t="shared" si="7"/>
        <v>6079492.1734514246</v>
      </c>
      <c r="U62">
        <f t="shared" si="5"/>
        <v>0.1736997763843264</v>
      </c>
      <c r="V62">
        <f t="shared" si="6"/>
        <v>17.369977638432641</v>
      </c>
    </row>
    <row r="63" spans="1:22" x14ac:dyDescent="0.3">
      <c r="A63" s="19">
        <v>45627</v>
      </c>
      <c r="B63" s="15">
        <v>6247.4811391935482</v>
      </c>
      <c r="C63" s="15">
        <v>2586.2072258064513</v>
      </c>
      <c r="D63" s="15">
        <v>3661.2739133870964</v>
      </c>
      <c r="E63" s="15">
        <v>16312.741935483869</v>
      </c>
      <c r="F63" s="15">
        <v>0</v>
      </c>
      <c r="G63" s="15">
        <v>80172.423999999999</v>
      </c>
      <c r="H63" s="17">
        <v>1.0727078162000001E-2</v>
      </c>
      <c r="I63" s="15">
        <v>505695</v>
      </c>
      <c r="J63" s="15">
        <v>0</v>
      </c>
      <c r="K63" s="15">
        <v>113499.49131499999</v>
      </c>
      <c r="L63" s="15">
        <v>0</v>
      </c>
      <c r="M63" s="16">
        <v>7</v>
      </c>
      <c r="N63" s="18">
        <f t="shared" si="10"/>
        <v>0.82428508450799987</v>
      </c>
      <c r="O63" s="20">
        <f t="shared" si="11"/>
        <v>47.048622999999999</v>
      </c>
      <c r="P63" s="15">
        <f t="shared" si="8"/>
        <v>58.604001065615222</v>
      </c>
      <c r="Q63" s="15">
        <f t="shared" si="9"/>
        <v>39.673496849739756</v>
      </c>
      <c r="R63">
        <f t="shared" si="4"/>
        <v>1857</v>
      </c>
      <c r="T63" s="25">
        <f t="shared" si="7"/>
        <v>6159664.5974514242</v>
      </c>
      <c r="U63">
        <f t="shared" si="5"/>
        <v>0.17599041707004071</v>
      </c>
      <c r="V63">
        <f t="shared" si="6"/>
        <v>17.599041707004069</v>
      </c>
    </row>
    <row r="64" spans="1:22" x14ac:dyDescent="0.3">
      <c r="A64" s="19">
        <v>45658</v>
      </c>
      <c r="B64" s="15">
        <v>6431.506158096774</v>
      </c>
      <c r="C64" s="15">
        <v>2484.3105161290323</v>
      </c>
      <c r="D64" s="15">
        <v>3947.1956419677417</v>
      </c>
      <c r="E64" s="15">
        <v>15026.935483870968</v>
      </c>
      <c r="F64" s="15">
        <v>0</v>
      </c>
      <c r="G64" s="15">
        <v>77013.626000000004</v>
      </c>
      <c r="H64" s="17">
        <v>1.0304430668999998E-2</v>
      </c>
      <c r="I64" s="15">
        <v>465835</v>
      </c>
      <c r="J64" s="15">
        <v>0</v>
      </c>
      <c r="K64" s="15">
        <v>122363.06490100001</v>
      </c>
      <c r="L64" s="15">
        <v>0</v>
      </c>
      <c r="M64" s="16">
        <v>7</v>
      </c>
      <c r="N64" s="18">
        <f t="shared" si="10"/>
        <v>0.83458951517699986</v>
      </c>
      <c r="O64" s="20">
        <f t="shared" si="11"/>
        <v>47.514457999999998</v>
      </c>
      <c r="P64" s="15">
        <f t="shared" si="8"/>
        <v>61.372803585028443</v>
      </c>
      <c r="Q64" s="15">
        <f t="shared" si="9"/>
        <v>38.045332172776796</v>
      </c>
      <c r="R64">
        <f t="shared" si="4"/>
        <v>1888</v>
      </c>
      <c r="T64" s="25">
        <f t="shared" si="7"/>
        <v>6236678.2234514244</v>
      </c>
      <c r="U64">
        <f t="shared" si="5"/>
        <v>0.17819080638432641</v>
      </c>
      <c r="V64">
        <f t="shared" si="6"/>
        <v>17.819080638432641</v>
      </c>
    </row>
    <row r="65" spans="1:22" x14ac:dyDescent="0.3">
      <c r="A65" s="19">
        <v>45689</v>
      </c>
      <c r="B65" s="15">
        <v>6735.3919053214286</v>
      </c>
      <c r="C65" s="15">
        <v>2451.2947857142858</v>
      </c>
      <c r="D65" s="15">
        <v>4284.0971196071423</v>
      </c>
      <c r="E65" s="15">
        <v>15580.75</v>
      </c>
      <c r="F65" s="15">
        <v>0</v>
      </c>
      <c r="G65" s="15">
        <v>68636.254000000001</v>
      </c>
      <c r="H65" s="17">
        <v>9.1835374909999996E-3</v>
      </c>
      <c r="I65" s="15">
        <v>436261</v>
      </c>
      <c r="J65" s="15">
        <v>0</v>
      </c>
      <c r="K65" s="15">
        <v>119954.71934899999</v>
      </c>
      <c r="L65" s="15">
        <v>0</v>
      </c>
      <c r="M65" s="16">
        <v>7</v>
      </c>
      <c r="N65" s="18">
        <f t="shared" si="10"/>
        <v>0.84377305266799985</v>
      </c>
      <c r="O65" s="20">
        <f t="shared" si="11"/>
        <v>47.950718999999999</v>
      </c>
      <c r="P65" s="15">
        <f t="shared" si="8"/>
        <v>63.605758652624324</v>
      </c>
      <c r="Q65" s="15">
        <f t="shared" si="9"/>
        <v>39.978790768505512</v>
      </c>
      <c r="R65">
        <f t="shared" si="4"/>
        <v>1919</v>
      </c>
      <c r="T65" s="25">
        <f t="shared" si="7"/>
        <v>6305314.4774514241</v>
      </c>
      <c r="U65">
        <f t="shared" si="5"/>
        <v>0.18015184221289784</v>
      </c>
      <c r="V65">
        <f t="shared" si="6"/>
        <v>18.015184221289786</v>
      </c>
    </row>
    <row r="66" spans="1:22" x14ac:dyDescent="0.3">
      <c r="A66" s="19">
        <v>45717</v>
      </c>
      <c r="B66" s="15">
        <v>7418.9968010967741</v>
      </c>
      <c r="C66" s="15">
        <v>2456.0648064516126</v>
      </c>
      <c r="D66" s="15">
        <v>4962.9319946451615</v>
      </c>
      <c r="E66" s="15">
        <v>15612.903225806453</v>
      </c>
      <c r="F66" s="15">
        <v>0</v>
      </c>
      <c r="G66" s="15">
        <v>76138.008999999991</v>
      </c>
      <c r="H66" s="17">
        <v>1.0187273034000001E-2</v>
      </c>
      <c r="I66" s="15">
        <v>484000</v>
      </c>
      <c r="J66" s="15">
        <v>0</v>
      </c>
      <c r="K66" s="15">
        <v>153850.89183400001</v>
      </c>
      <c r="L66" s="15">
        <v>0</v>
      </c>
      <c r="M66" s="16">
        <v>7</v>
      </c>
      <c r="N66" s="18">
        <f t="shared" si="10"/>
        <v>0.85396032570199987</v>
      </c>
      <c r="O66" s="20">
        <f t="shared" si="11"/>
        <v>48.434719000000001</v>
      </c>
      <c r="P66" s="15">
        <f t="shared" si="8"/>
        <v>66.894920266193878</v>
      </c>
      <c r="Q66" s="15">
        <f t="shared" si="9"/>
        <v>39.983488404589096</v>
      </c>
      <c r="R66">
        <f t="shared" si="4"/>
        <v>1947</v>
      </c>
      <c r="T66" s="25">
        <f t="shared" si="7"/>
        <v>6381452.4864514237</v>
      </c>
      <c r="U66">
        <f t="shared" si="5"/>
        <v>0.18232721389861212</v>
      </c>
      <c r="V66">
        <f t="shared" si="6"/>
        <v>18.232721389861211</v>
      </c>
    </row>
    <row r="67" spans="1:22" x14ac:dyDescent="0.3">
      <c r="A67" s="19">
        <v>45748</v>
      </c>
      <c r="B67" s="15">
        <v>6663.3203355666665</v>
      </c>
      <c r="C67" s="15">
        <v>2228.5092</v>
      </c>
      <c r="D67" s="15">
        <v>4434.811135566667</v>
      </c>
      <c r="E67" s="15">
        <v>16102.6</v>
      </c>
      <c r="F67" s="15">
        <v>0</v>
      </c>
      <c r="G67" s="15">
        <v>66855.275999999998</v>
      </c>
      <c r="H67" s="17">
        <v>8.9452424550000003E-3</v>
      </c>
      <c r="I67" s="15">
        <v>483078</v>
      </c>
      <c r="J67" s="15">
        <v>0</v>
      </c>
      <c r="K67" s="15">
        <v>133044.33406699999</v>
      </c>
      <c r="L67" s="15">
        <v>0</v>
      </c>
      <c r="M67" s="16">
        <v>7</v>
      </c>
      <c r="N67" s="18">
        <f t="shared" si="10"/>
        <v>0.86290556815699981</v>
      </c>
      <c r="O67" s="20">
        <f t="shared" si="11"/>
        <v>48.917797</v>
      </c>
      <c r="P67" s="15">
        <f t="shared" si="8"/>
        <v>66.555574581865244</v>
      </c>
      <c r="Q67" s="15">
        <f t="shared" si="9"/>
        <v>45.448380235540419</v>
      </c>
      <c r="R67">
        <f>A67-$A$2</f>
        <v>1978</v>
      </c>
      <c r="T67" s="25">
        <f t="shared" si="7"/>
        <v>6448307.7624514233</v>
      </c>
      <c r="U67">
        <f t="shared" ref="U67:U70" si="12">T67/(35*10^6)</f>
        <v>0.18423736464146923</v>
      </c>
      <c r="V67">
        <f t="shared" ref="V67:V70" si="13">U67*100</f>
        <v>18.423736464146923</v>
      </c>
    </row>
    <row r="68" spans="1:22" x14ac:dyDescent="0.3">
      <c r="A68" s="19">
        <v>45778</v>
      </c>
      <c r="B68" s="15">
        <v>6761.4168193225814</v>
      </c>
      <c r="C68" s="15">
        <v>2304.2441935483871</v>
      </c>
      <c r="D68" s="15">
        <v>4457.1726257741939</v>
      </c>
      <c r="E68" s="15">
        <v>14414.451612903224</v>
      </c>
      <c r="F68" s="15">
        <v>0</v>
      </c>
      <c r="G68" s="15">
        <v>71431.570000000007</v>
      </c>
      <c r="H68" s="17">
        <v>9.5575510379999999E-3</v>
      </c>
      <c r="I68" s="15">
        <v>446848</v>
      </c>
      <c r="J68" s="15">
        <v>0</v>
      </c>
      <c r="K68" s="15">
        <v>138172.35139900001</v>
      </c>
      <c r="L68" s="15">
        <v>0</v>
      </c>
      <c r="M68" s="16">
        <v>7</v>
      </c>
      <c r="N68" s="18">
        <f t="shared" si="10"/>
        <v>0.87246311919499986</v>
      </c>
      <c r="O68" s="20">
        <f t="shared" si="11"/>
        <v>49.364645000000003</v>
      </c>
      <c r="P68" s="15">
        <f t="shared" si="8"/>
        <v>65.920690069522337</v>
      </c>
      <c r="Q68" s="15">
        <f t="shared" si="9"/>
        <v>39.34653193818923</v>
      </c>
      <c r="R68">
        <f>A68-$A$2</f>
        <v>2008</v>
      </c>
      <c r="T68" s="25">
        <f t="shared" ref="T68:T70" si="14">T67+G68</f>
        <v>6519739.3324514236</v>
      </c>
      <c r="U68">
        <f t="shared" si="12"/>
        <v>0.18627826664146924</v>
      </c>
      <c r="V68">
        <f t="shared" si="13"/>
        <v>18.627826664146923</v>
      </c>
    </row>
    <row r="69" spans="1:22" x14ac:dyDescent="0.3">
      <c r="A69" s="19">
        <v>45809</v>
      </c>
      <c r="B69" s="15">
        <v>7142.529666833334</v>
      </c>
      <c r="C69" s="15">
        <v>2239.4250999999999</v>
      </c>
      <c r="D69" s="15">
        <v>4903.1045668333336</v>
      </c>
      <c r="E69" s="15">
        <v>11403.733333333332</v>
      </c>
      <c r="F69" s="15">
        <v>0</v>
      </c>
      <c r="G69" s="15">
        <v>67182.753000000012</v>
      </c>
      <c r="H69" s="17">
        <v>8.9890589150000005E-3</v>
      </c>
      <c r="I69" s="15">
        <v>342112</v>
      </c>
      <c r="J69" s="15">
        <v>0</v>
      </c>
      <c r="K69" s="15">
        <v>147093.13700500003</v>
      </c>
      <c r="L69" s="15">
        <v>0</v>
      </c>
      <c r="M69" s="16">
        <v>7</v>
      </c>
      <c r="N69" s="18">
        <f t="shared" si="10"/>
        <v>0.88145217810999987</v>
      </c>
      <c r="O69" s="20">
        <f t="shared" si="11"/>
        <v>49.706757000000003</v>
      </c>
      <c r="P69" s="15">
        <f t="shared" si="8"/>
        <v>68.646611152364216</v>
      </c>
      <c r="Q69" s="15">
        <f t="shared" si="9"/>
        <v>32.029292660870858</v>
      </c>
      <c r="R69">
        <f>A69-$A$2</f>
        <v>2039</v>
      </c>
      <c r="T69" s="25">
        <f t="shared" si="14"/>
        <v>6586922.0854514232</v>
      </c>
      <c r="U69">
        <f t="shared" si="12"/>
        <v>0.18819777387004066</v>
      </c>
      <c r="V69">
        <f t="shared" si="13"/>
        <v>18.819777387004066</v>
      </c>
    </row>
    <row r="70" spans="1:22" x14ac:dyDescent="0.3">
      <c r="A70" s="19">
        <v>45839</v>
      </c>
      <c r="B70" s="15">
        <v>7186.9731163870965</v>
      </c>
      <c r="C70" s="15">
        <v>2188.2970000000005</v>
      </c>
      <c r="D70" s="15">
        <v>4998.676116387097</v>
      </c>
      <c r="E70" s="15">
        <v>13212.548387096775</v>
      </c>
      <c r="F70" s="15">
        <v>0</v>
      </c>
      <c r="G70" s="15">
        <v>67837.206999999995</v>
      </c>
      <c r="H70" s="17">
        <v>9.076624912E-3</v>
      </c>
      <c r="I70" s="15">
        <v>409589</v>
      </c>
      <c r="J70" s="15">
        <v>0</v>
      </c>
      <c r="K70" s="15">
        <v>154958.959608</v>
      </c>
      <c r="L70" s="15">
        <v>0</v>
      </c>
      <c r="M70" s="16">
        <v>7</v>
      </c>
      <c r="N70" s="18">
        <f t="shared" si="10"/>
        <v>0.89052880302199988</v>
      </c>
      <c r="O70" s="20">
        <f t="shared" si="11"/>
        <v>50.116346</v>
      </c>
      <c r="P70" s="15">
        <f t="shared" si="8"/>
        <v>69.55189668080935</v>
      </c>
      <c r="Q70" s="15">
        <f t="shared" si="9"/>
        <v>37.976694591804176</v>
      </c>
      <c r="R70">
        <f>A70-$A$2</f>
        <v>2069</v>
      </c>
      <c r="T70" s="25">
        <f t="shared" si="14"/>
        <v>6654759.2924514236</v>
      </c>
      <c r="U70">
        <f t="shared" si="12"/>
        <v>0.19013597978432639</v>
      </c>
      <c r="V70">
        <f t="shared" si="13"/>
        <v>19.013597978432639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8942-A869-437B-BFBE-40A8AECD2E5F}">
  <dimension ref="A1:L17"/>
  <sheetViews>
    <sheetView topLeftCell="D1" zoomScale="155" workbookViewId="0">
      <selection activeCell="H9" sqref="H9"/>
    </sheetView>
  </sheetViews>
  <sheetFormatPr defaultRowHeight="14.4" x14ac:dyDescent="0.3"/>
  <cols>
    <col min="6" max="6" width="39.109375" bestFit="1" customWidth="1"/>
    <col min="7" max="7" width="12.88671875" bestFit="1" customWidth="1"/>
    <col min="8" max="8" width="11.5546875" bestFit="1" customWidth="1"/>
    <col min="9" max="9" width="21.21875" customWidth="1"/>
  </cols>
  <sheetData>
    <row r="1" spans="1:12" x14ac:dyDescent="0.3">
      <c r="B1" s="75" t="s">
        <v>35</v>
      </c>
      <c r="C1" s="75"/>
      <c r="D1" s="75"/>
      <c r="F1" s="74" t="s">
        <v>40</v>
      </c>
      <c r="G1" s="74"/>
      <c r="I1" s="75" t="s">
        <v>33</v>
      </c>
      <c r="J1" s="75"/>
    </row>
    <row r="2" spans="1:12" x14ac:dyDescent="0.3">
      <c r="B2" s="1" t="s">
        <v>0</v>
      </c>
      <c r="C2" s="1" t="s">
        <v>17</v>
      </c>
      <c r="D2" s="1" t="s">
        <v>18</v>
      </c>
      <c r="F2" s="21" t="s">
        <v>19</v>
      </c>
      <c r="G2" s="21">
        <v>46.88</v>
      </c>
      <c r="H2">
        <f>14.22334 * G2</f>
        <v>666.79017920000001</v>
      </c>
      <c r="I2" s="1" t="s">
        <v>28</v>
      </c>
      <c r="J2" s="1">
        <v>1550</v>
      </c>
      <c r="K2">
        <f>3.287*J2</f>
        <v>5094.8499999999995</v>
      </c>
      <c r="L2" t="s">
        <v>59</v>
      </c>
    </row>
    <row r="3" spans="1:12" x14ac:dyDescent="0.3">
      <c r="A3" s="76" t="s">
        <v>34</v>
      </c>
      <c r="B3" s="2">
        <v>43770</v>
      </c>
      <c r="C3" s="1">
        <v>2236</v>
      </c>
      <c r="D3" s="1" t="s">
        <v>36</v>
      </c>
      <c r="F3" s="21" t="s">
        <v>20</v>
      </c>
      <c r="G3" s="21">
        <v>96.8</v>
      </c>
      <c r="H3">
        <f>(G3 *(9/5)) + 32 +460</f>
        <v>666.24</v>
      </c>
      <c r="I3" s="1" t="s">
        <v>29</v>
      </c>
      <c r="J3" s="1">
        <v>10.3</v>
      </c>
      <c r="K3">
        <f>247.105*J3</f>
        <v>2545.1815000000001</v>
      </c>
      <c r="L3" t="s">
        <v>58</v>
      </c>
    </row>
    <row r="4" spans="1:12" x14ac:dyDescent="0.3">
      <c r="A4" s="76"/>
      <c r="B4" s="2">
        <v>43770</v>
      </c>
      <c r="C4" s="1">
        <v>2217</v>
      </c>
      <c r="D4" s="1" t="s">
        <v>37</v>
      </c>
      <c r="F4" s="21" t="s">
        <v>21</v>
      </c>
      <c r="G4" s="21">
        <v>1.1839999999999999</v>
      </c>
      <c r="I4" s="1" t="s">
        <v>30</v>
      </c>
      <c r="J4" s="1">
        <v>7.62</v>
      </c>
      <c r="K4">
        <f>3.281*J4</f>
        <v>25.00122</v>
      </c>
      <c r="L4" t="s">
        <v>59</v>
      </c>
    </row>
    <row r="5" spans="1:12" x14ac:dyDescent="0.3">
      <c r="B5" s="2">
        <v>44593</v>
      </c>
      <c r="C5" s="1">
        <v>2156</v>
      </c>
      <c r="D5" s="1" t="s">
        <v>38</v>
      </c>
      <c r="F5" s="21" t="s">
        <v>27</v>
      </c>
      <c r="G5" s="23">
        <v>1.1599999999999999</v>
      </c>
      <c r="I5" s="1" t="s">
        <v>31</v>
      </c>
      <c r="J5" s="1">
        <v>12.6</v>
      </c>
      <c r="K5">
        <f>0.126</f>
        <v>0.126</v>
      </c>
    </row>
    <row r="6" spans="1:12" x14ac:dyDescent="0.3">
      <c r="B6" s="2">
        <v>44593</v>
      </c>
      <c r="C6" s="1">
        <v>2188</v>
      </c>
      <c r="D6" s="1" t="s">
        <v>39</v>
      </c>
      <c r="F6" s="21" t="s">
        <v>22</v>
      </c>
      <c r="G6" s="21">
        <v>41</v>
      </c>
      <c r="I6" s="1" t="s">
        <v>32</v>
      </c>
      <c r="J6" s="1">
        <v>44</v>
      </c>
      <c r="K6">
        <f>0.44</f>
        <v>0.44</v>
      </c>
    </row>
    <row r="7" spans="1:12" x14ac:dyDescent="0.3">
      <c r="F7" s="22" t="s">
        <v>23</v>
      </c>
      <c r="G7" s="21">
        <v>33.9</v>
      </c>
    </row>
    <row r="8" spans="1:12" x14ac:dyDescent="0.3">
      <c r="B8" t="s">
        <v>64</v>
      </c>
      <c r="F8" s="22" t="s">
        <v>24</v>
      </c>
      <c r="G8" s="21">
        <v>0.85470000000000002</v>
      </c>
    </row>
    <row r="9" spans="1:12" x14ac:dyDescent="0.3">
      <c r="B9" s="30" t="s">
        <v>70</v>
      </c>
      <c r="C9" t="s">
        <v>71</v>
      </c>
      <c r="F9" s="22" t="s">
        <v>25</v>
      </c>
      <c r="G9" s="21">
        <v>1.5047999999999999</v>
      </c>
    </row>
    <row r="10" spans="1:12" x14ac:dyDescent="0.3">
      <c r="B10" s="31">
        <v>1</v>
      </c>
      <c r="C10">
        <v>2217</v>
      </c>
      <c r="F10" s="22" t="s">
        <v>26</v>
      </c>
      <c r="G10" s="21">
        <v>0.89</v>
      </c>
    </row>
    <row r="11" spans="1:12" x14ac:dyDescent="0.3">
      <c r="B11">
        <v>10</v>
      </c>
    </row>
    <row r="12" spans="1:12" x14ac:dyDescent="0.3">
      <c r="B12">
        <v>50</v>
      </c>
    </row>
    <row r="13" spans="1:12" ht="15.6" x14ac:dyDescent="0.35">
      <c r="B13">
        <v>100</v>
      </c>
      <c r="F13" s="34" t="s">
        <v>57</v>
      </c>
      <c r="G13" s="34">
        <f>(7758*K3*K4*K5*K6)/G5</f>
        <v>23593641.015844025</v>
      </c>
    </row>
    <row r="14" spans="1:12" x14ac:dyDescent="0.3">
      <c r="B14">
        <v>200</v>
      </c>
    </row>
    <row r="15" spans="1:12" x14ac:dyDescent="0.3">
      <c r="B15">
        <v>400</v>
      </c>
    </row>
    <row r="16" spans="1:12" x14ac:dyDescent="0.3">
      <c r="B16">
        <v>600</v>
      </c>
    </row>
    <row r="17" spans="2:3" x14ac:dyDescent="0.3">
      <c r="B17">
        <v>823</v>
      </c>
      <c r="C17">
        <v>2156</v>
      </c>
    </row>
  </sheetData>
  <mergeCells count="4">
    <mergeCell ref="F1:G1"/>
    <mergeCell ref="I1:J1"/>
    <mergeCell ref="A3:A4"/>
    <mergeCell ref="B1:D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95"/>
  <sheetViews>
    <sheetView topLeftCell="M1" zoomScale="42" zoomScaleNormal="100" workbookViewId="0">
      <selection activeCell="AH1" sqref="AH1"/>
    </sheetView>
  </sheetViews>
  <sheetFormatPr defaultColWidth="8.77734375" defaultRowHeight="14.4" x14ac:dyDescent="0.3"/>
  <cols>
    <col min="1" max="1" width="8.77734375" style="1"/>
    <col min="2" max="6" width="8.77734375" style="1" bestFit="1" customWidth="1"/>
    <col min="7" max="7" width="9.44140625" style="1" bestFit="1" customWidth="1"/>
    <col min="8" max="8" width="15.5546875" style="1" bestFit="1" customWidth="1"/>
    <col min="9" max="9" width="11.44140625" style="1" bestFit="1" customWidth="1"/>
    <col min="10" max="10" width="10.44140625" style="1" bestFit="1" customWidth="1"/>
    <col min="11" max="12" width="8.77734375" style="1" bestFit="1" customWidth="1"/>
    <col min="13" max="17" width="8.77734375" style="1"/>
    <col min="18" max="18" width="14" style="1" bestFit="1" customWidth="1"/>
    <col min="19" max="19" width="9.109375" style="1" customWidth="1"/>
    <col min="20" max="20" width="11.88671875" style="1" customWidth="1"/>
    <col min="21" max="21" width="8.77734375" style="1"/>
    <col min="22" max="22" width="12.33203125" style="1" customWidth="1"/>
    <col min="23" max="23" width="0.109375" style="1" customWidth="1"/>
    <col min="24" max="24" width="0.109375" style="1" hidden="1" customWidth="1"/>
    <col min="25" max="25" width="18.6640625" style="1" customWidth="1"/>
    <col min="26" max="26" width="23.33203125" style="1" customWidth="1"/>
    <col min="27" max="27" width="21.6640625" style="1" customWidth="1"/>
    <col min="28" max="28" width="10.109375" style="1" customWidth="1"/>
    <col min="29" max="29" width="35.21875" style="1" customWidth="1"/>
    <col min="30" max="30" width="19.88671875" style="1" customWidth="1"/>
    <col min="31" max="31" width="17.6640625" style="1" customWidth="1"/>
    <col min="32" max="32" width="8.77734375" style="1"/>
    <col min="33" max="33" width="21.21875" style="1" customWidth="1"/>
    <col min="34" max="34" width="21" style="1" customWidth="1"/>
    <col min="35" max="37" width="8.77734375" style="1"/>
    <col min="38" max="38" width="15.6640625" style="1" customWidth="1"/>
    <col min="39" max="39" width="13.88671875" style="1" customWidth="1"/>
    <col min="40" max="16384" width="8.77734375" style="1"/>
  </cols>
  <sheetData>
    <row r="1" spans="1:35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  <c r="S1" s="56"/>
      <c r="T1" s="56"/>
      <c r="U1" s="57"/>
      <c r="V1" s="55" t="s">
        <v>123</v>
      </c>
      <c r="W1" s="56" t="s">
        <v>114</v>
      </c>
      <c r="X1" s="56" t="s">
        <v>115</v>
      </c>
      <c r="Y1" s="56" t="s">
        <v>140</v>
      </c>
      <c r="Z1" s="55" t="s">
        <v>116</v>
      </c>
      <c r="AA1" s="55" t="s">
        <v>121</v>
      </c>
      <c r="AB1" s="128" t="s">
        <v>179</v>
      </c>
      <c r="AC1" s="55" t="s">
        <v>161</v>
      </c>
      <c r="AD1" s="55" t="s">
        <v>151</v>
      </c>
      <c r="AE1" s="55" t="s">
        <v>180</v>
      </c>
      <c r="AF1" s="128" t="s">
        <v>181</v>
      </c>
      <c r="AG1" s="55" t="s">
        <v>151</v>
      </c>
      <c r="AH1" s="55" t="s">
        <v>180</v>
      </c>
      <c r="AI1" s="55"/>
    </row>
    <row r="2" spans="1:35" x14ac:dyDescent="0.3">
      <c r="A2" s="4">
        <v>43770</v>
      </c>
      <c r="B2" s="5">
        <v>516.57791476666659</v>
      </c>
      <c r="C2" s="5">
        <v>515.61683333333326</v>
      </c>
      <c r="D2" s="5">
        <v>0.9610814333333334</v>
      </c>
      <c r="E2" s="5">
        <v>2427.7333333333331</v>
      </c>
      <c r="F2" s="5">
        <v>0</v>
      </c>
      <c r="G2" s="5">
        <v>15468.504999999999</v>
      </c>
      <c r="H2" s="9">
        <v>2.0706707029999995E-3</v>
      </c>
      <c r="I2" s="5">
        <v>72832</v>
      </c>
      <c r="J2" s="5">
        <v>28.832443000000001</v>
      </c>
      <c r="K2" s="5">
        <v>0.18604772017159207</v>
      </c>
      <c r="L2" s="5">
        <v>29.614931345983337</v>
      </c>
      <c r="M2" s="3">
        <f>C2*30</f>
        <v>15468.504999999997</v>
      </c>
      <c r="N2" s="1">
        <f>A2-$A$2</f>
        <v>0</v>
      </c>
      <c r="O2" s="1">
        <f>D2/C2</f>
        <v>1.8639450289475296E-3</v>
      </c>
      <c r="T2" s="52"/>
      <c r="U2" s="53"/>
      <c r="V2" s="54">
        <f>_xlfn.DAYS($A$70,A2)</f>
        <v>2069</v>
      </c>
      <c r="W2" s="2">
        <f>(1/A2)</f>
        <v>2.2846698652044781E-5</v>
      </c>
      <c r="Y2" s="1">
        <v>0</v>
      </c>
      <c r="Z2" s="1">
        <f>LN($U$4 / C2) / V2</f>
        <v>1.6438846697255465E-3</v>
      </c>
      <c r="AA2" s="1">
        <f xml:space="preserve"> $U$4 * EXP(-$Z$3*V2)</f>
        <v>746.66833053887103</v>
      </c>
      <c r="AB2" s="129"/>
      <c r="AD2" s="1">
        <f>AC2</f>
        <v>0</v>
      </c>
      <c r="AE2" s="1">
        <f>(AD2*100)/(35*10^6)</f>
        <v>0</v>
      </c>
      <c r="AF2" s="129"/>
      <c r="AG2" s="3">
        <f>G2</f>
        <v>15468.504999999999</v>
      </c>
      <c r="AH2" s="1">
        <f>(AG2*100)/(35*10^6)</f>
        <v>4.4195728571428575E-2</v>
      </c>
    </row>
    <row r="3" spans="1:35" x14ac:dyDescent="0.3">
      <c r="A3" s="2">
        <v>43800</v>
      </c>
      <c r="B3" s="3">
        <v>781.59590187096774</v>
      </c>
      <c r="C3" s="3">
        <v>780.21458064516128</v>
      </c>
      <c r="D3" s="3">
        <v>1.3813212258064516</v>
      </c>
      <c r="E3" s="3">
        <v>3190.9032258064517</v>
      </c>
      <c r="F3" s="3">
        <v>0</v>
      </c>
      <c r="G3" s="3">
        <v>24186.651999999998</v>
      </c>
      <c r="H3" s="10">
        <v>3.2377137769999996E-3</v>
      </c>
      <c r="I3" s="3">
        <v>98918</v>
      </c>
      <c r="J3" s="3">
        <v>42.820957999999997</v>
      </c>
      <c r="K3" s="3">
        <v>0.1767308685344785</v>
      </c>
      <c r="L3" s="3">
        <v>25.723875979197121</v>
      </c>
      <c r="N3" s="1">
        <f t="shared" ref="N3:N66" si="0">A3-$A$2</f>
        <v>30</v>
      </c>
      <c r="O3" s="1">
        <f t="shared" ref="O3:O66" si="1">D3/C3</f>
        <v>1.7704375950834369E-3</v>
      </c>
      <c r="R3" s="1">
        <f>(O3-O2) / (N3-N2)</f>
        <v>-3.1169144621364235E-6</v>
      </c>
      <c r="V3" s="54">
        <f t="shared" ref="V3:V66" si="2">_xlfn.DAYS($A$70,A3)</f>
        <v>2039</v>
      </c>
      <c r="W3" s="2">
        <f>(1/A3)</f>
        <v>2.2831050228310503E-5</v>
      </c>
      <c r="Y3" s="1">
        <f>($V$2-V3)/30</f>
        <v>1</v>
      </c>
      <c r="Z3" s="1">
        <f t="shared" ref="Z3:Z66" si="3">LN($U$4 / C3) / V3</f>
        <v>1.4649300220701145E-3</v>
      </c>
      <c r="AA3" s="1">
        <f t="shared" ref="AA3:AA66" si="4" xml:space="preserve"> $U$4 * EXP(-$Z$3*V3)</f>
        <v>780.21458064516116</v>
      </c>
      <c r="AB3" s="129"/>
      <c r="AD3" s="1">
        <f>AD2+AC3</f>
        <v>0</v>
      </c>
      <c r="AE3" s="1">
        <f t="shared" ref="AE3:AE66" si="5">(AD3*100)/(35*10^6)</f>
        <v>0</v>
      </c>
      <c r="AF3" s="129"/>
      <c r="AG3" s="3">
        <f>AG2+G3</f>
        <v>39655.156999999999</v>
      </c>
      <c r="AH3" s="1">
        <f t="shared" ref="AH3:AH66" si="6">(AG3*100)/(35*10^6)</f>
        <v>0.11330044857142857</v>
      </c>
    </row>
    <row r="4" spans="1:35" x14ac:dyDescent="0.3">
      <c r="A4" s="2">
        <v>43831</v>
      </c>
      <c r="B4" s="3">
        <v>1107.7660650645162</v>
      </c>
      <c r="C4" s="3">
        <v>1101.8982903225808</v>
      </c>
      <c r="D4" s="3">
        <v>5.8677747419354835</v>
      </c>
      <c r="E4" s="3">
        <v>1495.8709677419354</v>
      </c>
      <c r="F4" s="3">
        <v>0</v>
      </c>
      <c r="G4" s="3">
        <v>34158.847000000002</v>
      </c>
      <c r="H4" s="10">
        <v>4.5726283030000005E-3</v>
      </c>
      <c r="I4" s="3">
        <v>46372</v>
      </c>
      <c r="J4" s="3">
        <v>181.901017</v>
      </c>
      <c r="K4" s="3">
        <v>0.52969439369798221</v>
      </c>
      <c r="L4" s="3">
        <v>8.5386548790712986</v>
      </c>
      <c r="N4" s="1">
        <f t="shared" si="0"/>
        <v>61</v>
      </c>
      <c r="O4" s="1">
        <f t="shared" si="1"/>
        <v>5.3251509630872487E-3</v>
      </c>
      <c r="P4" s="1">
        <f>IF(OR(N3&lt;=0,N5&lt;=0,O3="",O5=""),"",(O5-O3)/(LN(N5)-LN(N3)))</f>
        <v>9.169012685797789E-3</v>
      </c>
      <c r="R4" s="1">
        <f t="shared" ref="R4:R67" si="7">(O4-O3) / (N4-N3)</f>
        <v>1.1466817316141328E-4</v>
      </c>
      <c r="T4" s="55" t="s">
        <v>113</v>
      </c>
      <c r="U4" s="5">
        <f>$G$2</f>
        <v>15468.504999999999</v>
      </c>
      <c r="V4" s="54">
        <f t="shared" si="2"/>
        <v>2008</v>
      </c>
      <c r="W4" s="2">
        <f>(1/A4)</f>
        <v>2.2814902694440009E-5</v>
      </c>
      <c r="Y4" s="1">
        <f t="shared" ref="Y4:Y67" si="8">($V$2-V4)/30</f>
        <v>2.0333333333333332</v>
      </c>
      <c r="Z4" s="1">
        <f t="shared" si="3"/>
        <v>1.3156233119131062E-3</v>
      </c>
      <c r="AA4" s="1">
        <f t="shared" si="4"/>
        <v>816.46317954985147</v>
      </c>
      <c r="AB4" s="129"/>
      <c r="AD4" s="1">
        <f t="shared" ref="AD4:AD67" si="9">AD3+AC4</f>
        <v>0</v>
      </c>
      <c r="AE4" s="1">
        <f t="shared" si="5"/>
        <v>0</v>
      </c>
      <c r="AF4" s="129"/>
      <c r="AG4" s="3">
        <f t="shared" ref="AG4:AG67" si="10">AG3+G4</f>
        <v>73814.004000000001</v>
      </c>
      <c r="AH4" s="1">
        <f t="shared" si="6"/>
        <v>0.21089715428571429</v>
      </c>
    </row>
    <row r="5" spans="1:35" x14ac:dyDescent="0.3">
      <c r="A5" s="2">
        <v>43862</v>
      </c>
      <c r="B5" s="3">
        <v>1146.6084557586209</v>
      </c>
      <c r="C5" s="3">
        <v>1132.9617586206898</v>
      </c>
      <c r="D5" s="3">
        <v>13.646697137931033</v>
      </c>
      <c r="E5" s="3">
        <v>6075.8275862068967</v>
      </c>
      <c r="F5" s="3">
        <v>0</v>
      </c>
      <c r="G5" s="3">
        <v>32855.891000000003</v>
      </c>
      <c r="H5" s="10">
        <v>4.3982098400000003E-3</v>
      </c>
      <c r="I5" s="3">
        <v>176199</v>
      </c>
      <c r="J5" s="3">
        <v>395.75421699999998</v>
      </c>
      <c r="K5" s="3">
        <v>1.1901793562914276</v>
      </c>
      <c r="L5" s="3">
        <v>33.730829889836187</v>
      </c>
      <c r="N5" s="1">
        <f t="shared" si="0"/>
        <v>92</v>
      </c>
      <c r="O5" s="1">
        <f t="shared" si="1"/>
        <v>1.2045152481179095E-2</v>
      </c>
      <c r="P5" s="1">
        <f t="shared" ref="P5:P68" si="11">IF(OR(N4&lt;=0,N6&lt;=0,O4="",O6=""),"",(O6-O4)/(LN(N6)-LN(N4)))</f>
        <v>1.8806436189720228E-2</v>
      </c>
      <c r="R5" s="1">
        <f t="shared" si="7"/>
        <v>2.1677424251909181E-4</v>
      </c>
      <c r="V5" s="54">
        <f t="shared" si="2"/>
        <v>1977</v>
      </c>
      <c r="W5" s="2">
        <f>(1/A5)</f>
        <v>2.2798777985499978E-5</v>
      </c>
      <c r="Y5" s="1">
        <f t="shared" si="8"/>
        <v>3.0666666666666669</v>
      </c>
      <c r="Z5" s="1">
        <f t="shared" si="3"/>
        <v>1.3221905878118929E-3</v>
      </c>
      <c r="AA5" s="1">
        <f t="shared" si="4"/>
        <v>854.39588043769982</v>
      </c>
      <c r="AB5" s="129"/>
      <c r="AD5" s="1">
        <f t="shared" si="9"/>
        <v>0</v>
      </c>
      <c r="AE5" s="1">
        <f t="shared" si="5"/>
        <v>0</v>
      </c>
      <c r="AF5" s="129"/>
      <c r="AG5" s="3">
        <f t="shared" si="10"/>
        <v>106669.895</v>
      </c>
      <c r="AH5" s="1">
        <f t="shared" si="6"/>
        <v>0.30477112857142857</v>
      </c>
    </row>
    <row r="6" spans="1:35" x14ac:dyDescent="0.3">
      <c r="A6" s="2">
        <v>43891</v>
      </c>
      <c r="B6" s="3">
        <v>1251.470876548387</v>
      </c>
      <c r="C6" s="3">
        <v>1229.0939999999998</v>
      </c>
      <c r="D6" s="3">
        <v>22.376876548387099</v>
      </c>
      <c r="E6" s="3">
        <v>9306.322580645161</v>
      </c>
      <c r="F6" s="3">
        <v>0</v>
      </c>
      <c r="G6" s="3">
        <v>38101.913999999997</v>
      </c>
      <c r="H6" s="10">
        <v>5.1004616859999996E-3</v>
      </c>
      <c r="I6" s="3">
        <v>288496</v>
      </c>
      <c r="J6" s="3">
        <v>693.68317300000001</v>
      </c>
      <c r="K6" s="3">
        <v>1.7880461277775421</v>
      </c>
      <c r="L6" s="3">
        <v>47.62443537088452</v>
      </c>
      <c r="N6" s="1">
        <f t="shared" si="0"/>
        <v>121</v>
      </c>
      <c r="O6" s="1">
        <f t="shared" si="1"/>
        <v>1.8205992827551924E-2</v>
      </c>
      <c r="P6" s="1">
        <f t="shared" si="11"/>
        <v>1.6019345755627527E-2</v>
      </c>
      <c r="R6" s="1">
        <f t="shared" si="7"/>
        <v>2.1244277056458029E-4</v>
      </c>
      <c r="S6" s="77" t="s">
        <v>129</v>
      </c>
      <c r="T6" s="78"/>
      <c r="V6" s="54">
        <f t="shared" si="2"/>
        <v>1948</v>
      </c>
      <c r="W6" s="2">
        <f t="shared" ref="W6:W66" si="12">(1/A6)</f>
        <v>2.2783714201089062E-5</v>
      </c>
      <c r="Y6" s="1">
        <f t="shared" si="8"/>
        <v>4.0333333333333332</v>
      </c>
      <c r="Z6" s="1">
        <f t="shared" si="3"/>
        <v>1.3000660722040616E-3</v>
      </c>
      <c r="AA6" s="1">
        <f t="shared" si="4"/>
        <v>891.47519876689603</v>
      </c>
      <c r="AB6" s="129"/>
      <c r="AD6" s="1">
        <f t="shared" si="9"/>
        <v>0</v>
      </c>
      <c r="AE6" s="1">
        <f t="shared" si="5"/>
        <v>0</v>
      </c>
      <c r="AF6" s="129"/>
      <c r="AG6" s="3">
        <f t="shared" si="10"/>
        <v>144771.80900000001</v>
      </c>
      <c r="AH6" s="1">
        <f t="shared" si="6"/>
        <v>0.41363374000000003</v>
      </c>
    </row>
    <row r="7" spans="1:35" x14ac:dyDescent="0.3">
      <c r="A7" s="2">
        <v>43922</v>
      </c>
      <c r="B7" s="3">
        <v>1249.0865735666666</v>
      </c>
      <c r="C7" s="3">
        <v>1224.4886333333334</v>
      </c>
      <c r="D7" s="3">
        <v>24.597940233333336</v>
      </c>
      <c r="E7" s="3">
        <v>9239.7666666666664</v>
      </c>
      <c r="F7" s="3">
        <v>0</v>
      </c>
      <c r="G7" s="3">
        <v>36734.659</v>
      </c>
      <c r="H7" s="10">
        <v>4.9174359219999993E-3</v>
      </c>
      <c r="I7" s="3">
        <v>277193</v>
      </c>
      <c r="J7" s="3">
        <v>737.93820700000003</v>
      </c>
      <c r="K7" s="3">
        <v>1.9692742483890358</v>
      </c>
      <c r="L7" s="3">
        <v>47.461677305892508</v>
      </c>
      <c r="N7" s="1">
        <f t="shared" si="0"/>
        <v>152</v>
      </c>
      <c r="O7" s="1">
        <f t="shared" si="1"/>
        <v>2.0088336929982121E-2</v>
      </c>
      <c r="P7" s="1">
        <f t="shared" si="11"/>
        <v>-4.4913003309058983E-3</v>
      </c>
      <c r="R7" s="1">
        <f t="shared" si="7"/>
        <v>6.07207774977483E-5</v>
      </c>
      <c r="S7" s="79" t="s">
        <v>133</v>
      </c>
      <c r="T7" s="80"/>
      <c r="U7" s="55">
        <f>LN(30)</f>
        <v>3.4011973816621555</v>
      </c>
      <c r="V7" s="54">
        <f t="shared" si="2"/>
        <v>1917</v>
      </c>
      <c r="W7" s="2">
        <f t="shared" si="12"/>
        <v>2.2767633532170667E-5</v>
      </c>
      <c r="Y7" s="1">
        <f t="shared" si="8"/>
        <v>5.0666666666666664</v>
      </c>
      <c r="Z7" s="1">
        <f t="shared" si="3"/>
        <v>1.3230478385983921E-3</v>
      </c>
      <c r="AA7" s="1">
        <f t="shared" si="4"/>
        <v>932.89294167405808</v>
      </c>
      <c r="AB7" s="129"/>
      <c r="AD7" s="1">
        <f t="shared" si="9"/>
        <v>0</v>
      </c>
      <c r="AE7" s="1">
        <f t="shared" si="5"/>
        <v>0</v>
      </c>
      <c r="AF7" s="129"/>
      <c r="AG7" s="3">
        <f t="shared" si="10"/>
        <v>181506.46799999999</v>
      </c>
      <c r="AH7" s="1">
        <f t="shared" si="6"/>
        <v>0.51858990857142861</v>
      </c>
    </row>
    <row r="8" spans="1:35" x14ac:dyDescent="0.3">
      <c r="A8" s="2">
        <v>43952</v>
      </c>
      <c r="B8" s="3">
        <v>1185.313167935484</v>
      </c>
      <c r="C8" s="3">
        <v>1166.2191612903227</v>
      </c>
      <c r="D8" s="3">
        <v>19.09400664516129</v>
      </c>
      <c r="E8" s="3">
        <v>10126.064516129032</v>
      </c>
      <c r="F8" s="3">
        <v>0</v>
      </c>
      <c r="G8" s="3">
        <v>36152.794000000002</v>
      </c>
      <c r="H8" s="10">
        <v>4.8395453450000006E-3</v>
      </c>
      <c r="I8" s="3">
        <v>313908</v>
      </c>
      <c r="J8" s="3">
        <v>591.91420600000004</v>
      </c>
      <c r="K8" s="3">
        <v>1.6108828587822259</v>
      </c>
      <c r="L8" s="3">
        <v>54.613165953370014</v>
      </c>
      <c r="N8" s="1">
        <f t="shared" si="0"/>
        <v>182</v>
      </c>
      <c r="O8" s="1">
        <f t="shared" si="1"/>
        <v>1.6372571536241429E-2</v>
      </c>
      <c r="P8" s="1">
        <f t="shared" si="11"/>
        <v>-1.4123685407484326E-2</v>
      </c>
      <c r="R8" s="1">
        <f t="shared" si="7"/>
        <v>-1.2385884645802308E-4</v>
      </c>
      <c r="T8" s="1" t="s">
        <v>125</v>
      </c>
      <c r="V8" s="54">
        <f t="shared" si="2"/>
        <v>1887</v>
      </c>
      <c r="W8" s="2">
        <f t="shared" si="12"/>
        <v>2.2752093192573716E-5</v>
      </c>
      <c r="Y8" s="1">
        <f t="shared" si="8"/>
        <v>6.0666666666666664</v>
      </c>
      <c r="Z8" s="1">
        <f t="shared" si="3"/>
        <v>1.3699199740611605E-3</v>
      </c>
      <c r="AA8" s="1">
        <f t="shared" si="4"/>
        <v>974.80587498569946</v>
      </c>
      <c r="AB8" s="129"/>
      <c r="AD8" s="1">
        <f t="shared" si="9"/>
        <v>0</v>
      </c>
      <c r="AE8" s="1">
        <f t="shared" si="5"/>
        <v>0</v>
      </c>
      <c r="AF8" s="129"/>
      <c r="AG8" s="3">
        <f t="shared" si="10"/>
        <v>217659.26199999999</v>
      </c>
      <c r="AH8" s="1">
        <f t="shared" si="6"/>
        <v>0.62188360571428569</v>
      </c>
    </row>
    <row r="9" spans="1:35" x14ac:dyDescent="0.3">
      <c r="A9" s="2">
        <v>43983</v>
      </c>
      <c r="B9" s="3">
        <v>1167.2062708666667</v>
      </c>
      <c r="C9" s="3">
        <v>1149.5912666666666</v>
      </c>
      <c r="D9" s="3">
        <v>17.615004199999998</v>
      </c>
      <c r="E9" s="3">
        <v>10464.6</v>
      </c>
      <c r="F9" s="3">
        <v>0</v>
      </c>
      <c r="G9" s="3">
        <v>34487.737999999998</v>
      </c>
      <c r="H9" s="10">
        <v>4.616654853E-3</v>
      </c>
      <c r="I9" s="3">
        <v>313938</v>
      </c>
      <c r="J9" s="3">
        <v>528.45012599999995</v>
      </c>
      <c r="K9" s="3">
        <v>1.5091594896008067</v>
      </c>
      <c r="L9" s="3">
        <v>57.255341953711202</v>
      </c>
      <c r="N9" s="1">
        <f t="shared" si="0"/>
        <v>213</v>
      </c>
      <c r="O9" s="1">
        <f t="shared" si="1"/>
        <v>1.5322841005113179E-2</v>
      </c>
      <c r="P9" s="1">
        <f t="shared" si="11"/>
        <v>9.8711059157686968E-3</v>
      </c>
      <c r="R9" s="1">
        <f t="shared" si="7"/>
        <v>-3.386227519768547E-5</v>
      </c>
      <c r="S9" s="55" t="s">
        <v>130</v>
      </c>
      <c r="V9" s="54">
        <f t="shared" si="2"/>
        <v>1856</v>
      </c>
      <c r="W9" s="2">
        <f t="shared" si="12"/>
        <v>2.2736057112975469E-5</v>
      </c>
      <c r="Y9" s="1">
        <f t="shared" si="8"/>
        <v>7.1</v>
      </c>
      <c r="Z9" s="1">
        <f t="shared" si="3"/>
        <v>1.4005385573012687E-3</v>
      </c>
      <c r="AA9" s="1">
        <f t="shared" si="4"/>
        <v>1020.0951428984752</v>
      </c>
      <c r="AB9" s="129"/>
      <c r="AD9" s="1">
        <f t="shared" si="9"/>
        <v>0</v>
      </c>
      <c r="AE9" s="1">
        <f t="shared" si="5"/>
        <v>0</v>
      </c>
      <c r="AF9" s="129"/>
      <c r="AG9" s="3">
        <f t="shared" si="10"/>
        <v>252147</v>
      </c>
      <c r="AH9" s="1">
        <f t="shared" si="6"/>
        <v>0.72041999999999995</v>
      </c>
    </row>
    <row r="10" spans="1:35" x14ac:dyDescent="0.3">
      <c r="A10" s="2">
        <v>44013</v>
      </c>
      <c r="B10" s="3">
        <v>1127.8221617683676</v>
      </c>
      <c r="C10" s="3">
        <v>1106.5478263490129</v>
      </c>
      <c r="D10" s="3">
        <v>21.274335419354841</v>
      </c>
      <c r="E10" s="3">
        <v>9210.3870967741932</v>
      </c>
      <c r="F10" s="3">
        <v>0</v>
      </c>
      <c r="G10" s="3">
        <v>34302.982616819398</v>
      </c>
      <c r="H10" s="10">
        <v>4.5942371079999997E-3</v>
      </c>
      <c r="I10" s="3">
        <v>285522</v>
      </c>
      <c r="J10" s="3">
        <v>659.50439800000004</v>
      </c>
      <c r="K10" s="3">
        <v>1.8863200370169857</v>
      </c>
      <c r="L10" s="3">
        <v>52.353356431444773</v>
      </c>
      <c r="N10" s="1">
        <f t="shared" si="0"/>
        <v>243</v>
      </c>
      <c r="O10" s="1">
        <f t="shared" si="1"/>
        <v>1.922586165077764E-2</v>
      </c>
      <c r="P10" s="1">
        <f t="shared" si="11"/>
        <v>6.8360317457647748E-3</v>
      </c>
      <c r="R10" s="1">
        <f t="shared" si="7"/>
        <v>1.3010068818881539E-4</v>
      </c>
      <c r="S10" s="77" t="s">
        <v>131</v>
      </c>
      <c r="T10" s="78"/>
      <c r="V10" s="54">
        <f t="shared" si="2"/>
        <v>1826</v>
      </c>
      <c r="W10" s="2">
        <f t="shared" si="12"/>
        <v>2.2720559834594324E-5</v>
      </c>
      <c r="Y10" s="1">
        <f t="shared" si="8"/>
        <v>8.1</v>
      </c>
      <c r="Z10" s="1">
        <f t="shared" si="3"/>
        <v>1.4444473814867939E-3</v>
      </c>
      <c r="AA10" s="1">
        <f t="shared" si="4"/>
        <v>1065.9258891565717</v>
      </c>
      <c r="AB10" s="129"/>
      <c r="AD10" s="1">
        <f t="shared" si="9"/>
        <v>0</v>
      </c>
      <c r="AE10" s="1">
        <f t="shared" si="5"/>
        <v>0</v>
      </c>
      <c r="AF10" s="129"/>
      <c r="AG10" s="3">
        <f t="shared" si="10"/>
        <v>286449.98261681938</v>
      </c>
      <c r="AH10" s="1">
        <f t="shared" si="6"/>
        <v>0.81842852176234104</v>
      </c>
    </row>
    <row r="11" spans="1:35" x14ac:dyDescent="0.3">
      <c r="A11" s="2">
        <v>44044</v>
      </c>
      <c r="B11" s="3">
        <v>1173.4502443870967</v>
      </c>
      <c r="C11" s="3">
        <v>1153.7846774193547</v>
      </c>
      <c r="D11" s="3">
        <v>19.665566967741935</v>
      </c>
      <c r="E11" s="3">
        <v>9746.7096774193542</v>
      </c>
      <c r="F11" s="3">
        <v>0</v>
      </c>
      <c r="G11" s="3">
        <v>35767.324999999997</v>
      </c>
      <c r="H11" s="10">
        <v>4.7879450509999994E-3</v>
      </c>
      <c r="I11" s="3">
        <v>302148</v>
      </c>
      <c r="J11" s="3">
        <v>609.63257599999997</v>
      </c>
      <c r="K11" s="3">
        <v>1.6758756548739251</v>
      </c>
      <c r="L11" s="3">
        <v>53.133704866103351</v>
      </c>
      <c r="N11" s="1">
        <f t="shared" si="0"/>
        <v>274</v>
      </c>
      <c r="O11" s="1">
        <f t="shared" si="1"/>
        <v>1.7044399490316931E-2</v>
      </c>
      <c r="P11" s="1">
        <f t="shared" si="11"/>
        <v>-7.3306429277816641E-3</v>
      </c>
      <c r="R11" s="1">
        <f t="shared" si="7"/>
        <v>-7.0369747111635785E-5</v>
      </c>
      <c r="T11" s="1" t="s">
        <v>132</v>
      </c>
      <c r="U11" s="1">
        <f>(990.2-3.4012/13.628)</f>
        <v>989.95042559436456</v>
      </c>
      <c r="V11" s="54">
        <f t="shared" si="2"/>
        <v>1795</v>
      </c>
      <c r="W11" s="2">
        <f t="shared" si="12"/>
        <v>2.2704568159113613E-5</v>
      </c>
      <c r="Y11" s="1">
        <f t="shared" si="8"/>
        <v>9.1333333333333329</v>
      </c>
      <c r="Z11" s="1">
        <f t="shared" si="3"/>
        <v>1.4461049908681464E-3</v>
      </c>
      <c r="AA11" s="1">
        <f t="shared" si="4"/>
        <v>1115.4485730138924</v>
      </c>
      <c r="AB11" s="129"/>
      <c r="AD11" s="1">
        <f t="shared" si="9"/>
        <v>0</v>
      </c>
      <c r="AE11" s="1">
        <f t="shared" si="5"/>
        <v>0</v>
      </c>
      <c r="AF11" s="129"/>
      <c r="AG11" s="3">
        <f t="shared" si="10"/>
        <v>322217.30761681939</v>
      </c>
      <c r="AH11" s="1">
        <f t="shared" si="6"/>
        <v>0.92062087890519828</v>
      </c>
    </row>
    <row r="12" spans="1:35" x14ac:dyDescent="0.3">
      <c r="A12" s="2">
        <v>44075</v>
      </c>
      <c r="B12" s="3">
        <v>1127.0677055999997</v>
      </c>
      <c r="C12" s="3">
        <v>1107.6179666666665</v>
      </c>
      <c r="D12" s="3">
        <v>19.449738933333332</v>
      </c>
      <c r="E12" s="3">
        <v>9712.3333333333339</v>
      </c>
      <c r="F12" s="3">
        <v>0</v>
      </c>
      <c r="G12" s="3">
        <v>33228.538999999997</v>
      </c>
      <c r="H12" s="10">
        <v>4.4480938679999993E-3</v>
      </c>
      <c r="I12" s="3">
        <v>291370</v>
      </c>
      <c r="J12" s="3">
        <v>583.49216799999999</v>
      </c>
      <c r="K12" s="3">
        <v>1.7256939256350328</v>
      </c>
      <c r="L12" s="3">
        <v>55.153162948271664</v>
      </c>
      <c r="N12" s="1">
        <f t="shared" si="0"/>
        <v>305</v>
      </c>
      <c r="O12" s="1">
        <f t="shared" si="1"/>
        <v>1.7559970602378881E-2</v>
      </c>
      <c r="P12" s="1">
        <f t="shared" si="11"/>
        <v>2.7999053542989916E-2</v>
      </c>
      <c r="R12" s="1">
        <f t="shared" si="7"/>
        <v>1.6631326195546754E-5</v>
      </c>
      <c r="V12" s="54">
        <f t="shared" si="2"/>
        <v>1764</v>
      </c>
      <c r="W12" s="2">
        <f t="shared" si="12"/>
        <v>2.2688598979013047E-5</v>
      </c>
      <c r="Y12" s="1">
        <f t="shared" si="8"/>
        <v>10.166666666666666</v>
      </c>
      <c r="Z12" s="1">
        <f t="shared" si="3"/>
        <v>1.4946679636153126E-3</v>
      </c>
      <c r="AA12" s="1">
        <f t="shared" si="4"/>
        <v>1167.2720699402832</v>
      </c>
      <c r="AB12" s="129"/>
      <c r="AD12" s="1">
        <f t="shared" si="9"/>
        <v>0</v>
      </c>
      <c r="AE12" s="1">
        <f t="shared" si="5"/>
        <v>0</v>
      </c>
      <c r="AF12" s="129"/>
      <c r="AG12" s="3">
        <f t="shared" si="10"/>
        <v>355445.84661681938</v>
      </c>
      <c r="AH12" s="1">
        <f t="shared" si="6"/>
        <v>1.015559561762341</v>
      </c>
    </row>
    <row r="13" spans="1:35" x14ac:dyDescent="0.3">
      <c r="A13" s="2">
        <v>44105</v>
      </c>
      <c r="B13" s="3">
        <v>1015.5161773870968</v>
      </c>
      <c r="C13" s="3">
        <v>993.00254838709679</v>
      </c>
      <c r="D13" s="3">
        <v>22.513629000000002</v>
      </c>
      <c r="E13" s="3">
        <v>9999.4838709677424</v>
      </c>
      <c r="F13" s="3">
        <v>0</v>
      </c>
      <c r="G13" s="3">
        <v>30783.079000000002</v>
      </c>
      <c r="H13" s="10">
        <v>4.120735635E-3</v>
      </c>
      <c r="I13" s="3">
        <v>309984</v>
      </c>
      <c r="J13" s="3">
        <v>697.92249900000002</v>
      </c>
      <c r="K13" s="3">
        <v>2.2169640918894196</v>
      </c>
      <c r="L13" s="3">
        <v>63.337957947611415</v>
      </c>
      <c r="N13" s="1">
        <f t="shared" si="0"/>
        <v>335</v>
      </c>
      <c r="O13" s="1">
        <f t="shared" si="1"/>
        <v>2.2672277162398214E-2</v>
      </c>
      <c r="P13" s="1">
        <f t="shared" si="11"/>
        <v>9.0326835647534156E-3</v>
      </c>
      <c r="R13" s="1">
        <f t="shared" si="7"/>
        <v>1.7041021866731111E-4</v>
      </c>
      <c r="V13" s="54">
        <f t="shared" si="2"/>
        <v>1734</v>
      </c>
      <c r="W13" s="2">
        <f t="shared" si="12"/>
        <v>2.2673166307674867E-5</v>
      </c>
      <c r="Y13" s="1">
        <f t="shared" si="8"/>
        <v>11.166666666666666</v>
      </c>
      <c r="Z13" s="1">
        <f t="shared" si="3"/>
        <v>1.5835225316311399E-3</v>
      </c>
      <c r="AA13" s="1">
        <f t="shared" si="4"/>
        <v>1219.7151684336177</v>
      </c>
      <c r="AB13" s="129"/>
      <c r="AD13" s="1">
        <f t="shared" si="9"/>
        <v>0</v>
      </c>
      <c r="AE13" s="1">
        <f t="shared" si="5"/>
        <v>0</v>
      </c>
      <c r="AF13" s="129"/>
      <c r="AG13" s="3">
        <f t="shared" si="10"/>
        <v>386228.92561681941</v>
      </c>
      <c r="AH13" s="1">
        <f t="shared" si="6"/>
        <v>1.1035112160480554</v>
      </c>
    </row>
    <row r="14" spans="1:35" x14ac:dyDescent="0.3">
      <c r="A14" s="2">
        <v>44136</v>
      </c>
      <c r="B14" s="3">
        <v>1005.5180945</v>
      </c>
      <c r="C14" s="3">
        <v>986.56923333333339</v>
      </c>
      <c r="D14" s="3">
        <v>18.948861166666667</v>
      </c>
      <c r="E14" s="3">
        <v>10940.466666666667</v>
      </c>
      <c r="F14" s="3">
        <v>0</v>
      </c>
      <c r="G14" s="3">
        <v>29597.077000000001</v>
      </c>
      <c r="H14" s="10">
        <v>3.9619730679999994E-3</v>
      </c>
      <c r="I14" s="3">
        <v>328214</v>
      </c>
      <c r="J14" s="3">
        <v>568.46583499999997</v>
      </c>
      <c r="K14" s="3">
        <v>1.884487337454539</v>
      </c>
      <c r="L14" s="3">
        <v>69.750145164672844</v>
      </c>
      <c r="N14" s="1">
        <f t="shared" si="0"/>
        <v>366</v>
      </c>
      <c r="O14" s="1">
        <f t="shared" si="1"/>
        <v>1.9206823531931885E-2</v>
      </c>
      <c r="P14" s="1">
        <f t="shared" si="11"/>
        <v>2.2151106141690146E-2</v>
      </c>
      <c r="R14" s="1">
        <f t="shared" si="7"/>
        <v>-1.1178882678923641E-4</v>
      </c>
      <c r="V14" s="54">
        <f t="shared" si="2"/>
        <v>1703</v>
      </c>
      <c r="W14" s="2">
        <f t="shared" si="12"/>
        <v>2.2657241254304877E-5</v>
      </c>
      <c r="Y14" s="1">
        <f t="shared" si="8"/>
        <v>12.2</v>
      </c>
      <c r="Z14" s="1">
        <f t="shared" si="3"/>
        <v>1.6161642962231003E-3</v>
      </c>
      <c r="AA14" s="1">
        <f t="shared" si="4"/>
        <v>1276.3828685962544</v>
      </c>
      <c r="AB14" s="129"/>
      <c r="AD14" s="1">
        <f t="shared" si="9"/>
        <v>0</v>
      </c>
      <c r="AE14" s="1">
        <f t="shared" si="5"/>
        <v>0</v>
      </c>
      <c r="AF14" s="129"/>
      <c r="AG14" s="3">
        <f t="shared" si="10"/>
        <v>415826.0026168194</v>
      </c>
      <c r="AH14" s="1">
        <f t="shared" si="6"/>
        <v>1.1880742931909125</v>
      </c>
    </row>
    <row r="15" spans="1:35" x14ac:dyDescent="0.3">
      <c r="A15" s="2">
        <v>44166</v>
      </c>
      <c r="B15" s="3">
        <v>948.82677532258072</v>
      </c>
      <c r="C15" s="3">
        <v>924.44203225806461</v>
      </c>
      <c r="D15" s="3">
        <v>24.38474306451613</v>
      </c>
      <c r="E15" s="3">
        <v>7149.4193548387093</v>
      </c>
      <c r="F15" s="3">
        <v>0</v>
      </c>
      <c r="G15" s="3">
        <v>28657.703000000001</v>
      </c>
      <c r="H15" s="10">
        <v>3.8362250259999999E-3</v>
      </c>
      <c r="I15" s="3">
        <v>221632</v>
      </c>
      <c r="J15" s="3">
        <v>755.92703500000005</v>
      </c>
      <c r="K15" s="3">
        <v>2.5699889272439473</v>
      </c>
      <c r="L15" s="3">
        <v>48.643848168850091</v>
      </c>
      <c r="N15" s="1">
        <f t="shared" si="0"/>
        <v>396</v>
      </c>
      <c r="O15" s="1">
        <f t="shared" si="1"/>
        <v>2.637779570121164E-2</v>
      </c>
      <c r="P15" s="1">
        <f t="shared" si="11"/>
        <v>8.9506946713038535E-2</v>
      </c>
      <c r="R15" s="1">
        <f t="shared" si="7"/>
        <v>2.3903240564265849E-4</v>
      </c>
      <c r="V15" s="54">
        <f t="shared" si="2"/>
        <v>1673</v>
      </c>
      <c r="W15" s="2">
        <f t="shared" si="12"/>
        <v>2.264185119775393E-5</v>
      </c>
      <c r="Y15" s="1">
        <f t="shared" si="8"/>
        <v>13.2</v>
      </c>
      <c r="Z15" s="1">
        <f t="shared" si="3"/>
        <v>1.6840232833845975E-3</v>
      </c>
      <c r="AA15" s="1">
        <f t="shared" si="4"/>
        <v>1333.7280876045547</v>
      </c>
      <c r="AB15" s="129"/>
      <c r="AD15" s="1">
        <f t="shared" si="9"/>
        <v>0</v>
      </c>
      <c r="AE15" s="1">
        <f t="shared" si="5"/>
        <v>0</v>
      </c>
      <c r="AF15" s="129"/>
      <c r="AG15" s="3">
        <f t="shared" si="10"/>
        <v>444483.70561681938</v>
      </c>
      <c r="AH15" s="1">
        <f t="shared" si="6"/>
        <v>1.269953444619484</v>
      </c>
    </row>
    <row r="16" spans="1:35" x14ac:dyDescent="0.3">
      <c r="A16" s="2">
        <v>44197</v>
      </c>
      <c r="B16" s="3">
        <v>1044.8742336774192</v>
      </c>
      <c r="C16" s="3">
        <v>1011.4906129032257</v>
      </c>
      <c r="D16" s="3">
        <v>33.383620774193545</v>
      </c>
      <c r="E16" s="3">
        <v>7554.2258064516127</v>
      </c>
      <c r="F16" s="3">
        <v>0</v>
      </c>
      <c r="G16" s="3">
        <v>31356.208999999999</v>
      </c>
      <c r="H16" s="10">
        <v>4.1974569189999998E-3</v>
      </c>
      <c r="I16" s="3">
        <v>234181</v>
      </c>
      <c r="J16" s="3">
        <v>1034.8922439999999</v>
      </c>
      <c r="K16" s="3">
        <v>3.1949893774966953</v>
      </c>
      <c r="L16" s="3">
        <v>46.974800231749953</v>
      </c>
      <c r="N16" s="1">
        <f t="shared" si="0"/>
        <v>427</v>
      </c>
      <c r="O16" s="1">
        <f t="shared" si="1"/>
        <v>3.3004380217009015E-2</v>
      </c>
      <c r="P16" s="1">
        <f t="shared" si="11"/>
        <v>-0.10083912430618129</v>
      </c>
      <c r="R16" s="1">
        <f t="shared" si="7"/>
        <v>2.1376079083217339E-4</v>
      </c>
      <c r="V16" s="54">
        <f t="shared" si="2"/>
        <v>1642</v>
      </c>
      <c r="W16" s="2">
        <f t="shared" si="12"/>
        <v>2.2625970088467544E-5</v>
      </c>
      <c r="Y16" s="1">
        <f t="shared" si="8"/>
        <v>14.233333333333333</v>
      </c>
      <c r="Z16" s="1">
        <f t="shared" si="3"/>
        <v>1.6610115249997485E-3</v>
      </c>
      <c r="AA16" s="1">
        <f t="shared" si="4"/>
        <v>1395.692803074907</v>
      </c>
      <c r="AB16" s="129"/>
      <c r="AD16" s="1">
        <f t="shared" si="9"/>
        <v>0</v>
      </c>
      <c r="AE16" s="1">
        <f t="shared" si="5"/>
        <v>0</v>
      </c>
      <c r="AF16" s="129"/>
      <c r="AG16" s="3">
        <f t="shared" si="10"/>
        <v>475839.91461681935</v>
      </c>
      <c r="AH16" s="1">
        <f t="shared" si="6"/>
        <v>1.3595426131909123</v>
      </c>
    </row>
    <row r="17" spans="1:40" x14ac:dyDescent="0.3">
      <c r="A17" s="2">
        <v>44228</v>
      </c>
      <c r="B17" s="3">
        <v>1002.8618258214285</v>
      </c>
      <c r="C17" s="3">
        <v>991.25400000000002</v>
      </c>
      <c r="D17" s="3">
        <v>11.607825821428571</v>
      </c>
      <c r="E17" s="3">
        <v>8410.8571428571431</v>
      </c>
      <c r="F17" s="3">
        <v>0</v>
      </c>
      <c r="G17" s="3">
        <v>27755.112000000001</v>
      </c>
      <c r="H17" s="10">
        <v>3.7154008899999997E-3</v>
      </c>
      <c r="I17" s="3">
        <v>235504</v>
      </c>
      <c r="J17" s="3">
        <v>325.01912299999998</v>
      </c>
      <c r="K17" s="3">
        <v>1.1574701043108089</v>
      </c>
      <c r="L17" s="3">
        <v>53.369377835693825</v>
      </c>
      <c r="N17" s="1">
        <f t="shared" si="0"/>
        <v>458</v>
      </c>
      <c r="O17" s="1">
        <f t="shared" si="1"/>
        <v>1.1710243612059645E-2</v>
      </c>
      <c r="P17" s="1">
        <f t="shared" si="11"/>
        <v>-0.19702213866944415</v>
      </c>
      <c r="R17" s="1">
        <f t="shared" si="7"/>
        <v>-6.8690763241772165E-4</v>
      </c>
      <c r="V17" s="54">
        <f t="shared" si="2"/>
        <v>1611</v>
      </c>
      <c r="W17" s="2">
        <f t="shared" si="12"/>
        <v>2.2610111241747309E-5</v>
      </c>
      <c r="Y17" s="1">
        <f t="shared" si="8"/>
        <v>15.266666666666667</v>
      </c>
      <c r="Z17" s="1">
        <f t="shared" si="3"/>
        <v>1.7055186170030817E-3</v>
      </c>
      <c r="AA17" s="1">
        <f t="shared" si="4"/>
        <v>1460.5363856839253</v>
      </c>
      <c r="AB17" s="129"/>
      <c r="AD17" s="1">
        <f t="shared" si="9"/>
        <v>0</v>
      </c>
      <c r="AE17" s="1">
        <f t="shared" si="5"/>
        <v>0</v>
      </c>
      <c r="AF17" s="129"/>
      <c r="AG17" s="3">
        <f t="shared" si="10"/>
        <v>503595.02661681938</v>
      </c>
      <c r="AH17" s="1">
        <f t="shared" si="6"/>
        <v>1.4388429331909125</v>
      </c>
    </row>
    <row r="18" spans="1:40" x14ac:dyDescent="0.3">
      <c r="A18" s="2">
        <v>44256</v>
      </c>
      <c r="B18" s="3">
        <v>932.39277880645159</v>
      </c>
      <c r="C18" s="3">
        <v>925.44741935483864</v>
      </c>
      <c r="D18" s="3">
        <v>6.9453594516129034</v>
      </c>
      <c r="E18" s="3">
        <v>6668.1935483870966</v>
      </c>
      <c r="F18" s="3">
        <v>0</v>
      </c>
      <c r="G18" s="3">
        <v>28688.87</v>
      </c>
      <c r="H18" s="10">
        <v>3.840397155E-3</v>
      </c>
      <c r="I18" s="3">
        <v>206714</v>
      </c>
      <c r="J18" s="3">
        <v>215.30614299999999</v>
      </c>
      <c r="K18" s="3">
        <v>0.74489631510269749</v>
      </c>
      <c r="L18" s="3">
        <v>45.320353056777769</v>
      </c>
      <c r="N18" s="1">
        <f t="shared" si="0"/>
        <v>486</v>
      </c>
      <c r="O18" s="1">
        <f t="shared" si="1"/>
        <v>7.5048666259772525E-3</v>
      </c>
      <c r="P18" s="1">
        <f t="shared" si="11"/>
        <v>-9.6640149969517891E-2</v>
      </c>
      <c r="R18" s="1">
        <f t="shared" si="7"/>
        <v>-1.501920352172283E-4</v>
      </c>
      <c r="V18" s="54">
        <f t="shared" si="2"/>
        <v>1583</v>
      </c>
      <c r="W18" s="2">
        <f t="shared" si="12"/>
        <v>2.2595806218365871E-5</v>
      </c>
      <c r="Y18" s="1">
        <f t="shared" si="8"/>
        <v>16.2</v>
      </c>
      <c r="Z18" s="1">
        <f t="shared" si="3"/>
        <v>1.7790802167233575E-3</v>
      </c>
      <c r="AA18" s="1">
        <f t="shared" si="4"/>
        <v>1521.690360637411</v>
      </c>
      <c r="AB18" s="129"/>
      <c r="AD18" s="1">
        <f t="shared" si="9"/>
        <v>0</v>
      </c>
      <c r="AE18" s="1">
        <f t="shared" si="5"/>
        <v>0</v>
      </c>
      <c r="AF18" s="129"/>
      <c r="AG18" s="3">
        <f t="shared" si="10"/>
        <v>532283.89661681943</v>
      </c>
      <c r="AH18" s="1">
        <f t="shared" si="6"/>
        <v>1.5208111331909127</v>
      </c>
    </row>
    <row r="19" spans="1:40" s="55" customFormat="1" x14ac:dyDescent="0.3">
      <c r="A19" s="59">
        <v>44287</v>
      </c>
      <c r="B19" s="58">
        <v>34.420633333333328</v>
      </c>
      <c r="C19" s="58">
        <v>34.420633333333328</v>
      </c>
      <c r="D19" s="58">
        <v>0</v>
      </c>
      <c r="E19" s="58">
        <v>237.53333333333333</v>
      </c>
      <c r="F19" s="58">
        <v>0</v>
      </c>
      <c r="G19" s="58">
        <v>1032.6189999999999</v>
      </c>
      <c r="H19" s="60">
        <v>1.38164523E-4</v>
      </c>
      <c r="I19" s="58">
        <v>7126</v>
      </c>
      <c r="J19" s="58">
        <v>0</v>
      </c>
      <c r="K19" s="58">
        <v>0</v>
      </c>
      <c r="L19" s="58">
        <v>43.405278035751813</v>
      </c>
      <c r="N19" s="55">
        <f t="shared" si="0"/>
        <v>517</v>
      </c>
      <c r="O19" s="55">
        <f t="shared" si="1"/>
        <v>0</v>
      </c>
      <c r="P19" s="55">
        <f t="shared" si="11"/>
        <v>0.20714042018318882</v>
      </c>
      <c r="R19" s="55">
        <f t="shared" si="7"/>
        <v>-2.4209247180571782E-4</v>
      </c>
      <c r="V19" s="57">
        <f t="shared" si="2"/>
        <v>1552</v>
      </c>
      <c r="W19" s="59">
        <f t="shared" si="12"/>
        <v>2.2579989613204776E-5</v>
      </c>
      <c r="Y19" s="1">
        <f t="shared" si="8"/>
        <v>17.233333333333334</v>
      </c>
      <c r="Z19" s="55">
        <f t="shared" si="3"/>
        <v>3.935505869505653E-3</v>
      </c>
      <c r="AA19" s="55">
        <f t="shared" si="4"/>
        <v>1592.3877622346326</v>
      </c>
      <c r="AB19" s="129"/>
      <c r="AC19" s="1"/>
      <c r="AD19" s="1">
        <f t="shared" si="9"/>
        <v>0</v>
      </c>
      <c r="AE19" s="1">
        <f t="shared" si="5"/>
        <v>0</v>
      </c>
      <c r="AF19" s="129"/>
      <c r="AG19" s="3">
        <f t="shared" si="10"/>
        <v>533316.51561681938</v>
      </c>
      <c r="AH19" s="1">
        <f t="shared" si="6"/>
        <v>1.5237614731909126</v>
      </c>
    </row>
    <row r="20" spans="1:40" x14ac:dyDescent="0.3">
      <c r="A20" s="2">
        <v>44317</v>
      </c>
      <c r="B20" s="3">
        <v>968.5022616451613</v>
      </c>
      <c r="C20" s="3">
        <v>938.47374193548387</v>
      </c>
      <c r="D20" s="3">
        <v>30.028519709677418</v>
      </c>
      <c r="E20" s="3">
        <v>8778.1612903225814</v>
      </c>
      <c r="F20" s="3">
        <v>0</v>
      </c>
      <c r="G20" s="3">
        <v>29092.686000000002</v>
      </c>
      <c r="H20" s="10">
        <v>3.89260422E-3</v>
      </c>
      <c r="I20" s="3">
        <v>272123</v>
      </c>
      <c r="J20" s="3">
        <v>930.88411099999996</v>
      </c>
      <c r="K20" s="3">
        <v>3.1005110570076533</v>
      </c>
      <c r="L20" s="3">
        <v>58.832630490013869</v>
      </c>
      <c r="N20" s="1">
        <f t="shared" si="0"/>
        <v>547</v>
      </c>
      <c r="O20" s="1">
        <f t="shared" si="1"/>
        <v>3.1997186887453427E-2</v>
      </c>
      <c r="P20" s="1">
        <f t="shared" si="11"/>
        <v>0.56854556953300373</v>
      </c>
      <c r="R20" s="1">
        <f t="shared" si="7"/>
        <v>1.0665728962484476E-3</v>
      </c>
      <c r="V20" s="54">
        <f t="shared" si="2"/>
        <v>1522</v>
      </c>
      <c r="W20" s="2">
        <f t="shared" si="12"/>
        <v>2.2564704289550287E-5</v>
      </c>
      <c r="Y20" s="1">
        <f t="shared" si="8"/>
        <v>18.233333333333334</v>
      </c>
      <c r="Z20" s="1">
        <f t="shared" si="3"/>
        <v>1.8412000153513962E-3</v>
      </c>
      <c r="AA20" s="1">
        <f t="shared" si="4"/>
        <v>1663.930421743931</v>
      </c>
      <c r="AB20" s="129"/>
      <c r="AD20" s="1">
        <f t="shared" si="9"/>
        <v>0</v>
      </c>
      <c r="AE20" s="1">
        <f t="shared" si="5"/>
        <v>0</v>
      </c>
      <c r="AF20" s="129"/>
      <c r="AG20" s="3">
        <f t="shared" si="10"/>
        <v>562409.20161681937</v>
      </c>
      <c r="AH20" s="1">
        <f t="shared" si="6"/>
        <v>1.6068834331909125</v>
      </c>
    </row>
    <row r="21" spans="1:40" x14ac:dyDescent="0.3">
      <c r="A21" s="2">
        <v>44348</v>
      </c>
      <c r="B21" s="3">
        <v>1032.7778511000001</v>
      </c>
      <c r="C21" s="3">
        <v>971.19399999999996</v>
      </c>
      <c r="D21" s="3">
        <v>61.583851099999997</v>
      </c>
      <c r="E21" s="3">
        <v>9532.6333333333332</v>
      </c>
      <c r="F21" s="3">
        <v>0</v>
      </c>
      <c r="G21" s="3">
        <v>29135.82</v>
      </c>
      <c r="H21" s="10">
        <v>3.8983755589999999E-3</v>
      </c>
      <c r="I21" s="3">
        <v>285979</v>
      </c>
      <c r="J21" s="3">
        <v>1847.515533</v>
      </c>
      <c r="K21" s="3">
        <v>5.962932980641261</v>
      </c>
      <c r="L21" s="3">
        <v>61.736745840686822</v>
      </c>
      <c r="N21" s="1">
        <f t="shared" si="0"/>
        <v>578</v>
      </c>
      <c r="O21" s="1">
        <f t="shared" si="1"/>
        <v>6.3410452597524286E-2</v>
      </c>
      <c r="P21" s="1">
        <f t="shared" si="11"/>
        <v>0.68307324359125332</v>
      </c>
      <c r="R21" s="1">
        <f t="shared" si="7"/>
        <v>1.0133311519377696E-3</v>
      </c>
      <c r="V21" s="54">
        <f t="shared" si="2"/>
        <v>1491</v>
      </c>
      <c r="W21" s="2">
        <f t="shared" si="12"/>
        <v>2.2548931180662036E-5</v>
      </c>
      <c r="Y21" s="1">
        <f t="shared" si="8"/>
        <v>19.266666666666666</v>
      </c>
      <c r="Z21" s="1">
        <f t="shared" si="3"/>
        <v>1.8564956793292429E-3</v>
      </c>
      <c r="AA21" s="1">
        <f t="shared" si="4"/>
        <v>1741.2362654942915</v>
      </c>
      <c r="AB21" s="129"/>
      <c r="AD21" s="1">
        <f t="shared" si="9"/>
        <v>0</v>
      </c>
      <c r="AE21" s="1">
        <f t="shared" si="5"/>
        <v>0</v>
      </c>
      <c r="AF21" s="129"/>
      <c r="AG21" s="3">
        <f t="shared" si="10"/>
        <v>591545.02161681931</v>
      </c>
      <c r="AH21" s="1">
        <f t="shared" si="6"/>
        <v>1.6901286331909124</v>
      </c>
    </row>
    <row r="22" spans="1:40" x14ac:dyDescent="0.3">
      <c r="A22" s="2">
        <v>44378</v>
      </c>
      <c r="B22" s="3">
        <v>1028.7847215483871</v>
      </c>
      <c r="C22" s="3">
        <v>931.68806451612909</v>
      </c>
      <c r="D22" s="3">
        <v>97.096657032258065</v>
      </c>
      <c r="E22" s="3">
        <v>9465.1612903225814</v>
      </c>
      <c r="F22" s="3">
        <v>0</v>
      </c>
      <c r="G22" s="3">
        <v>28882.33</v>
      </c>
      <c r="H22" s="10">
        <v>3.8644585719999998E-3</v>
      </c>
      <c r="I22" s="3">
        <v>293420</v>
      </c>
      <c r="J22" s="3">
        <v>3009.9963680000001</v>
      </c>
      <c r="K22" s="3">
        <v>9.4379956271241436</v>
      </c>
      <c r="L22" s="3">
        <v>63.899038477851335</v>
      </c>
      <c r="N22" s="1">
        <f t="shared" si="0"/>
        <v>608</v>
      </c>
      <c r="O22" s="1">
        <f t="shared" si="1"/>
        <v>0.10421584297388749</v>
      </c>
      <c r="P22" s="1">
        <f t="shared" si="11"/>
        <v>0.22629755739976418</v>
      </c>
      <c r="R22" s="1">
        <f t="shared" si="7"/>
        <v>1.3601796792121067E-3</v>
      </c>
      <c r="V22" s="54">
        <f t="shared" si="2"/>
        <v>1461</v>
      </c>
      <c r="W22" s="2">
        <f t="shared" si="12"/>
        <v>2.2533687863355718E-5</v>
      </c>
      <c r="Y22" s="1">
        <f t="shared" si="8"/>
        <v>20.266666666666666</v>
      </c>
      <c r="Z22" s="1">
        <f t="shared" si="3"/>
        <v>1.9230412295032212E-3</v>
      </c>
      <c r="AA22" s="1">
        <f t="shared" si="4"/>
        <v>1819.4663776704142</v>
      </c>
      <c r="AB22" s="129"/>
      <c r="AD22" s="1">
        <f t="shared" si="9"/>
        <v>0</v>
      </c>
      <c r="AE22" s="1">
        <f t="shared" si="5"/>
        <v>0</v>
      </c>
      <c r="AF22" s="129"/>
      <c r="AG22" s="3">
        <f t="shared" si="10"/>
        <v>620427.35161681927</v>
      </c>
      <c r="AH22" s="1">
        <f t="shared" si="6"/>
        <v>1.7726495760480552</v>
      </c>
    </row>
    <row r="23" spans="1:40" x14ac:dyDescent="0.3">
      <c r="A23" s="2">
        <v>44409</v>
      </c>
      <c r="B23" s="3">
        <v>1007.2495448064516</v>
      </c>
      <c r="C23" s="3">
        <v>927.38754838709679</v>
      </c>
      <c r="D23" s="3">
        <v>79.861996419354838</v>
      </c>
      <c r="E23" s="3">
        <v>9499.7419354838712</v>
      </c>
      <c r="F23" s="3">
        <v>0</v>
      </c>
      <c r="G23" s="3">
        <v>28749.013999999999</v>
      </c>
      <c r="H23" s="10">
        <v>3.8466208780000002E-3</v>
      </c>
      <c r="I23" s="3">
        <v>294492</v>
      </c>
      <c r="J23" s="3">
        <v>2475.7218889999999</v>
      </c>
      <c r="K23" s="3">
        <v>7.9287200308142847</v>
      </c>
      <c r="L23" s="3">
        <v>64.429889025063616</v>
      </c>
      <c r="N23" s="1">
        <f t="shared" si="0"/>
        <v>639</v>
      </c>
      <c r="O23" s="1">
        <f t="shared" si="1"/>
        <v>8.6115019075088978E-2</v>
      </c>
      <c r="P23" s="1">
        <f t="shared" si="11"/>
        <v>0.10190808939346915</v>
      </c>
      <c r="R23" s="1">
        <f t="shared" si="7"/>
        <v>-5.8389754512253261E-4</v>
      </c>
      <c r="V23" s="54">
        <f t="shared" si="2"/>
        <v>1430</v>
      </c>
      <c r="W23" s="2">
        <f t="shared" si="12"/>
        <v>2.2517958071562072E-5</v>
      </c>
      <c r="Y23" s="1">
        <f t="shared" si="8"/>
        <v>21.3</v>
      </c>
      <c r="Z23" s="1">
        <f t="shared" si="3"/>
        <v>1.9679648634557808E-3</v>
      </c>
      <c r="AA23" s="1">
        <f t="shared" si="4"/>
        <v>1903.998387941496</v>
      </c>
      <c r="AB23" s="129"/>
      <c r="AD23" s="1">
        <f t="shared" si="9"/>
        <v>0</v>
      </c>
      <c r="AE23" s="1">
        <f t="shared" si="5"/>
        <v>0</v>
      </c>
      <c r="AF23" s="129"/>
      <c r="AG23" s="3">
        <f t="shared" si="10"/>
        <v>649176.36561681924</v>
      </c>
      <c r="AH23" s="1">
        <f t="shared" si="6"/>
        <v>1.854789616048055</v>
      </c>
    </row>
    <row r="24" spans="1:40" x14ac:dyDescent="0.3">
      <c r="A24" s="2">
        <v>44440</v>
      </c>
      <c r="B24" s="3">
        <v>1010.3888233</v>
      </c>
      <c r="C24" s="3">
        <v>906.90106666666668</v>
      </c>
      <c r="D24" s="3">
        <v>103.48775663333332</v>
      </c>
      <c r="E24" s="3">
        <v>9467.6666666666661</v>
      </c>
      <c r="F24" s="3">
        <v>0</v>
      </c>
      <c r="G24" s="3">
        <v>27207.031999999999</v>
      </c>
      <c r="H24" s="10">
        <v>3.6403035359999997E-3</v>
      </c>
      <c r="I24" s="3">
        <v>284030</v>
      </c>
      <c r="J24" s="3">
        <v>3104.6326989999998</v>
      </c>
      <c r="K24" s="3">
        <v>10.242369496461286</v>
      </c>
      <c r="L24" s="3">
        <v>65.662873260118928</v>
      </c>
      <c r="N24" s="1">
        <f t="shared" si="0"/>
        <v>670</v>
      </c>
      <c r="O24" s="1">
        <f t="shared" si="1"/>
        <v>0.11411140689656996</v>
      </c>
      <c r="P24" s="1">
        <f t="shared" si="11"/>
        <v>3.7564758856560045</v>
      </c>
      <c r="R24" s="1">
        <f t="shared" si="7"/>
        <v>9.0310928456390253E-4</v>
      </c>
      <c r="V24" s="54">
        <f t="shared" si="2"/>
        <v>1399</v>
      </c>
      <c r="W24" s="2">
        <f t="shared" si="12"/>
        <v>2.2502250225022501E-5</v>
      </c>
      <c r="Y24" s="1">
        <f t="shared" si="8"/>
        <v>22.333333333333332</v>
      </c>
      <c r="Z24" s="1">
        <f t="shared" si="3"/>
        <v>2.0275396237463229E-3</v>
      </c>
      <c r="AA24" s="1">
        <f t="shared" si="4"/>
        <v>1992.4577369357153</v>
      </c>
      <c r="AB24" s="129"/>
      <c r="AD24" s="1">
        <f t="shared" si="9"/>
        <v>0</v>
      </c>
      <c r="AE24" s="1">
        <f t="shared" si="5"/>
        <v>0</v>
      </c>
      <c r="AF24" s="129"/>
      <c r="AG24" s="3">
        <f t="shared" si="10"/>
        <v>676383.39761681925</v>
      </c>
      <c r="AH24" s="1">
        <f t="shared" si="6"/>
        <v>1.9325239931909122</v>
      </c>
    </row>
    <row r="25" spans="1:40" x14ac:dyDescent="0.3">
      <c r="A25" s="2">
        <v>44470</v>
      </c>
      <c r="B25" s="3">
        <v>1198.0167823548386</v>
      </c>
      <c r="C25" s="3">
        <v>838.58616129032248</v>
      </c>
      <c r="D25" s="3">
        <v>359.43062106451612</v>
      </c>
      <c r="E25" s="3">
        <v>10185.774193548386</v>
      </c>
      <c r="F25" s="3">
        <v>0</v>
      </c>
      <c r="G25" s="3">
        <v>25996.170999999998</v>
      </c>
      <c r="H25" s="10">
        <v>3.4782902180000002E-3</v>
      </c>
      <c r="I25" s="3">
        <v>315759</v>
      </c>
      <c r="J25" s="3">
        <v>11142.349253</v>
      </c>
      <c r="K25" s="3">
        <v>30.002135726180253</v>
      </c>
      <c r="L25" s="3">
        <v>76.398211036540729</v>
      </c>
      <c r="N25" s="1">
        <f t="shared" si="0"/>
        <v>700</v>
      </c>
      <c r="O25" s="1">
        <f t="shared" si="1"/>
        <v>0.4286150161498784</v>
      </c>
      <c r="P25" s="1">
        <f t="shared" si="11"/>
        <v>5.5293424810929785</v>
      </c>
      <c r="R25" s="1">
        <f t="shared" si="7"/>
        <v>1.0483453641776948E-2</v>
      </c>
      <c r="V25" s="54">
        <f t="shared" si="2"/>
        <v>1369</v>
      </c>
      <c r="W25" s="2">
        <f t="shared" si="12"/>
        <v>2.2487069934787497E-5</v>
      </c>
      <c r="Y25" s="1">
        <f t="shared" si="8"/>
        <v>23.333333333333332</v>
      </c>
      <c r="Z25" s="1">
        <f t="shared" si="3"/>
        <v>2.1291774783048275E-3</v>
      </c>
      <c r="AA25" s="1">
        <f t="shared" si="4"/>
        <v>2081.9747056294582</v>
      </c>
      <c r="AB25" s="129"/>
      <c r="AD25" s="1">
        <f t="shared" si="9"/>
        <v>0</v>
      </c>
      <c r="AE25" s="1">
        <f t="shared" si="5"/>
        <v>0</v>
      </c>
      <c r="AF25" s="129"/>
      <c r="AG25" s="3">
        <f t="shared" si="10"/>
        <v>702379.56861681922</v>
      </c>
      <c r="AH25" s="1">
        <f t="shared" si="6"/>
        <v>2.0067987674766266</v>
      </c>
    </row>
    <row r="26" spans="1:40" x14ac:dyDescent="0.3">
      <c r="A26" s="2">
        <v>44501</v>
      </c>
      <c r="B26" s="3">
        <v>1371.2028646666668</v>
      </c>
      <c r="C26" s="3">
        <v>859.1955333333334</v>
      </c>
      <c r="D26" s="3">
        <v>512.00733133333335</v>
      </c>
      <c r="E26" s="3">
        <v>7302.6333333333332</v>
      </c>
      <c r="F26" s="3">
        <v>0</v>
      </c>
      <c r="G26" s="3">
        <v>25775.866000000002</v>
      </c>
      <c r="H26" s="10">
        <v>3.4488133849999996E-3</v>
      </c>
      <c r="I26" s="3">
        <v>219079</v>
      </c>
      <c r="J26" s="3">
        <v>15360.219940000001</v>
      </c>
      <c r="K26" s="3">
        <v>37.340013248717945</v>
      </c>
      <c r="L26" s="3">
        <v>53.459429615284307</v>
      </c>
      <c r="N26" s="1">
        <f t="shared" si="0"/>
        <v>731</v>
      </c>
      <c r="O26" s="1">
        <f t="shared" si="1"/>
        <v>0.59591479642235878</v>
      </c>
      <c r="P26" s="1">
        <f t="shared" si="11"/>
        <v>2.0459294714167009</v>
      </c>
      <c r="R26" s="1">
        <f t="shared" si="7"/>
        <v>5.3967671055638834E-3</v>
      </c>
      <c r="V26" s="54">
        <f t="shared" si="2"/>
        <v>1338</v>
      </c>
      <c r="W26" s="2">
        <f t="shared" si="12"/>
        <v>2.2471405136963215E-5</v>
      </c>
      <c r="Y26" s="1">
        <f t="shared" si="8"/>
        <v>24.366666666666667</v>
      </c>
      <c r="Z26" s="1">
        <f t="shared" si="3"/>
        <v>2.1603623132549592E-3</v>
      </c>
      <c r="AA26" s="1">
        <f t="shared" si="4"/>
        <v>2178.7027954476066</v>
      </c>
      <c r="AB26" s="129"/>
      <c r="AD26" s="1">
        <f t="shared" si="9"/>
        <v>0</v>
      </c>
      <c r="AE26" s="1">
        <f t="shared" si="5"/>
        <v>0</v>
      </c>
      <c r="AF26" s="129"/>
      <c r="AG26" s="3">
        <f t="shared" si="10"/>
        <v>728155.43461681926</v>
      </c>
      <c r="AH26" s="1">
        <f t="shared" si="6"/>
        <v>2.0804440989051982</v>
      </c>
    </row>
    <row r="27" spans="1:40" x14ac:dyDescent="0.3">
      <c r="A27" s="2">
        <v>44531</v>
      </c>
      <c r="B27" s="3">
        <v>1370.8686818064516</v>
      </c>
      <c r="C27" s="3">
        <v>857.02935483870965</v>
      </c>
      <c r="D27" s="3">
        <v>513.83932696774195</v>
      </c>
      <c r="E27" s="3">
        <v>6563.7096774193551</v>
      </c>
      <c r="F27" s="3">
        <v>0</v>
      </c>
      <c r="G27" s="3">
        <v>26567.91</v>
      </c>
      <c r="H27" s="10">
        <v>3.5547889530000002E-3</v>
      </c>
      <c r="I27" s="3">
        <v>203475</v>
      </c>
      <c r="J27" s="3">
        <v>15929.019136000001</v>
      </c>
      <c r="K27" s="3">
        <v>37.482753365598384</v>
      </c>
      <c r="L27" s="3">
        <v>48.171536827699278</v>
      </c>
      <c r="N27" s="1">
        <f t="shared" si="0"/>
        <v>761</v>
      </c>
      <c r="O27" s="1">
        <f t="shared" si="1"/>
        <v>0.59955860795975302</v>
      </c>
      <c r="P27" s="1">
        <f t="shared" si="11"/>
        <v>-0.24824731171782846</v>
      </c>
      <c r="R27" s="1">
        <f t="shared" si="7"/>
        <v>1.2146038457980791E-4</v>
      </c>
      <c r="V27" s="54">
        <f t="shared" si="2"/>
        <v>1308</v>
      </c>
      <c r="W27" s="2">
        <f t="shared" si="12"/>
        <v>2.2456266421144819E-5</v>
      </c>
      <c r="Y27" s="1">
        <f t="shared" si="8"/>
        <v>25.366666666666667</v>
      </c>
      <c r="Z27" s="1">
        <f t="shared" si="3"/>
        <v>2.2118418419036778E-3</v>
      </c>
      <c r="AA27" s="1">
        <f t="shared" si="4"/>
        <v>2276.5873660046718</v>
      </c>
      <c r="AB27" s="129"/>
      <c r="AD27" s="1">
        <f t="shared" si="9"/>
        <v>0</v>
      </c>
      <c r="AE27" s="1">
        <f t="shared" si="5"/>
        <v>0</v>
      </c>
      <c r="AF27" s="129"/>
      <c r="AG27" s="3">
        <f t="shared" si="10"/>
        <v>754723.34461681929</v>
      </c>
      <c r="AH27" s="1">
        <f t="shared" si="6"/>
        <v>2.1563524131909122</v>
      </c>
    </row>
    <row r="28" spans="1:40" x14ac:dyDescent="0.3">
      <c r="A28" s="2">
        <v>44562</v>
      </c>
      <c r="B28" s="3">
        <v>1208.1728232258063</v>
      </c>
      <c r="C28" s="3">
        <v>766.59822580645152</v>
      </c>
      <c r="D28" s="3">
        <v>441.5745974193548</v>
      </c>
      <c r="E28" s="3">
        <v>6135.2580645161288</v>
      </c>
      <c r="F28" s="3">
        <v>0</v>
      </c>
      <c r="G28" s="3">
        <v>23764.544999999998</v>
      </c>
      <c r="H28" s="10">
        <v>3.1796984389999994E-3</v>
      </c>
      <c r="I28" s="3">
        <v>190193</v>
      </c>
      <c r="J28" s="3">
        <v>13688.812519999999</v>
      </c>
      <c r="K28" s="3">
        <v>36.54895962982814</v>
      </c>
      <c r="L28" s="3">
        <v>50.338684430945342</v>
      </c>
      <c r="N28" s="1">
        <f t="shared" si="0"/>
        <v>792</v>
      </c>
      <c r="O28" s="1">
        <f t="shared" si="1"/>
        <v>0.5760182877475668</v>
      </c>
      <c r="P28" s="1">
        <f t="shared" si="11"/>
        <v>11.805725074184291</v>
      </c>
      <c r="R28" s="1">
        <f t="shared" si="7"/>
        <v>-7.5936516813503922E-4</v>
      </c>
      <c r="V28" s="54">
        <f t="shared" si="2"/>
        <v>1277</v>
      </c>
      <c r="W28" s="2">
        <f t="shared" si="12"/>
        <v>2.2440644495309906E-5</v>
      </c>
      <c r="Y28" s="1">
        <f t="shared" si="8"/>
        <v>26.4</v>
      </c>
      <c r="Z28" s="1">
        <f t="shared" si="3"/>
        <v>2.3528570569027445E-3</v>
      </c>
      <c r="AA28" s="1">
        <f t="shared" si="4"/>
        <v>2382.3571174922054</v>
      </c>
      <c r="AB28" s="129"/>
      <c r="AD28" s="1">
        <f t="shared" si="9"/>
        <v>0</v>
      </c>
      <c r="AE28" s="1">
        <f t="shared" si="5"/>
        <v>0</v>
      </c>
      <c r="AF28" s="129"/>
      <c r="AG28" s="3">
        <f t="shared" si="10"/>
        <v>778487.88961681933</v>
      </c>
      <c r="AH28" s="1">
        <f t="shared" si="6"/>
        <v>2.2242511131909124</v>
      </c>
    </row>
    <row r="29" spans="1:40" x14ac:dyDescent="0.3">
      <c r="A29" s="2">
        <v>44593</v>
      </c>
      <c r="B29" s="3">
        <v>1038.1606871785714</v>
      </c>
      <c r="C29" s="3">
        <v>411.28035714285716</v>
      </c>
      <c r="D29" s="3">
        <v>626.88033003571422</v>
      </c>
      <c r="E29" s="3">
        <v>3579.0357142857142</v>
      </c>
      <c r="F29" s="3">
        <v>0</v>
      </c>
      <c r="G29" s="3">
        <v>11515.85</v>
      </c>
      <c r="H29" s="10">
        <v>1.540821854E-3</v>
      </c>
      <c r="I29" s="3">
        <v>100213</v>
      </c>
      <c r="J29" s="3">
        <v>17552.649240999999</v>
      </c>
      <c r="K29" s="3">
        <v>60.383747697035098</v>
      </c>
      <c r="L29" s="3">
        <v>54.734972008145292</v>
      </c>
      <c r="N29" s="1">
        <f t="shared" si="0"/>
        <v>823</v>
      </c>
      <c r="O29" s="1">
        <f t="shared" si="1"/>
        <v>1.5242165572667234</v>
      </c>
      <c r="P29" s="1">
        <f t="shared" si="11"/>
        <v>21.63808477549345</v>
      </c>
      <c r="R29" s="1">
        <f t="shared" si="7"/>
        <v>3.058704095223086E-2</v>
      </c>
      <c r="V29" s="54">
        <f t="shared" si="2"/>
        <v>1246</v>
      </c>
      <c r="W29" s="2">
        <f t="shared" si="12"/>
        <v>2.2425044289462471E-5</v>
      </c>
      <c r="Y29" s="1">
        <f t="shared" si="8"/>
        <v>27.433333333333334</v>
      </c>
      <c r="Z29" s="1">
        <f t="shared" si="3"/>
        <v>2.9111446100528317E-3</v>
      </c>
      <c r="AA29" s="1">
        <f t="shared" si="4"/>
        <v>2493.0409085183883</v>
      </c>
      <c r="AB29" s="129"/>
      <c r="AD29" s="1">
        <f t="shared" si="9"/>
        <v>0</v>
      </c>
      <c r="AE29" s="1">
        <f t="shared" si="5"/>
        <v>0</v>
      </c>
      <c r="AF29" s="129"/>
      <c r="AG29" s="3">
        <f t="shared" si="10"/>
        <v>790003.73961681931</v>
      </c>
      <c r="AH29" s="1">
        <f t="shared" si="6"/>
        <v>2.257153541762341</v>
      </c>
    </row>
    <row r="30" spans="1:40" s="55" customFormat="1" x14ac:dyDescent="0.3">
      <c r="A30" s="59">
        <v>44621</v>
      </c>
      <c r="B30" s="58">
        <v>852.45947038709687</v>
      </c>
      <c r="C30" s="58">
        <v>272.28770967741934</v>
      </c>
      <c r="D30" s="58">
        <v>580.17176070967741</v>
      </c>
      <c r="E30" s="58">
        <v>3967.7096774193546</v>
      </c>
      <c r="F30" s="58">
        <v>0</v>
      </c>
      <c r="G30" s="58">
        <v>8440.9189999999999</v>
      </c>
      <c r="H30" s="60">
        <v>1.1293957889999999E-3</v>
      </c>
      <c r="I30" s="58">
        <v>122999</v>
      </c>
      <c r="J30" s="58">
        <v>17985.324582000001</v>
      </c>
      <c r="K30" s="58">
        <v>68.058574145023556</v>
      </c>
      <c r="L30" s="58">
        <v>91.653421884512809</v>
      </c>
      <c r="N30" s="55">
        <f t="shared" si="0"/>
        <v>851</v>
      </c>
      <c r="O30" s="55">
        <f t="shared" si="1"/>
        <v>2.1307306209193575</v>
      </c>
      <c r="P30" s="55">
        <f t="shared" si="11"/>
        <v>11.315018686866324</v>
      </c>
      <c r="R30" s="55">
        <f t="shared" si="7"/>
        <v>2.1661216559022645E-2</v>
      </c>
      <c r="V30" s="57">
        <f t="shared" si="2"/>
        <v>1218</v>
      </c>
      <c r="W30" s="59">
        <f t="shared" si="12"/>
        <v>2.241097241209296E-5</v>
      </c>
      <c r="Y30" s="1">
        <f t="shared" si="8"/>
        <v>28.366666666666667</v>
      </c>
      <c r="Z30" s="55">
        <f t="shared" si="3"/>
        <v>3.3166683389234245E-3</v>
      </c>
      <c r="AA30" s="55">
        <f t="shared" si="4"/>
        <v>2597.4267785124148</v>
      </c>
      <c r="AB30" s="129"/>
      <c r="AC30" s="1"/>
      <c r="AD30" s="1">
        <f t="shared" si="9"/>
        <v>0</v>
      </c>
      <c r="AE30" s="1">
        <f t="shared" si="5"/>
        <v>0</v>
      </c>
      <c r="AF30" s="129"/>
      <c r="AG30" s="3">
        <f t="shared" si="10"/>
        <v>798444.6586168193</v>
      </c>
      <c r="AH30" s="1">
        <f t="shared" si="6"/>
        <v>2.281270453190912</v>
      </c>
      <c r="AK30" s="117" t="s">
        <v>135</v>
      </c>
      <c r="AL30" s="117" t="s">
        <v>168</v>
      </c>
      <c r="AM30" s="117">
        <f>0.026*12</f>
        <v>0.312</v>
      </c>
      <c r="AN30" s="117" t="s">
        <v>146</v>
      </c>
    </row>
    <row r="31" spans="1:40" s="55" customFormat="1" x14ac:dyDescent="0.3">
      <c r="A31" s="59">
        <v>44652</v>
      </c>
      <c r="B31" s="58">
        <v>521.46583246666671</v>
      </c>
      <c r="C31" s="58">
        <v>157.65583333333333</v>
      </c>
      <c r="D31" s="58">
        <v>363.80999913333329</v>
      </c>
      <c r="E31" s="58">
        <v>3790.5</v>
      </c>
      <c r="F31" s="58">
        <v>0</v>
      </c>
      <c r="G31" s="58">
        <v>4729.6750000000002</v>
      </c>
      <c r="H31" s="60">
        <v>6.3283097599999992E-4</v>
      </c>
      <c r="I31" s="58">
        <v>113715</v>
      </c>
      <c r="J31" s="58">
        <v>10914.299974</v>
      </c>
      <c r="K31" s="58">
        <v>69.766795153657341</v>
      </c>
      <c r="L31" s="58">
        <v>151.22489536807495</v>
      </c>
      <c r="N31" s="55">
        <f t="shared" si="0"/>
        <v>882</v>
      </c>
      <c r="O31" s="55">
        <f t="shared" si="1"/>
        <v>2.3076215541236973</v>
      </c>
      <c r="P31" s="55">
        <f t="shared" si="11"/>
        <v>6.4359400749056883</v>
      </c>
      <c r="R31" s="55">
        <f t="shared" si="7"/>
        <v>5.7061591356238643E-3</v>
      </c>
      <c r="V31" s="57">
        <f t="shared" si="2"/>
        <v>1187</v>
      </c>
      <c r="W31" s="59">
        <f t="shared" si="12"/>
        <v>2.2395413419331722E-5</v>
      </c>
      <c r="Y31" s="1">
        <f t="shared" si="8"/>
        <v>29.4</v>
      </c>
      <c r="Z31" s="55">
        <f t="shared" si="3"/>
        <v>3.8636452511694049E-3</v>
      </c>
      <c r="AA31" s="55">
        <f t="shared" si="4"/>
        <v>2718.1026589871726</v>
      </c>
      <c r="AB31" s="129"/>
      <c r="AC31" s="1"/>
      <c r="AD31" s="1">
        <f t="shared" si="9"/>
        <v>0</v>
      </c>
      <c r="AE31" s="1">
        <f t="shared" si="5"/>
        <v>0</v>
      </c>
      <c r="AF31" s="129"/>
      <c r="AG31" s="3">
        <f t="shared" si="10"/>
        <v>803174.33361681935</v>
      </c>
      <c r="AH31" s="1">
        <f t="shared" si="6"/>
        <v>2.2947838103337697</v>
      </c>
      <c r="AL31" s="119" t="s">
        <v>169</v>
      </c>
      <c r="AM31" s="119" t="s">
        <v>170</v>
      </c>
    </row>
    <row r="32" spans="1:40" s="55" customFormat="1" x14ac:dyDescent="0.3">
      <c r="A32" s="59">
        <v>44682</v>
      </c>
      <c r="B32" s="58">
        <v>554.45479409677421</v>
      </c>
      <c r="C32" s="58">
        <v>155.03687096774195</v>
      </c>
      <c r="D32" s="58">
        <v>399.41792312903226</v>
      </c>
      <c r="E32" s="58">
        <v>3734.9032258064517</v>
      </c>
      <c r="F32" s="58">
        <v>0</v>
      </c>
      <c r="G32" s="58">
        <v>4806.143</v>
      </c>
      <c r="H32" s="60">
        <v>6.4306239900000005E-4</v>
      </c>
      <c r="I32" s="58">
        <v>115782</v>
      </c>
      <c r="J32" s="58">
        <v>12381.955617</v>
      </c>
      <c r="K32" s="58">
        <v>72.037960061234145</v>
      </c>
      <c r="L32" s="58">
        <v>151.52391920090599</v>
      </c>
      <c r="N32" s="55">
        <f t="shared" si="0"/>
        <v>912</v>
      </c>
      <c r="O32" s="55">
        <f t="shared" si="1"/>
        <v>2.5762769890533841</v>
      </c>
      <c r="P32" s="55">
        <f t="shared" si="11"/>
        <v>8.8215260873680776</v>
      </c>
      <c r="R32" s="55">
        <f t="shared" si="7"/>
        <v>8.9551811643228934E-3</v>
      </c>
      <c r="V32" s="57">
        <f t="shared" si="2"/>
        <v>1157</v>
      </c>
      <c r="W32" s="59">
        <f t="shared" si="12"/>
        <v>2.2380376885546754E-5</v>
      </c>
      <c r="Y32" s="1">
        <f t="shared" si="8"/>
        <v>30.4</v>
      </c>
      <c r="Z32" s="55">
        <f t="shared" si="3"/>
        <v>3.9783045241137821E-3</v>
      </c>
      <c r="AA32" s="55">
        <f t="shared" si="4"/>
        <v>2840.221339910936</v>
      </c>
      <c r="AB32" s="129"/>
      <c r="AC32" s="1"/>
      <c r="AD32" s="1">
        <f t="shared" si="9"/>
        <v>0</v>
      </c>
      <c r="AE32" s="1">
        <f t="shared" si="5"/>
        <v>0</v>
      </c>
      <c r="AF32" s="129"/>
      <c r="AG32" s="3">
        <f t="shared" si="10"/>
        <v>807980.47661681939</v>
      </c>
      <c r="AH32" s="1">
        <f t="shared" si="6"/>
        <v>2.3085156474766269</v>
      </c>
    </row>
    <row r="33" spans="1:34" x14ac:dyDescent="0.3">
      <c r="A33" s="2">
        <v>44713</v>
      </c>
      <c r="B33" s="3">
        <v>580.96099759999993</v>
      </c>
      <c r="C33" s="3">
        <v>149.05783333333332</v>
      </c>
      <c r="D33" s="3">
        <v>431.90316426666669</v>
      </c>
      <c r="E33" s="3">
        <v>3596.3666666666668</v>
      </c>
      <c r="F33" s="3">
        <v>0</v>
      </c>
      <c r="G33" s="3">
        <v>4471.7349999999997</v>
      </c>
      <c r="H33" s="10">
        <v>5.9831857500000001E-4</v>
      </c>
      <c r="I33" s="3">
        <v>107891</v>
      </c>
      <c r="J33" s="3">
        <v>12957.094928</v>
      </c>
      <c r="K33" s="3">
        <v>74.342884643013207</v>
      </c>
      <c r="L33" s="3">
        <v>151.75604363854296</v>
      </c>
      <c r="N33" s="1">
        <f t="shared" si="0"/>
        <v>943</v>
      </c>
      <c r="O33" s="1">
        <f t="shared" si="1"/>
        <v>2.8975542888833981</v>
      </c>
      <c r="P33" s="1">
        <f t="shared" si="11"/>
        <v>13.411589663024495</v>
      </c>
      <c r="R33" s="1">
        <f t="shared" si="7"/>
        <v>1.0363783865484321E-2</v>
      </c>
      <c r="V33" s="54">
        <f t="shared" si="2"/>
        <v>1126</v>
      </c>
      <c r="W33" s="2">
        <f t="shared" si="12"/>
        <v>2.2364860331447228E-5</v>
      </c>
      <c r="Y33" s="1">
        <f t="shared" si="8"/>
        <v>31.433333333333334</v>
      </c>
      <c r="Z33" s="1">
        <f t="shared" si="3"/>
        <v>4.1227592597049001E-3</v>
      </c>
      <c r="AA33" s="1">
        <f t="shared" si="4"/>
        <v>2972.1774026467042</v>
      </c>
      <c r="AB33" s="129"/>
      <c r="AD33" s="1">
        <f t="shared" si="9"/>
        <v>0</v>
      </c>
      <c r="AE33" s="1">
        <f t="shared" si="5"/>
        <v>0</v>
      </c>
      <c r="AF33" s="129"/>
      <c r="AG33" s="3">
        <f t="shared" si="10"/>
        <v>812452.21161681938</v>
      </c>
      <c r="AH33" s="1">
        <f t="shared" si="6"/>
        <v>2.3212920331909124</v>
      </c>
    </row>
    <row r="34" spans="1:34" s="55" customFormat="1" x14ac:dyDescent="0.3">
      <c r="A34" s="59">
        <v>44743</v>
      </c>
      <c r="B34" s="58">
        <v>583.07679977419355</v>
      </c>
      <c r="C34" s="58">
        <v>131.18774193548387</v>
      </c>
      <c r="D34" s="58">
        <v>451.88905783870968</v>
      </c>
      <c r="E34" s="58">
        <v>3041.3225806451615</v>
      </c>
      <c r="F34" s="58">
        <v>0</v>
      </c>
      <c r="G34" s="58">
        <v>4066.82</v>
      </c>
      <c r="H34" s="60">
        <v>5.4414091199999997E-4</v>
      </c>
      <c r="I34" s="58">
        <v>94281</v>
      </c>
      <c r="J34" s="58">
        <v>14008.560793000001</v>
      </c>
      <c r="K34" s="58">
        <v>77.500778287476265</v>
      </c>
      <c r="L34" s="58">
        <v>145.81629720518734</v>
      </c>
      <c r="N34" s="55">
        <f t="shared" si="0"/>
        <v>973</v>
      </c>
      <c r="O34" s="55">
        <f t="shared" si="1"/>
        <v>3.4445981855602166</v>
      </c>
      <c r="P34" s="55">
        <f t="shared" si="11"/>
        <v>18.092793578235263</v>
      </c>
      <c r="R34" s="55">
        <f t="shared" si="7"/>
        <v>1.823479655589395E-2</v>
      </c>
      <c r="V34" s="57">
        <f t="shared" si="2"/>
        <v>1096</v>
      </c>
      <c r="W34" s="59">
        <f t="shared" si="12"/>
        <v>2.2349864783318061E-5</v>
      </c>
      <c r="Y34" s="1">
        <f t="shared" si="8"/>
        <v>32.43333333333333</v>
      </c>
      <c r="Z34" s="55">
        <f t="shared" si="3"/>
        <v>4.3521276080898917E-3</v>
      </c>
      <c r="AA34" s="55">
        <f t="shared" si="4"/>
        <v>3105.7111316552614</v>
      </c>
      <c r="AB34" s="129"/>
      <c r="AC34" s="1"/>
      <c r="AD34" s="1">
        <f t="shared" si="9"/>
        <v>0</v>
      </c>
      <c r="AE34" s="1">
        <f t="shared" si="5"/>
        <v>0</v>
      </c>
      <c r="AF34" s="129"/>
      <c r="AG34" s="3">
        <f t="shared" si="10"/>
        <v>816519.03161681932</v>
      </c>
      <c r="AH34" s="1">
        <f t="shared" si="6"/>
        <v>2.3329115189051981</v>
      </c>
    </row>
    <row r="35" spans="1:34" x14ac:dyDescent="0.3">
      <c r="A35" s="2">
        <v>44774</v>
      </c>
      <c r="B35" s="3">
        <v>713.45334190322501</v>
      </c>
      <c r="C35" s="3">
        <v>141.793709677419</v>
      </c>
      <c r="D35" s="3">
        <v>571.65963222580604</v>
      </c>
      <c r="E35" s="3">
        <v>3244.1290322580599</v>
      </c>
      <c r="F35" s="3">
        <v>0</v>
      </c>
      <c r="G35" s="3">
        <v>4395.6049999999996</v>
      </c>
      <c r="H35" s="10">
        <v>5.88132379E-4</v>
      </c>
      <c r="I35" s="3">
        <v>100568</v>
      </c>
      <c r="J35" s="3">
        <v>17721.448598999999</v>
      </c>
      <c r="K35" s="3">
        <v>80.125720723493004</v>
      </c>
      <c r="L35" s="3">
        <v>143.9056981689665</v>
      </c>
      <c r="N35" s="1">
        <f t="shared" si="0"/>
        <v>1004</v>
      </c>
      <c r="O35" s="1">
        <f t="shared" si="1"/>
        <v>4.0316290019235197</v>
      </c>
      <c r="P35" s="1">
        <f t="shared" si="11"/>
        <v>-5.7976117195532018</v>
      </c>
      <c r="R35" s="1">
        <f t="shared" si="7"/>
        <v>1.8936477947203326E-2</v>
      </c>
      <c r="V35" s="54">
        <f t="shared" si="2"/>
        <v>1065</v>
      </c>
      <c r="W35" s="2">
        <f t="shared" si="12"/>
        <v>2.2334390494483405E-5</v>
      </c>
      <c r="Y35" s="1">
        <f t="shared" si="8"/>
        <v>33.466666666666669</v>
      </c>
      <c r="Z35" s="1">
        <f t="shared" si="3"/>
        <v>4.4058103733837775E-3</v>
      </c>
      <c r="AA35" s="1">
        <f t="shared" si="4"/>
        <v>3250.0017920939745</v>
      </c>
      <c r="AB35" s="129"/>
      <c r="AD35" s="1">
        <f t="shared" si="9"/>
        <v>0</v>
      </c>
      <c r="AE35" s="1">
        <f t="shared" si="5"/>
        <v>0</v>
      </c>
      <c r="AF35" s="129"/>
      <c r="AG35" s="3">
        <f t="shared" si="10"/>
        <v>820914.63661681931</v>
      </c>
      <c r="AH35" s="1">
        <f t="shared" si="6"/>
        <v>2.3454703903337695</v>
      </c>
    </row>
    <row r="36" spans="1:34" x14ac:dyDescent="0.3">
      <c r="A36" s="2">
        <v>44805</v>
      </c>
      <c r="B36" s="3">
        <v>609.46798349999995</v>
      </c>
      <c r="C36" s="3">
        <v>149.14309999999901</v>
      </c>
      <c r="D36" s="3">
        <v>460.3248835</v>
      </c>
      <c r="E36" s="3">
        <v>3334.9333333333302</v>
      </c>
      <c r="F36" s="3">
        <v>0</v>
      </c>
      <c r="G36" s="3">
        <v>4474.2929999999997</v>
      </c>
      <c r="H36" s="10">
        <v>5.9866084E-4</v>
      </c>
      <c r="I36" s="3">
        <v>100048</v>
      </c>
      <c r="J36" s="3">
        <v>13809.746504999999</v>
      </c>
      <c r="K36" s="3">
        <v>75.528968865023245</v>
      </c>
      <c r="L36" s="3">
        <v>140.64387611629368</v>
      </c>
      <c r="N36" s="1">
        <f t="shared" si="0"/>
        <v>1035</v>
      </c>
      <c r="O36" s="1">
        <f t="shared" si="1"/>
        <v>3.086464499531008</v>
      </c>
      <c r="P36" s="1">
        <f t="shared" si="11"/>
        <v>-36.646026632774465</v>
      </c>
      <c r="R36" s="1">
        <f t="shared" si="7"/>
        <v>-3.0489177496532637E-2</v>
      </c>
      <c r="V36" s="54">
        <f t="shared" si="2"/>
        <v>1034</v>
      </c>
      <c r="W36" s="2">
        <f t="shared" si="12"/>
        <v>2.2318937618569356E-5</v>
      </c>
      <c r="Y36" s="1">
        <f t="shared" si="8"/>
        <v>34.5</v>
      </c>
      <c r="Z36" s="1">
        <f t="shared" si="3"/>
        <v>4.489028097198651E-3</v>
      </c>
      <c r="AA36" s="1">
        <f t="shared" si="4"/>
        <v>3400.9961650826522</v>
      </c>
      <c r="AB36" s="129"/>
      <c r="AD36" s="1">
        <f t="shared" si="9"/>
        <v>0</v>
      </c>
      <c r="AE36" s="1">
        <f t="shared" si="5"/>
        <v>0</v>
      </c>
      <c r="AF36" s="129"/>
      <c r="AG36" s="3">
        <f t="shared" si="10"/>
        <v>825388.92961681925</v>
      </c>
      <c r="AH36" s="1">
        <f t="shared" si="6"/>
        <v>2.3582540846194839</v>
      </c>
    </row>
    <row r="37" spans="1:34" x14ac:dyDescent="0.3">
      <c r="A37" s="2">
        <v>44835</v>
      </c>
      <c r="B37" s="3">
        <v>474.38110245161198</v>
      </c>
      <c r="C37" s="3">
        <v>165.28125806451601</v>
      </c>
      <c r="D37" s="3">
        <v>309.09984438709603</v>
      </c>
      <c r="E37" s="3">
        <v>3161.83870967741</v>
      </c>
      <c r="F37" s="3">
        <v>0</v>
      </c>
      <c r="G37" s="3">
        <v>5123.7190000000001</v>
      </c>
      <c r="H37" s="10">
        <v>6.8555410099999895E-4</v>
      </c>
      <c r="I37" s="3">
        <v>98017</v>
      </c>
      <c r="J37" s="3">
        <v>9582.0951760000007</v>
      </c>
      <c r="K37" s="3">
        <v>65.158549273919505</v>
      </c>
      <c r="L37" s="3">
        <v>120.32418768476568</v>
      </c>
      <c r="N37" s="1">
        <f t="shared" si="0"/>
        <v>1065</v>
      </c>
      <c r="O37" s="1">
        <f t="shared" si="1"/>
        <v>1.8701445524237343</v>
      </c>
      <c r="P37" s="1">
        <f t="shared" si="11"/>
        <v>-23.788118847294847</v>
      </c>
      <c r="R37" s="1">
        <f t="shared" si="7"/>
        <v>-4.0543998236909122E-2</v>
      </c>
      <c r="V37" s="54">
        <f t="shared" si="2"/>
        <v>1004</v>
      </c>
      <c r="W37" s="2">
        <f t="shared" si="12"/>
        <v>2.230400356864057E-5</v>
      </c>
      <c r="Y37" s="1">
        <f t="shared" si="8"/>
        <v>35.5</v>
      </c>
      <c r="Z37" s="1">
        <f t="shared" si="3"/>
        <v>4.5208293657200164E-3</v>
      </c>
      <c r="AA37" s="1">
        <f t="shared" si="4"/>
        <v>3553.7958263218743</v>
      </c>
      <c r="AB37" s="129"/>
      <c r="AD37" s="1">
        <f t="shared" si="9"/>
        <v>0</v>
      </c>
      <c r="AE37" s="1">
        <f t="shared" si="5"/>
        <v>0</v>
      </c>
      <c r="AF37" s="129"/>
      <c r="AG37" s="3">
        <f t="shared" si="10"/>
        <v>830512.64861681929</v>
      </c>
      <c r="AH37" s="1">
        <f t="shared" si="6"/>
        <v>2.3728932817623405</v>
      </c>
    </row>
    <row r="38" spans="1:34" x14ac:dyDescent="0.3">
      <c r="A38" s="2">
        <v>44866</v>
      </c>
      <c r="B38" s="3">
        <v>423.37199049999998</v>
      </c>
      <c r="C38" s="3">
        <v>155.41036666666665</v>
      </c>
      <c r="D38" s="3">
        <v>267.96162383333336</v>
      </c>
      <c r="E38" s="3">
        <v>3090.9</v>
      </c>
      <c r="F38" s="3">
        <v>0</v>
      </c>
      <c r="G38" s="3">
        <v>4662.3109999999997</v>
      </c>
      <c r="H38" s="10">
        <v>6.2381766399999998E-4</v>
      </c>
      <c r="I38" s="3">
        <v>92727</v>
      </c>
      <c r="J38" s="3">
        <v>8038.8487150000001</v>
      </c>
      <c r="K38" s="3">
        <v>63.292241774632309</v>
      </c>
      <c r="L38" s="3">
        <v>125.09553408170325</v>
      </c>
      <c r="N38" s="1">
        <f t="shared" si="0"/>
        <v>1096</v>
      </c>
      <c r="O38" s="1">
        <f t="shared" si="1"/>
        <v>1.7242197517497229</v>
      </c>
      <c r="P38" s="1">
        <f t="shared" si="11"/>
        <v>8.7308142933263166</v>
      </c>
      <c r="R38" s="1">
        <f t="shared" si="7"/>
        <v>-4.7072516346455314E-3</v>
      </c>
      <c r="V38" s="54">
        <f t="shared" si="2"/>
        <v>973</v>
      </c>
      <c r="W38" s="2">
        <f t="shared" si="12"/>
        <v>2.2288592698257031E-5</v>
      </c>
      <c r="Y38" s="1">
        <f t="shared" si="8"/>
        <v>36.533333333333331</v>
      </c>
      <c r="Z38" s="1">
        <f t="shared" si="3"/>
        <v>4.7281522661526834E-3</v>
      </c>
      <c r="AA38" s="1">
        <f t="shared" si="4"/>
        <v>3718.9044037480785</v>
      </c>
      <c r="AB38" s="129"/>
      <c r="AD38" s="1">
        <f t="shared" si="9"/>
        <v>0</v>
      </c>
      <c r="AE38" s="1">
        <f t="shared" si="5"/>
        <v>0</v>
      </c>
      <c r="AF38" s="129"/>
      <c r="AG38" s="3">
        <f t="shared" si="10"/>
        <v>835174.95961681928</v>
      </c>
      <c r="AH38" s="1">
        <f t="shared" si="6"/>
        <v>2.3862141703337696</v>
      </c>
    </row>
    <row r="39" spans="1:34" x14ac:dyDescent="0.3">
      <c r="A39" s="2">
        <v>44896</v>
      </c>
      <c r="B39" s="3">
        <v>558.94404177419358</v>
      </c>
      <c r="C39" s="3">
        <v>166.52970967741936</v>
      </c>
      <c r="D39" s="3">
        <v>392.41433209677422</v>
      </c>
      <c r="E39" s="3">
        <v>3224.1935483870966</v>
      </c>
      <c r="F39" s="3">
        <v>0</v>
      </c>
      <c r="G39" s="3">
        <v>5162.4210000000003</v>
      </c>
      <c r="H39" s="10">
        <v>6.9073243599999999E-4</v>
      </c>
      <c r="I39" s="3">
        <v>99950</v>
      </c>
      <c r="J39" s="3">
        <v>12164.844295000001</v>
      </c>
      <c r="K39" s="3">
        <v>70.206371795498029</v>
      </c>
      <c r="L39" s="3">
        <v>121.77726496928476</v>
      </c>
      <c r="N39" s="1">
        <f t="shared" si="0"/>
        <v>1126</v>
      </c>
      <c r="O39" s="1">
        <f t="shared" si="1"/>
        <v>2.356422363654572</v>
      </c>
      <c r="P39" s="1">
        <f t="shared" si="11"/>
        <v>7.6508299009600726</v>
      </c>
      <c r="R39" s="1">
        <f t="shared" si="7"/>
        <v>2.1073420396828305E-2</v>
      </c>
      <c r="V39" s="54">
        <f t="shared" si="2"/>
        <v>943</v>
      </c>
      <c r="W39" s="2">
        <f t="shared" si="12"/>
        <v>2.2273699215965789E-5</v>
      </c>
      <c r="Y39" s="1">
        <f t="shared" si="8"/>
        <v>37.533333333333331</v>
      </c>
      <c r="Z39" s="1">
        <f t="shared" si="3"/>
        <v>4.8052890458517676E-3</v>
      </c>
      <c r="AA39" s="1">
        <f t="shared" si="4"/>
        <v>3885.9870188088771</v>
      </c>
      <c r="AB39" s="129"/>
      <c r="AD39" s="1">
        <f t="shared" si="9"/>
        <v>0</v>
      </c>
      <c r="AE39" s="1">
        <f t="shared" si="5"/>
        <v>0</v>
      </c>
      <c r="AF39" s="129"/>
      <c r="AG39" s="3">
        <f t="shared" si="10"/>
        <v>840337.38061681925</v>
      </c>
      <c r="AH39" s="1">
        <f t="shared" si="6"/>
        <v>2.4009639446194835</v>
      </c>
    </row>
    <row r="40" spans="1:34" x14ac:dyDescent="0.3">
      <c r="A40" s="2">
        <v>44927</v>
      </c>
      <c r="B40" s="3">
        <v>658.98007967741898</v>
      </c>
      <c r="C40" s="3">
        <v>209.958967741935</v>
      </c>
      <c r="D40" s="3">
        <v>449.02111193548302</v>
      </c>
      <c r="E40" s="3">
        <v>3814.8709677419301</v>
      </c>
      <c r="F40" s="3">
        <v>0</v>
      </c>
      <c r="G40" s="3">
        <v>6508.7280000000001</v>
      </c>
      <c r="H40" s="10">
        <v>8.7086843999999999E-4</v>
      </c>
      <c r="I40" s="3">
        <v>118261</v>
      </c>
      <c r="J40" s="3">
        <v>13919.654469999999</v>
      </c>
      <c r="K40" s="3">
        <v>68.138798999096679</v>
      </c>
      <c r="L40" s="3">
        <v>114.28316528206432</v>
      </c>
      <c r="N40" s="1">
        <f t="shared" si="0"/>
        <v>1157</v>
      </c>
      <c r="O40" s="1">
        <f t="shared" si="1"/>
        <v>2.1386136384866608</v>
      </c>
      <c r="P40" s="1">
        <f t="shared" si="11"/>
        <v>-1.4344866517228807</v>
      </c>
      <c r="R40" s="1">
        <f t="shared" si="7"/>
        <v>-7.0260879086422989E-3</v>
      </c>
      <c r="V40" s="54">
        <f t="shared" si="2"/>
        <v>912</v>
      </c>
      <c r="W40" s="2">
        <f t="shared" si="12"/>
        <v>2.2258330180069893E-5</v>
      </c>
      <c r="Y40" s="1">
        <f t="shared" si="8"/>
        <v>38.56666666666667</v>
      </c>
      <c r="Z40" s="1">
        <f t="shared" si="3"/>
        <v>4.7145276100009677E-3</v>
      </c>
      <c r="AA40" s="1">
        <f t="shared" si="4"/>
        <v>4066.5291264392663</v>
      </c>
      <c r="AB40" s="129"/>
      <c r="AD40" s="1">
        <f t="shared" si="9"/>
        <v>0</v>
      </c>
      <c r="AE40" s="1">
        <f t="shared" si="5"/>
        <v>0</v>
      </c>
      <c r="AF40" s="129"/>
      <c r="AG40" s="3">
        <f t="shared" si="10"/>
        <v>846846.10861681926</v>
      </c>
      <c r="AH40" s="1">
        <f t="shared" si="6"/>
        <v>2.4195603103337691</v>
      </c>
    </row>
    <row r="41" spans="1:34" x14ac:dyDescent="0.3">
      <c r="A41" s="2">
        <v>44958</v>
      </c>
      <c r="B41" s="3">
        <v>700.21208471428497</v>
      </c>
      <c r="C41" s="3">
        <v>213.50960714285699</v>
      </c>
      <c r="D41" s="3">
        <v>486.70247757142801</v>
      </c>
      <c r="E41" s="3">
        <v>4035.2142857142799</v>
      </c>
      <c r="F41" s="3">
        <v>0</v>
      </c>
      <c r="G41" s="3">
        <v>5978.2690000000002</v>
      </c>
      <c r="H41" s="10">
        <v>7.9989297399999998E-4</v>
      </c>
      <c r="I41" s="3">
        <v>112986</v>
      </c>
      <c r="J41" s="3">
        <v>13627.669372</v>
      </c>
      <c r="K41" s="3">
        <v>69.507866001773237</v>
      </c>
      <c r="L41" s="3">
        <v>118.8737647636799</v>
      </c>
      <c r="N41" s="1">
        <f t="shared" si="0"/>
        <v>1188</v>
      </c>
      <c r="O41" s="1">
        <f t="shared" si="1"/>
        <v>2.2795343220587756</v>
      </c>
      <c r="P41" s="1">
        <f t="shared" si="11"/>
        <v>7.8897487992285793</v>
      </c>
      <c r="R41" s="1">
        <f t="shared" si="7"/>
        <v>4.5458285023262856E-3</v>
      </c>
      <c r="V41" s="54">
        <f t="shared" si="2"/>
        <v>881</v>
      </c>
      <c r="W41" s="2">
        <f t="shared" si="12"/>
        <v>2.2242982339072023E-5</v>
      </c>
      <c r="Y41" s="1">
        <f t="shared" si="8"/>
        <v>39.6</v>
      </c>
      <c r="Z41" s="1">
        <f t="shared" si="3"/>
        <v>4.8613841887154936E-3</v>
      </c>
      <c r="AA41" s="1">
        <f t="shared" si="4"/>
        <v>4255.459180933567</v>
      </c>
      <c r="AB41" s="129"/>
      <c r="AD41" s="1">
        <f t="shared" si="9"/>
        <v>0</v>
      </c>
      <c r="AE41" s="1">
        <f t="shared" si="5"/>
        <v>0</v>
      </c>
      <c r="AF41" s="129"/>
      <c r="AG41" s="3">
        <f t="shared" si="10"/>
        <v>852824.37761681923</v>
      </c>
      <c r="AH41" s="1">
        <f t="shared" si="6"/>
        <v>2.4366410789051978</v>
      </c>
    </row>
    <row r="42" spans="1:34" x14ac:dyDescent="0.3">
      <c r="A42" s="2">
        <v>44986</v>
      </c>
      <c r="B42" s="3">
        <v>759.80392325806395</v>
      </c>
      <c r="C42" s="3">
        <v>215.17967741935399</v>
      </c>
      <c r="D42" s="3">
        <v>544.62424583870904</v>
      </c>
      <c r="E42" s="3">
        <v>3893.4516129032199</v>
      </c>
      <c r="F42" s="3">
        <v>0</v>
      </c>
      <c r="G42" s="3">
        <v>6670.57</v>
      </c>
      <c r="H42" s="10">
        <v>8.9252291799999999E-4</v>
      </c>
      <c r="I42" s="3">
        <v>120697</v>
      </c>
      <c r="J42" s="3">
        <v>16883.351621000002</v>
      </c>
      <c r="K42" s="3">
        <v>71.679578002617149</v>
      </c>
      <c r="L42" s="3">
        <v>113.80736437815658</v>
      </c>
      <c r="N42" s="1">
        <f t="shared" si="0"/>
        <v>1216</v>
      </c>
      <c r="O42" s="1">
        <f t="shared" si="1"/>
        <v>2.5310208304537762</v>
      </c>
      <c r="P42" s="1">
        <f t="shared" si="11"/>
        <v>2.5011577483881391</v>
      </c>
      <c r="R42" s="1">
        <f t="shared" si="7"/>
        <v>8.9816610141071652E-3</v>
      </c>
      <c r="V42" s="54">
        <f t="shared" si="2"/>
        <v>853</v>
      </c>
      <c r="W42" s="2">
        <f t="shared" si="12"/>
        <v>2.2229137954030144E-5</v>
      </c>
      <c r="Y42" s="1">
        <f t="shared" si="8"/>
        <v>40.533333333333331</v>
      </c>
      <c r="Z42" s="1">
        <f t="shared" si="3"/>
        <v>5.0118263917904044E-3</v>
      </c>
      <c r="AA42" s="1">
        <f t="shared" si="4"/>
        <v>4433.6390925860451</v>
      </c>
      <c r="AB42" s="129"/>
      <c r="AD42" s="1">
        <f t="shared" si="9"/>
        <v>0</v>
      </c>
      <c r="AE42" s="1">
        <f t="shared" si="5"/>
        <v>0</v>
      </c>
      <c r="AF42" s="129"/>
      <c r="AG42" s="3">
        <f t="shared" si="10"/>
        <v>859494.94761681918</v>
      </c>
      <c r="AH42" s="1">
        <f t="shared" si="6"/>
        <v>2.4556998503337688</v>
      </c>
    </row>
    <row r="43" spans="1:34" x14ac:dyDescent="0.3">
      <c r="A43" s="2">
        <v>45017</v>
      </c>
      <c r="B43" s="3">
        <v>692.59439229999998</v>
      </c>
      <c r="C43" s="3">
        <v>203.65846666666599</v>
      </c>
      <c r="D43" s="3">
        <v>488.935925633333</v>
      </c>
      <c r="E43" s="3">
        <v>3772.6</v>
      </c>
      <c r="F43" s="3">
        <v>0</v>
      </c>
      <c r="G43" s="3">
        <v>6109.7539999999999</v>
      </c>
      <c r="H43" s="10">
        <v>8.1748567999999995E-4</v>
      </c>
      <c r="I43" s="3">
        <v>113178</v>
      </c>
      <c r="J43" s="3">
        <v>14668.077769</v>
      </c>
      <c r="K43" s="3">
        <v>70.594843254455455</v>
      </c>
      <c r="L43" s="3">
        <v>116.5131991238927</v>
      </c>
      <c r="N43" s="1">
        <f t="shared" si="0"/>
        <v>1247</v>
      </c>
      <c r="O43" s="1">
        <f t="shared" si="1"/>
        <v>2.4007640518750901</v>
      </c>
      <c r="P43" s="1">
        <f t="shared" si="11"/>
        <v>0.31983554036374062</v>
      </c>
      <c r="R43" s="1">
        <f t="shared" si="7"/>
        <v>-4.2018315670543909E-3</v>
      </c>
      <c r="V43" s="54">
        <f t="shared" si="2"/>
        <v>822</v>
      </c>
      <c r="W43" s="2">
        <f t="shared" si="12"/>
        <v>2.2213830330763933E-5</v>
      </c>
      <c r="Y43" s="1">
        <f t="shared" si="8"/>
        <v>41.56666666666667</v>
      </c>
      <c r="Z43" s="1">
        <f t="shared" si="3"/>
        <v>5.2677821075604331E-3</v>
      </c>
      <c r="AA43" s="1">
        <f t="shared" si="4"/>
        <v>4639.624995877436</v>
      </c>
      <c r="AB43" s="129"/>
      <c r="AD43" s="1">
        <f t="shared" si="9"/>
        <v>0</v>
      </c>
      <c r="AE43" s="1">
        <f t="shared" si="5"/>
        <v>0</v>
      </c>
      <c r="AF43" s="129"/>
      <c r="AG43" s="3">
        <f t="shared" si="10"/>
        <v>865604.70161681913</v>
      </c>
      <c r="AH43" s="1">
        <f t="shared" si="6"/>
        <v>2.4731562903337689</v>
      </c>
    </row>
    <row r="44" spans="1:34" x14ac:dyDescent="0.3">
      <c r="A44" s="2">
        <v>45047</v>
      </c>
      <c r="B44" s="3">
        <v>621.69141580645157</v>
      </c>
      <c r="C44" s="3">
        <v>175.28848387096775</v>
      </c>
      <c r="D44" s="3">
        <v>446.40293193548382</v>
      </c>
      <c r="E44" s="3">
        <v>3245.9032258064517</v>
      </c>
      <c r="F44" s="3">
        <v>0</v>
      </c>
      <c r="G44" s="3">
        <v>5433.9430000000002</v>
      </c>
      <c r="H44" s="10">
        <v>7.2706210600000001E-4</v>
      </c>
      <c r="I44" s="3">
        <v>100623</v>
      </c>
      <c r="J44" s="3">
        <v>13838.490889999999</v>
      </c>
      <c r="K44" s="3">
        <v>71.804583525801874</v>
      </c>
      <c r="L44" s="3">
        <v>116.47132577577644</v>
      </c>
      <c r="N44" s="1">
        <f t="shared" si="0"/>
        <v>1277</v>
      </c>
      <c r="O44" s="1">
        <f t="shared" si="1"/>
        <v>2.5466757546039767</v>
      </c>
      <c r="P44" s="1">
        <f t="shared" si="11"/>
        <v>23.880118845982636</v>
      </c>
      <c r="R44" s="1">
        <f t="shared" si="7"/>
        <v>4.8637234242962183E-3</v>
      </c>
      <c r="V44" s="54">
        <f t="shared" si="2"/>
        <v>792</v>
      </c>
      <c r="W44" s="2">
        <f t="shared" si="12"/>
        <v>2.2199036561813217E-5</v>
      </c>
      <c r="Y44" s="1">
        <f t="shared" si="8"/>
        <v>42.56666666666667</v>
      </c>
      <c r="Z44" s="1">
        <f t="shared" si="3"/>
        <v>5.6567275306896366E-3</v>
      </c>
      <c r="AA44" s="1">
        <f t="shared" si="4"/>
        <v>4848.0736659834411</v>
      </c>
      <c r="AB44" s="129"/>
      <c r="AD44" s="1">
        <f t="shared" si="9"/>
        <v>0</v>
      </c>
      <c r="AE44" s="1">
        <f t="shared" si="5"/>
        <v>0</v>
      </c>
      <c r="AF44" s="129"/>
      <c r="AG44" s="3">
        <f t="shared" si="10"/>
        <v>871038.6446168191</v>
      </c>
      <c r="AH44" s="1">
        <f t="shared" si="6"/>
        <v>2.4886818417623404</v>
      </c>
    </row>
    <row r="45" spans="1:34" x14ac:dyDescent="0.3">
      <c r="A45" s="2">
        <v>45078</v>
      </c>
      <c r="B45" s="3">
        <v>899.47632863333331</v>
      </c>
      <c r="C45" s="3">
        <v>198.06823333333332</v>
      </c>
      <c r="D45" s="3">
        <v>701.40809530000001</v>
      </c>
      <c r="E45" s="3">
        <v>3436.5333333333333</v>
      </c>
      <c r="F45" s="3">
        <v>0</v>
      </c>
      <c r="G45" s="3">
        <v>5942.0469999999996</v>
      </c>
      <c r="H45" s="10">
        <v>7.9504646999999996E-4</v>
      </c>
      <c r="I45" s="3">
        <v>103096</v>
      </c>
      <c r="J45" s="3">
        <v>21042.242859000002</v>
      </c>
      <c r="K45" s="3">
        <v>77.979605796377243</v>
      </c>
      <c r="L45" s="3">
        <v>109.12960143196445</v>
      </c>
      <c r="N45" s="1">
        <f t="shared" si="0"/>
        <v>1308</v>
      </c>
      <c r="O45" s="1">
        <f t="shared" si="1"/>
        <v>3.5412447695213451</v>
      </c>
      <c r="P45" s="1">
        <f t="shared" si="11"/>
        <v>0.85729552396838038</v>
      </c>
      <c r="R45" s="1">
        <f t="shared" si="7"/>
        <v>3.2082871448947371E-2</v>
      </c>
      <c r="V45" s="54">
        <f t="shared" si="2"/>
        <v>761</v>
      </c>
      <c r="W45" s="2">
        <f t="shared" si="12"/>
        <v>2.21837703536093E-5</v>
      </c>
      <c r="Y45" s="1">
        <f t="shared" si="8"/>
        <v>43.6</v>
      </c>
      <c r="Z45" s="1">
        <f t="shared" si="3"/>
        <v>5.7266093510092465E-3</v>
      </c>
      <c r="AA45" s="1">
        <f t="shared" si="4"/>
        <v>5073.3141089822248</v>
      </c>
      <c r="AB45" s="129"/>
      <c r="AD45" s="1">
        <f t="shared" si="9"/>
        <v>0</v>
      </c>
      <c r="AE45" s="1">
        <f t="shared" si="5"/>
        <v>0</v>
      </c>
      <c r="AF45" s="129"/>
      <c r="AG45" s="3">
        <f t="shared" si="10"/>
        <v>876980.69161681912</v>
      </c>
      <c r="AH45" s="1">
        <f t="shared" si="6"/>
        <v>2.5056591189051973</v>
      </c>
    </row>
    <row r="46" spans="1:34" x14ac:dyDescent="0.3">
      <c r="A46" s="2">
        <v>45108</v>
      </c>
      <c r="B46" s="3">
        <v>823.3820287741936</v>
      </c>
      <c r="C46" s="3">
        <v>229.56667741935485</v>
      </c>
      <c r="D46" s="3">
        <v>593.81535135483875</v>
      </c>
      <c r="E46" s="3">
        <v>4005.3870967741937</v>
      </c>
      <c r="F46" s="3">
        <v>0</v>
      </c>
      <c r="G46" s="3">
        <v>7116.567</v>
      </c>
      <c r="H46" s="10">
        <v>9.5219736099999997E-4</v>
      </c>
      <c r="I46" s="3">
        <v>124167</v>
      </c>
      <c r="J46" s="3">
        <v>18408.275892000001</v>
      </c>
      <c r="K46" s="3">
        <v>72.119056598657949</v>
      </c>
      <c r="L46" s="3">
        <v>109.74190176246496</v>
      </c>
      <c r="N46" s="1">
        <f t="shared" si="0"/>
        <v>1338</v>
      </c>
      <c r="O46" s="1">
        <f t="shared" si="1"/>
        <v>2.5866792081069425</v>
      </c>
      <c r="P46" s="1">
        <f t="shared" si="11"/>
        <v>-23.715627849299153</v>
      </c>
      <c r="R46" s="1">
        <f t="shared" si="7"/>
        <v>-3.1818852047146753E-2</v>
      </c>
      <c r="V46" s="54">
        <f t="shared" si="2"/>
        <v>731</v>
      </c>
      <c r="W46" s="2">
        <f t="shared" si="12"/>
        <v>2.2169016582424403E-5</v>
      </c>
      <c r="Y46" s="1">
        <f t="shared" si="8"/>
        <v>44.6</v>
      </c>
      <c r="Z46" s="1">
        <f t="shared" si="3"/>
        <v>5.759737044487314E-3</v>
      </c>
      <c r="AA46" s="1">
        <f t="shared" si="4"/>
        <v>5301.2475260120591</v>
      </c>
      <c r="AB46" s="129"/>
      <c r="AD46" s="1">
        <f t="shared" si="9"/>
        <v>0</v>
      </c>
      <c r="AE46" s="1">
        <f t="shared" si="5"/>
        <v>0</v>
      </c>
      <c r="AF46" s="129"/>
      <c r="AG46" s="3">
        <f t="shared" si="10"/>
        <v>884097.25861681916</v>
      </c>
      <c r="AH46" s="1">
        <f t="shared" si="6"/>
        <v>2.5259921674766264</v>
      </c>
    </row>
    <row r="47" spans="1:34" x14ac:dyDescent="0.3">
      <c r="A47" s="2">
        <v>45139</v>
      </c>
      <c r="B47" s="3">
        <v>784.87419193548385</v>
      </c>
      <c r="C47" s="3">
        <v>226.82548387096776</v>
      </c>
      <c r="D47" s="3">
        <v>558.04870806451606</v>
      </c>
      <c r="E47" s="3">
        <v>3398.1935483870966</v>
      </c>
      <c r="F47" s="3">
        <v>0</v>
      </c>
      <c r="G47" s="3">
        <v>7031.59</v>
      </c>
      <c r="H47" s="10">
        <v>9.4082742499999991E-4</v>
      </c>
      <c r="I47" s="3">
        <v>105344</v>
      </c>
      <c r="J47" s="3">
        <v>17299.50995</v>
      </c>
      <c r="K47" s="3">
        <v>71.100402306308382</v>
      </c>
      <c r="L47" s="3">
        <v>94.230848385642503</v>
      </c>
      <c r="N47" s="1">
        <f t="shared" si="0"/>
        <v>1369</v>
      </c>
      <c r="O47" s="1">
        <f t="shared" si="1"/>
        <v>2.4602557814093253</v>
      </c>
      <c r="P47" s="1">
        <f t="shared" si="11"/>
        <v>-3.7387749191008579</v>
      </c>
      <c r="R47" s="1">
        <f t="shared" si="7"/>
        <v>-4.0781750547618451E-3</v>
      </c>
      <c r="V47" s="54">
        <f t="shared" si="2"/>
        <v>700</v>
      </c>
      <c r="W47" s="2">
        <f t="shared" si="12"/>
        <v>2.2153791621436008E-5</v>
      </c>
      <c r="Y47" s="1">
        <f t="shared" si="8"/>
        <v>45.633333333333333</v>
      </c>
      <c r="Z47" s="1">
        <f t="shared" si="3"/>
        <v>6.031971959933837E-3</v>
      </c>
      <c r="AA47" s="1">
        <f t="shared" si="4"/>
        <v>5547.5423275088406</v>
      </c>
      <c r="AB47" s="129"/>
      <c r="AD47" s="1">
        <f t="shared" si="9"/>
        <v>0</v>
      </c>
      <c r="AE47" s="1">
        <f t="shared" si="5"/>
        <v>0</v>
      </c>
      <c r="AF47" s="129"/>
      <c r="AG47" s="3">
        <f t="shared" si="10"/>
        <v>891128.84861681913</v>
      </c>
      <c r="AH47" s="1">
        <f t="shared" si="6"/>
        <v>2.5460824246194833</v>
      </c>
    </row>
    <row r="48" spans="1:34" x14ac:dyDescent="0.3">
      <c r="A48" s="2">
        <v>45170</v>
      </c>
      <c r="B48" s="3">
        <v>884.91114960000004</v>
      </c>
      <c r="C48" s="3">
        <v>258.94836666666669</v>
      </c>
      <c r="D48" s="3">
        <v>625.9627829333333</v>
      </c>
      <c r="E48" s="3">
        <v>3547.9333333333334</v>
      </c>
      <c r="F48" s="3">
        <v>0</v>
      </c>
      <c r="G48" s="3">
        <v>7768.451</v>
      </c>
      <c r="H48" s="10">
        <v>1.0394194990000002E-3</v>
      </c>
      <c r="I48" s="3">
        <v>106438</v>
      </c>
      <c r="J48" s="3">
        <v>18778.883487999999</v>
      </c>
      <c r="K48" s="3">
        <v>70.737359701737603</v>
      </c>
      <c r="L48" s="3">
        <v>86.178535772446779</v>
      </c>
      <c r="N48" s="1">
        <f t="shared" si="0"/>
        <v>1400</v>
      </c>
      <c r="O48" s="1">
        <f t="shared" si="1"/>
        <v>2.4173266315253836</v>
      </c>
      <c r="P48" s="1">
        <f t="shared" si="11"/>
        <v>-0.9012631699216469</v>
      </c>
      <c r="R48" s="1">
        <f t="shared" si="7"/>
        <v>-1.3848112865787645E-3</v>
      </c>
      <c r="V48" s="54">
        <f t="shared" si="2"/>
        <v>669</v>
      </c>
      <c r="W48" s="2">
        <f t="shared" si="12"/>
        <v>2.2138587558113793E-5</v>
      </c>
      <c r="Y48" s="1">
        <f t="shared" si="8"/>
        <v>46.666666666666664</v>
      </c>
      <c r="Z48" s="1">
        <f t="shared" si="3"/>
        <v>6.113501666540809E-3</v>
      </c>
      <c r="AA48" s="1">
        <f t="shared" si="4"/>
        <v>5805.2799316566352</v>
      </c>
      <c r="AB48" s="129"/>
      <c r="AD48" s="1">
        <f t="shared" si="9"/>
        <v>0</v>
      </c>
      <c r="AE48" s="1">
        <f t="shared" si="5"/>
        <v>0</v>
      </c>
      <c r="AF48" s="129"/>
      <c r="AG48" s="3">
        <f t="shared" si="10"/>
        <v>898897.29961681913</v>
      </c>
      <c r="AH48" s="1">
        <f t="shared" si="6"/>
        <v>2.5682779989051978</v>
      </c>
    </row>
    <row r="49" spans="1:34" x14ac:dyDescent="0.3">
      <c r="A49" s="2">
        <v>45200</v>
      </c>
      <c r="B49" s="3">
        <v>984.94362303225796</v>
      </c>
      <c r="C49" s="3">
        <v>287.91387096774196</v>
      </c>
      <c r="D49" s="3">
        <v>697.02975206451606</v>
      </c>
      <c r="E49" s="3">
        <v>4736.1612903225805</v>
      </c>
      <c r="F49" s="3">
        <v>0</v>
      </c>
      <c r="G49" s="3">
        <v>8925.33</v>
      </c>
      <c r="H49" s="10">
        <v>1.1942100250000001E-3</v>
      </c>
      <c r="I49" s="3">
        <v>146821</v>
      </c>
      <c r="J49" s="3">
        <v>21607.922313999999</v>
      </c>
      <c r="K49" s="3">
        <v>70.768492304019688</v>
      </c>
      <c r="L49" s="3">
        <v>103.46673185193151</v>
      </c>
      <c r="N49" s="1">
        <f t="shared" si="0"/>
        <v>1430</v>
      </c>
      <c r="O49" s="1">
        <f t="shared" si="1"/>
        <v>2.4209662067396942</v>
      </c>
      <c r="P49" s="1">
        <f t="shared" si="11"/>
        <v>4.402025608674486</v>
      </c>
      <c r="R49" s="1">
        <f t="shared" si="7"/>
        <v>1.2131917381035251E-4</v>
      </c>
      <c r="V49" s="54">
        <f t="shared" si="2"/>
        <v>639</v>
      </c>
      <c r="W49" s="2">
        <f t="shared" si="12"/>
        <v>2.2123893805309735E-5</v>
      </c>
      <c r="Y49" s="1">
        <f t="shared" si="8"/>
        <v>47.666666666666664</v>
      </c>
      <c r="Z49" s="1">
        <f t="shared" si="3"/>
        <v>6.2345851705364235E-3</v>
      </c>
      <c r="AA49" s="1">
        <f t="shared" si="4"/>
        <v>6066.0990457924017</v>
      </c>
      <c r="AB49" s="129"/>
      <c r="AD49" s="1">
        <f t="shared" si="9"/>
        <v>0</v>
      </c>
      <c r="AE49" s="1">
        <f t="shared" si="5"/>
        <v>0</v>
      </c>
      <c r="AF49" s="129"/>
      <c r="AG49" s="3">
        <f t="shared" si="10"/>
        <v>907822.62961681909</v>
      </c>
      <c r="AH49" s="1">
        <f t="shared" si="6"/>
        <v>2.59377894176234</v>
      </c>
    </row>
    <row r="50" spans="1:34" x14ac:dyDescent="0.3">
      <c r="A50" s="2">
        <v>45231</v>
      </c>
      <c r="B50" s="3">
        <v>993.73752023333338</v>
      </c>
      <c r="C50" s="3">
        <v>275.65013333333337</v>
      </c>
      <c r="D50" s="3">
        <v>718.08738690000007</v>
      </c>
      <c r="E50" s="3">
        <v>4226.166666666667</v>
      </c>
      <c r="F50" s="3">
        <v>0</v>
      </c>
      <c r="G50" s="3">
        <v>8269.5040000000008</v>
      </c>
      <c r="H50" s="10">
        <v>1.106460444E-3</v>
      </c>
      <c r="I50" s="3">
        <v>126785</v>
      </c>
      <c r="J50" s="3">
        <v>21542.621607000001</v>
      </c>
      <c r="K50" s="3">
        <v>72.261273452912434</v>
      </c>
      <c r="L50" s="3">
        <v>96.432904923922862</v>
      </c>
      <c r="N50" s="1">
        <f t="shared" si="0"/>
        <v>1461</v>
      </c>
      <c r="O50" s="1">
        <f t="shared" si="1"/>
        <v>2.6050681645477165</v>
      </c>
      <c r="P50" s="1">
        <f t="shared" si="11"/>
        <v>5.4283101633123518</v>
      </c>
      <c r="R50" s="1">
        <f t="shared" si="7"/>
        <v>5.9387728325168481E-3</v>
      </c>
      <c r="V50" s="54">
        <f t="shared" si="2"/>
        <v>608</v>
      </c>
      <c r="W50" s="2">
        <f t="shared" si="12"/>
        <v>2.2108730737768346E-5</v>
      </c>
      <c r="Y50" s="1">
        <f t="shared" si="8"/>
        <v>48.7</v>
      </c>
      <c r="Z50" s="1">
        <f t="shared" si="3"/>
        <v>6.6240606439162434E-3</v>
      </c>
      <c r="AA50" s="1">
        <f t="shared" si="4"/>
        <v>6347.9286817436141</v>
      </c>
      <c r="AB50" s="129"/>
      <c r="AD50" s="1">
        <f t="shared" si="9"/>
        <v>0</v>
      </c>
      <c r="AE50" s="1">
        <f t="shared" si="5"/>
        <v>0</v>
      </c>
      <c r="AF50" s="129"/>
      <c r="AG50" s="3">
        <f t="shared" si="10"/>
        <v>916092.13361681905</v>
      </c>
      <c r="AH50" s="1">
        <f t="shared" si="6"/>
        <v>2.6174060960480547</v>
      </c>
    </row>
    <row r="51" spans="1:34" x14ac:dyDescent="0.3">
      <c r="A51" s="2">
        <v>45261</v>
      </c>
      <c r="B51" s="3">
        <v>1078.7729456451614</v>
      </c>
      <c r="C51" s="3">
        <v>295.7389032258065</v>
      </c>
      <c r="D51" s="3">
        <v>783.03404241935493</v>
      </c>
      <c r="E51" s="3">
        <v>3042.4516129032259</v>
      </c>
      <c r="F51" s="3">
        <v>0</v>
      </c>
      <c r="G51" s="3">
        <v>9167.9060000000009</v>
      </c>
      <c r="H51" s="10">
        <v>1.2266667179999999E-3</v>
      </c>
      <c r="I51" s="3">
        <v>94316</v>
      </c>
      <c r="J51" s="3">
        <v>24274.055315000001</v>
      </c>
      <c r="K51" s="3">
        <v>72.585621059588263</v>
      </c>
      <c r="L51" s="3">
        <v>64.707118157625089</v>
      </c>
      <c r="N51" s="1">
        <f t="shared" si="0"/>
        <v>1491</v>
      </c>
      <c r="O51" s="1">
        <f t="shared" si="1"/>
        <v>2.6477207897855846</v>
      </c>
      <c r="P51" s="1">
        <f t="shared" si="11"/>
        <v>-11.451208330950994</v>
      </c>
      <c r="R51" s="1">
        <f t="shared" si="7"/>
        <v>1.421754174595602E-3</v>
      </c>
      <c r="V51" s="54">
        <f t="shared" si="2"/>
        <v>578</v>
      </c>
      <c r="W51" s="2">
        <f t="shared" si="12"/>
        <v>2.2094076578069419E-5</v>
      </c>
      <c r="Y51" s="1">
        <f t="shared" si="8"/>
        <v>49.7</v>
      </c>
      <c r="Z51" s="1">
        <f t="shared" si="3"/>
        <v>6.8461666416593826E-3</v>
      </c>
      <c r="AA51" s="1">
        <f t="shared" si="4"/>
        <v>6633.1278719395841</v>
      </c>
      <c r="AB51" s="129"/>
      <c r="AD51" s="1">
        <f t="shared" si="9"/>
        <v>0</v>
      </c>
      <c r="AE51" s="1">
        <f t="shared" si="5"/>
        <v>0</v>
      </c>
      <c r="AF51" s="129"/>
      <c r="AG51" s="3">
        <f t="shared" si="10"/>
        <v>925260.03961681901</v>
      </c>
      <c r="AH51" s="1">
        <f t="shared" si="6"/>
        <v>2.6436001131909115</v>
      </c>
    </row>
    <row r="52" spans="1:34" x14ac:dyDescent="0.3">
      <c r="A52" s="2">
        <v>45292</v>
      </c>
      <c r="B52" s="3">
        <v>1074.145368</v>
      </c>
      <c r="C52" s="3">
        <v>342.44806451612902</v>
      </c>
      <c r="D52" s="3">
        <v>731.697303483871</v>
      </c>
      <c r="E52" s="3">
        <v>2947.7741935483873</v>
      </c>
      <c r="F52" s="3">
        <v>0</v>
      </c>
      <c r="G52" s="3">
        <v>10615.89</v>
      </c>
      <c r="H52" s="10">
        <v>1.420407117E-3</v>
      </c>
      <c r="I52" s="3">
        <v>91381</v>
      </c>
      <c r="J52" s="3">
        <v>22682.616408000002</v>
      </c>
      <c r="K52" s="3">
        <v>68.119020505227468</v>
      </c>
      <c r="L52" s="3">
        <v>54.142254092685583</v>
      </c>
      <c r="N52" s="1">
        <f t="shared" si="0"/>
        <v>1522</v>
      </c>
      <c r="O52" s="1">
        <f t="shared" si="1"/>
        <v>2.1366664884432676</v>
      </c>
      <c r="P52" s="1">
        <f t="shared" si="11"/>
        <v>-16.498394365483936</v>
      </c>
      <c r="R52" s="1">
        <f t="shared" si="7"/>
        <v>-1.6485622623945709E-2</v>
      </c>
      <c r="V52" s="54">
        <f t="shared" si="2"/>
        <v>547</v>
      </c>
      <c r="W52" s="2">
        <f t="shared" si="12"/>
        <v>2.2078954340722422E-5</v>
      </c>
      <c r="Y52" s="1">
        <f t="shared" si="8"/>
        <v>50.733333333333334</v>
      </c>
      <c r="Z52" s="1">
        <f t="shared" si="3"/>
        <v>6.9660718290434753E-3</v>
      </c>
      <c r="AA52" s="1">
        <f t="shared" si="4"/>
        <v>6941.3015432322172</v>
      </c>
      <c r="AB52" s="129"/>
      <c r="AD52" s="1">
        <f t="shared" si="9"/>
        <v>0</v>
      </c>
      <c r="AE52" s="1">
        <f t="shared" si="5"/>
        <v>0</v>
      </c>
      <c r="AF52" s="129"/>
      <c r="AG52" s="3">
        <f t="shared" si="10"/>
        <v>935875.92961681902</v>
      </c>
      <c r="AH52" s="1">
        <f t="shared" si="6"/>
        <v>2.6739312274766256</v>
      </c>
    </row>
    <row r="53" spans="1:34" x14ac:dyDescent="0.3">
      <c r="A53" s="2">
        <v>45323</v>
      </c>
      <c r="B53" s="3">
        <v>1061.5844679655172</v>
      </c>
      <c r="C53" s="3">
        <v>356.76900000000001</v>
      </c>
      <c r="D53" s="3">
        <v>704.81546796551731</v>
      </c>
      <c r="E53" s="3">
        <v>2837.1034482758619</v>
      </c>
      <c r="F53" s="3">
        <v>0</v>
      </c>
      <c r="G53" s="3">
        <v>10346.300999999999</v>
      </c>
      <c r="H53" s="10">
        <v>1.38433608E-3</v>
      </c>
      <c r="I53" s="3">
        <v>82276</v>
      </c>
      <c r="J53" s="3">
        <v>20439.648571000002</v>
      </c>
      <c r="K53" s="3">
        <v>66.392782603184358</v>
      </c>
      <c r="L53" s="3">
        <v>50.017835823643637</v>
      </c>
      <c r="N53" s="1">
        <f t="shared" si="0"/>
        <v>1553</v>
      </c>
      <c r="O53" s="1">
        <f t="shared" si="1"/>
        <v>1.9755513174225263</v>
      </c>
      <c r="P53" s="1">
        <f t="shared" si="11"/>
        <v>7.73060182073199</v>
      </c>
      <c r="R53" s="1">
        <f t="shared" si="7"/>
        <v>-5.1972635813142334E-3</v>
      </c>
      <c r="V53" s="54">
        <f t="shared" si="2"/>
        <v>516</v>
      </c>
      <c r="W53" s="2">
        <f t="shared" si="12"/>
        <v>2.2063852789974185E-5</v>
      </c>
      <c r="Y53" s="1">
        <f t="shared" si="8"/>
        <v>51.766666666666666</v>
      </c>
      <c r="Z53" s="1">
        <f t="shared" si="3"/>
        <v>7.3051798192221573E-3</v>
      </c>
      <c r="AA53" s="1">
        <f t="shared" si="4"/>
        <v>7263.7928959432556</v>
      </c>
      <c r="AB53" s="129"/>
      <c r="AD53" s="1">
        <f t="shared" si="9"/>
        <v>0</v>
      </c>
      <c r="AE53" s="1">
        <f t="shared" si="5"/>
        <v>0</v>
      </c>
      <c r="AF53" s="129"/>
      <c r="AG53" s="3">
        <f t="shared" si="10"/>
        <v>946222.230616819</v>
      </c>
      <c r="AH53" s="1">
        <f t="shared" si="6"/>
        <v>2.7034920874766257</v>
      </c>
    </row>
    <row r="54" spans="1:34" x14ac:dyDescent="0.3">
      <c r="A54" s="2">
        <v>45352</v>
      </c>
      <c r="B54" s="3">
        <v>1095.5023028387095</v>
      </c>
      <c r="C54" s="3">
        <v>318.87087096774189</v>
      </c>
      <c r="D54" s="3">
        <v>776.63143187096773</v>
      </c>
      <c r="E54" s="3">
        <v>3239.4516129032259</v>
      </c>
      <c r="F54" s="3">
        <v>0</v>
      </c>
      <c r="G54" s="3">
        <v>9884.9969999999994</v>
      </c>
      <c r="H54" s="10">
        <v>1.3226135630000002E-3</v>
      </c>
      <c r="I54" s="3">
        <v>100423</v>
      </c>
      <c r="J54" s="3">
        <v>24075.574388000001</v>
      </c>
      <c r="K54" s="3">
        <v>70.89272472166688</v>
      </c>
      <c r="L54" s="3">
        <v>63.898915234875645</v>
      </c>
      <c r="N54" s="1">
        <f t="shared" si="0"/>
        <v>1582</v>
      </c>
      <c r="O54" s="1">
        <f t="shared" si="1"/>
        <v>2.4355671921802307</v>
      </c>
      <c r="P54" s="1">
        <f t="shared" si="11"/>
        <v>35.787079329456347</v>
      </c>
      <c r="R54" s="1">
        <f t="shared" si="7"/>
        <v>1.5862616370955322E-2</v>
      </c>
      <c r="V54" s="54">
        <f t="shared" si="2"/>
        <v>487</v>
      </c>
      <c r="W54" s="2">
        <f t="shared" si="12"/>
        <v>2.2049744222967014E-5</v>
      </c>
      <c r="Y54" s="1">
        <f t="shared" si="8"/>
        <v>52.733333333333334</v>
      </c>
      <c r="Z54" s="1">
        <f t="shared" si="3"/>
        <v>7.9707907035163148E-3</v>
      </c>
      <c r="AA54" s="1">
        <f t="shared" si="4"/>
        <v>7579.0290706870455</v>
      </c>
      <c r="AB54" s="129"/>
      <c r="AD54" s="1">
        <f t="shared" si="9"/>
        <v>0</v>
      </c>
      <c r="AE54" s="1">
        <f t="shared" si="5"/>
        <v>0</v>
      </c>
      <c r="AF54" s="129"/>
      <c r="AG54" s="3">
        <f t="shared" si="10"/>
        <v>956107.22761681897</v>
      </c>
      <c r="AH54" s="1">
        <f t="shared" si="6"/>
        <v>2.7317349360480541</v>
      </c>
    </row>
    <row r="55" spans="1:34" x14ac:dyDescent="0.3">
      <c r="A55" s="2">
        <v>45383</v>
      </c>
      <c r="B55" s="3">
        <v>1172.9419750000002</v>
      </c>
      <c r="C55" s="3">
        <v>270.7534</v>
      </c>
      <c r="D55" s="3">
        <v>902.18857500000001</v>
      </c>
      <c r="E55" s="3">
        <v>4727.5</v>
      </c>
      <c r="F55" s="3">
        <v>0</v>
      </c>
      <c r="G55" s="3">
        <v>8122.6019999999999</v>
      </c>
      <c r="H55" s="10">
        <v>1.08680494E-3</v>
      </c>
      <c r="I55" s="3">
        <v>141825</v>
      </c>
      <c r="J55" s="3">
        <v>27065.65725</v>
      </c>
      <c r="K55" s="3">
        <v>76.9167268483166</v>
      </c>
      <c r="L55" s="3">
        <v>109.82329123106118</v>
      </c>
      <c r="N55" s="1">
        <f t="shared" si="0"/>
        <v>1613</v>
      </c>
      <c r="O55" s="1">
        <f t="shared" si="1"/>
        <v>3.3321412584292571</v>
      </c>
      <c r="P55" s="1">
        <f t="shared" si="11"/>
        <v>-11.846320647128261</v>
      </c>
      <c r="R55" s="1">
        <f t="shared" si="7"/>
        <v>2.892174407254924E-2</v>
      </c>
      <c r="V55" s="54">
        <f t="shared" si="2"/>
        <v>456</v>
      </c>
      <c r="W55" s="2">
        <f t="shared" si="12"/>
        <v>2.2034682590397284E-5</v>
      </c>
      <c r="Y55" s="1">
        <f t="shared" si="8"/>
        <v>53.766666666666666</v>
      </c>
      <c r="Z55" s="1">
        <f t="shared" si="3"/>
        <v>8.8713878437050812E-3</v>
      </c>
      <c r="AA55" s="1">
        <f t="shared" si="4"/>
        <v>7931.1491049514016</v>
      </c>
      <c r="AB55" s="129"/>
      <c r="AD55" s="1">
        <f t="shared" si="9"/>
        <v>0</v>
      </c>
      <c r="AE55" s="1">
        <f t="shared" si="5"/>
        <v>0</v>
      </c>
      <c r="AF55" s="129"/>
      <c r="AG55" s="3">
        <f t="shared" si="10"/>
        <v>964229.82961681893</v>
      </c>
      <c r="AH55" s="1">
        <f t="shared" si="6"/>
        <v>2.7549423703337683</v>
      </c>
    </row>
    <row r="56" spans="1:34" s="72" customFormat="1" x14ac:dyDescent="0.3">
      <c r="A56" s="69">
        <v>45413</v>
      </c>
      <c r="B56" s="70">
        <v>978.8759713870968</v>
      </c>
      <c r="C56" s="70">
        <v>327.67106451612904</v>
      </c>
      <c r="D56" s="70">
        <v>651.20490687096776</v>
      </c>
      <c r="E56" s="70">
        <v>4625.2580645161288</v>
      </c>
      <c r="F56" s="70">
        <v>0</v>
      </c>
      <c r="G56" s="70">
        <v>10157.803</v>
      </c>
      <c r="H56" s="71">
        <v>1.359115033E-3</v>
      </c>
      <c r="I56" s="70">
        <v>143383</v>
      </c>
      <c r="J56" s="70">
        <v>20187.352113000001</v>
      </c>
      <c r="K56" s="70">
        <v>66.525783235662715</v>
      </c>
      <c r="L56" s="70">
        <v>88.784001166393949</v>
      </c>
      <c r="N56" s="72">
        <f t="shared" si="0"/>
        <v>1643</v>
      </c>
      <c r="O56" s="72">
        <f t="shared" si="1"/>
        <v>1.9873738556457534</v>
      </c>
      <c r="P56" s="72">
        <f t="shared" si="11"/>
        <v>-34.630344707783983</v>
      </c>
      <c r="R56" s="72">
        <f t="shared" si="7"/>
        <v>-4.4825580092783458E-2</v>
      </c>
      <c r="V56" s="115">
        <f t="shared" si="2"/>
        <v>426</v>
      </c>
      <c r="W56" s="69">
        <f t="shared" si="12"/>
        <v>2.2020126395525512E-5</v>
      </c>
      <c r="Y56" s="72">
        <f t="shared" si="8"/>
        <v>54.766666666666666</v>
      </c>
      <c r="Z56" s="72">
        <f t="shared" si="3"/>
        <v>9.0482418946837128E-3</v>
      </c>
      <c r="AA56" s="72">
        <f t="shared" si="4"/>
        <v>8287.4790852425995</v>
      </c>
      <c r="AB56" s="129"/>
      <c r="AC56" s="1"/>
      <c r="AD56" s="1">
        <f t="shared" si="9"/>
        <v>0</v>
      </c>
      <c r="AE56" s="1">
        <f t="shared" si="5"/>
        <v>0</v>
      </c>
      <c r="AF56" s="129"/>
      <c r="AG56" s="3">
        <f t="shared" si="10"/>
        <v>974387.63261681888</v>
      </c>
      <c r="AH56" s="1">
        <f t="shared" si="6"/>
        <v>2.7839646646194822</v>
      </c>
    </row>
    <row r="57" spans="1:34" x14ac:dyDescent="0.3">
      <c r="A57" s="2">
        <v>45444</v>
      </c>
      <c r="B57" s="3">
        <v>1017.9947963</v>
      </c>
      <c r="C57" s="3">
        <v>334.1350333333333</v>
      </c>
      <c r="D57" s="3">
        <v>683.85976296666672</v>
      </c>
      <c r="E57" s="3">
        <v>4272.4333333333334</v>
      </c>
      <c r="F57" s="3">
        <v>0</v>
      </c>
      <c r="G57" s="3">
        <v>10024.050999999999</v>
      </c>
      <c r="H57" s="10">
        <v>1.341219002E-3</v>
      </c>
      <c r="I57" s="3">
        <v>128173</v>
      </c>
      <c r="J57" s="3">
        <v>20515.792889</v>
      </c>
      <c r="K57" s="3">
        <v>67.17713739325788</v>
      </c>
      <c r="L57" s="3">
        <v>80.424823796287541</v>
      </c>
      <c r="N57" s="1">
        <f t="shared" si="0"/>
        <v>1674</v>
      </c>
      <c r="O57" s="1">
        <f t="shared" si="1"/>
        <v>2.0466568744512577</v>
      </c>
      <c r="P57" s="1">
        <f t="shared" si="11"/>
        <v>26.115856027744023</v>
      </c>
      <c r="R57" s="1">
        <f t="shared" si="7"/>
        <v>1.9123554453388464E-3</v>
      </c>
      <c r="V57" s="54">
        <f t="shared" si="2"/>
        <v>395</v>
      </c>
      <c r="W57" s="2">
        <f t="shared" si="12"/>
        <v>2.200510518440278E-5</v>
      </c>
      <c r="Y57" s="1">
        <f t="shared" si="8"/>
        <v>55.8</v>
      </c>
      <c r="Z57" s="1">
        <f t="shared" si="3"/>
        <v>9.7089015127891694E-3</v>
      </c>
      <c r="AA57" s="1">
        <f t="shared" si="4"/>
        <v>8672.5135523549179</v>
      </c>
      <c r="AB57" s="129"/>
      <c r="AD57" s="1">
        <f t="shared" si="9"/>
        <v>0</v>
      </c>
      <c r="AE57" s="1">
        <f t="shared" si="5"/>
        <v>0</v>
      </c>
      <c r="AF57" s="129"/>
      <c r="AG57" s="3">
        <f t="shared" si="10"/>
        <v>984411.68361681886</v>
      </c>
      <c r="AH57" s="1">
        <f t="shared" si="6"/>
        <v>2.812604810333768</v>
      </c>
    </row>
    <row r="58" spans="1:34" x14ac:dyDescent="0.3">
      <c r="A58" s="2">
        <v>45474</v>
      </c>
      <c r="B58" s="3">
        <v>1114.2296920000001</v>
      </c>
      <c r="C58" s="3">
        <v>282.84129032258062</v>
      </c>
      <c r="D58" s="3">
        <v>831.38840167741944</v>
      </c>
      <c r="E58" s="3">
        <v>3422.0645161290322</v>
      </c>
      <c r="F58" s="3">
        <v>0</v>
      </c>
      <c r="G58" s="3">
        <v>8768.08</v>
      </c>
      <c r="H58" s="10">
        <v>1.173169955E-3</v>
      </c>
      <c r="I58" s="3">
        <v>106084</v>
      </c>
      <c r="J58" s="3">
        <v>25773.040452000001</v>
      </c>
      <c r="K58" s="3">
        <v>74.615531038767131</v>
      </c>
      <c r="L58" s="3">
        <v>76.099572905356709</v>
      </c>
      <c r="N58" s="1">
        <f t="shared" si="0"/>
        <v>1704</v>
      </c>
      <c r="O58" s="1">
        <f t="shared" si="1"/>
        <v>2.9394166627129321</v>
      </c>
      <c r="P58" s="1">
        <f t="shared" si="11"/>
        <v>23.508370032829436</v>
      </c>
      <c r="R58" s="1">
        <f t="shared" si="7"/>
        <v>2.9758659608722482E-2</v>
      </c>
      <c r="V58" s="54">
        <f t="shared" si="2"/>
        <v>365</v>
      </c>
      <c r="W58" s="2">
        <f t="shared" si="12"/>
        <v>2.1990588028323877E-5</v>
      </c>
      <c r="Y58" s="1">
        <f t="shared" si="8"/>
        <v>56.8</v>
      </c>
      <c r="Z58" s="1">
        <f t="shared" si="3"/>
        <v>1.0963494168474565E-2</v>
      </c>
      <c r="AA58" s="1">
        <f t="shared" si="4"/>
        <v>9062.1514903501211</v>
      </c>
      <c r="AB58" s="129"/>
      <c r="AD58" s="1">
        <f t="shared" si="9"/>
        <v>0</v>
      </c>
      <c r="AE58" s="1">
        <f t="shared" si="5"/>
        <v>0</v>
      </c>
      <c r="AF58" s="129"/>
      <c r="AG58" s="3">
        <f t="shared" si="10"/>
        <v>993179.76361681882</v>
      </c>
      <c r="AH58" s="1">
        <f t="shared" si="6"/>
        <v>2.8376564674766249</v>
      </c>
    </row>
    <row r="59" spans="1:34" x14ac:dyDescent="0.3">
      <c r="A59" s="2">
        <v>45505</v>
      </c>
      <c r="B59" s="3">
        <v>1098.9761446774194</v>
      </c>
      <c r="C59" s="3">
        <v>282.65445161290324</v>
      </c>
      <c r="D59" s="3">
        <v>816.32169306451613</v>
      </c>
      <c r="E59" s="3">
        <v>3239.9354838709678</v>
      </c>
      <c r="F59" s="3">
        <v>0</v>
      </c>
      <c r="G59" s="3">
        <v>8762.2880000000005</v>
      </c>
      <c r="H59" s="10">
        <v>1.1723949889999999E-3</v>
      </c>
      <c r="I59" s="3">
        <v>100438</v>
      </c>
      <c r="J59" s="3">
        <v>25305.972484999998</v>
      </c>
      <c r="K59" s="3">
        <v>74.280201350879153</v>
      </c>
      <c r="L59" s="3">
        <v>72.097029040816722</v>
      </c>
      <c r="N59" s="1">
        <f t="shared" si="0"/>
        <v>1735</v>
      </c>
      <c r="O59" s="1">
        <f t="shared" si="1"/>
        <v>2.888055321281382</v>
      </c>
      <c r="P59" s="1">
        <f t="shared" si="11"/>
        <v>2.6769837591272521</v>
      </c>
      <c r="R59" s="1">
        <f t="shared" si="7"/>
        <v>-1.6568174655338752E-3</v>
      </c>
      <c r="V59" s="54">
        <f t="shared" si="2"/>
        <v>334</v>
      </c>
      <c r="W59" s="2">
        <f t="shared" si="12"/>
        <v>2.197560707614548E-5</v>
      </c>
      <c r="Y59" s="1">
        <f t="shared" si="8"/>
        <v>57.833333333333336</v>
      </c>
      <c r="Z59" s="1">
        <f t="shared" si="3"/>
        <v>1.1983042418219682E-2</v>
      </c>
      <c r="AA59" s="1">
        <f t="shared" si="4"/>
        <v>9483.1770681028647</v>
      </c>
      <c r="AB59" s="129"/>
      <c r="AD59" s="1">
        <f t="shared" si="9"/>
        <v>0</v>
      </c>
      <c r="AE59" s="1">
        <f t="shared" si="5"/>
        <v>0</v>
      </c>
      <c r="AF59" s="129"/>
      <c r="AG59" s="3">
        <f t="shared" si="10"/>
        <v>1001942.0516168189</v>
      </c>
      <c r="AH59" s="1">
        <f t="shared" si="6"/>
        <v>2.862691576048054</v>
      </c>
    </row>
    <row r="60" spans="1:34" x14ac:dyDescent="0.3">
      <c r="A60" s="2">
        <v>45536</v>
      </c>
      <c r="B60" s="3">
        <v>1001.9235067666666</v>
      </c>
      <c r="C60" s="3">
        <v>248.30273333333335</v>
      </c>
      <c r="D60" s="3">
        <v>753.62077343333328</v>
      </c>
      <c r="E60" s="3">
        <v>2815.6</v>
      </c>
      <c r="F60" s="3">
        <v>0</v>
      </c>
      <c r="G60" s="3">
        <v>7449.0820000000003</v>
      </c>
      <c r="H60" s="10">
        <v>9.966878990000001E-4</v>
      </c>
      <c r="I60" s="3">
        <v>84468</v>
      </c>
      <c r="J60" s="3">
        <v>22608.623202999999</v>
      </c>
      <c r="K60" s="3">
        <v>75.217396172823854</v>
      </c>
      <c r="L60" s="3">
        <v>71.322456431544168</v>
      </c>
      <c r="N60" s="1">
        <f t="shared" si="0"/>
        <v>1766</v>
      </c>
      <c r="O60" s="1">
        <f t="shared" si="1"/>
        <v>3.0350885119804021</v>
      </c>
      <c r="P60" s="1">
        <f t="shared" si="11"/>
        <v>11.78197872934024</v>
      </c>
      <c r="R60" s="1">
        <f t="shared" si="7"/>
        <v>4.7430061515812937E-3</v>
      </c>
      <c r="V60" s="54">
        <f t="shared" si="2"/>
        <v>303</v>
      </c>
      <c r="W60" s="2">
        <f t="shared" si="12"/>
        <v>2.1960646521433591E-5</v>
      </c>
      <c r="Y60" s="1">
        <f t="shared" si="8"/>
        <v>58.866666666666667</v>
      </c>
      <c r="Z60" s="1">
        <f t="shared" si="3"/>
        <v>1.3636675246202257E-2</v>
      </c>
      <c r="AA60" s="1">
        <f t="shared" si="4"/>
        <v>9923.7634021849208</v>
      </c>
      <c r="AB60" s="129"/>
      <c r="AD60" s="1">
        <f t="shared" si="9"/>
        <v>0</v>
      </c>
      <c r="AE60" s="1">
        <f t="shared" si="5"/>
        <v>0</v>
      </c>
      <c r="AF60" s="129"/>
      <c r="AG60" s="3">
        <f t="shared" si="10"/>
        <v>1009391.1336168189</v>
      </c>
      <c r="AH60" s="1">
        <f t="shared" si="6"/>
        <v>2.8839746674766253</v>
      </c>
    </row>
    <row r="61" spans="1:34" x14ac:dyDescent="0.3">
      <c r="A61" s="2">
        <v>45566</v>
      </c>
      <c r="B61" s="3">
        <v>975.39631287096779</v>
      </c>
      <c r="C61" s="3">
        <v>227.09109677419355</v>
      </c>
      <c r="D61" s="3">
        <v>748.30521609677419</v>
      </c>
      <c r="E61" s="3">
        <v>2914.7419354838707</v>
      </c>
      <c r="F61" s="3">
        <v>0</v>
      </c>
      <c r="G61" s="3">
        <v>7039.8239999999996</v>
      </c>
      <c r="H61" s="10">
        <v>9.4192913799999998E-4</v>
      </c>
      <c r="I61" s="3">
        <v>90357</v>
      </c>
      <c r="J61" s="3">
        <v>23197.461698999999</v>
      </c>
      <c r="K61" s="3">
        <v>76.718068975904075</v>
      </c>
      <c r="L61" s="3">
        <v>80.73035044626117</v>
      </c>
      <c r="N61" s="1">
        <f t="shared" si="0"/>
        <v>1796</v>
      </c>
      <c r="O61" s="1">
        <f t="shared" si="1"/>
        <v>3.2951763707444961</v>
      </c>
      <c r="P61" s="1">
        <f t="shared" si="11"/>
        <v>7.8654265730960429</v>
      </c>
      <c r="R61" s="1">
        <f t="shared" si="7"/>
        <v>8.6695952921364665E-3</v>
      </c>
      <c r="V61" s="54">
        <f t="shared" si="2"/>
        <v>273</v>
      </c>
      <c r="W61" s="2">
        <f t="shared" si="12"/>
        <v>2.1946187947153581E-5</v>
      </c>
      <c r="Y61" s="1">
        <f t="shared" si="8"/>
        <v>59.866666666666667</v>
      </c>
      <c r="Z61" s="1">
        <f t="shared" si="3"/>
        <v>1.5462307897023433E-2</v>
      </c>
      <c r="AA61" s="1">
        <f t="shared" si="4"/>
        <v>10369.617385097365</v>
      </c>
      <c r="AB61" s="129"/>
      <c r="AD61" s="1">
        <f t="shared" si="9"/>
        <v>0</v>
      </c>
      <c r="AE61" s="1">
        <f t="shared" si="5"/>
        <v>0</v>
      </c>
      <c r="AF61" s="129"/>
      <c r="AG61" s="3">
        <f t="shared" si="10"/>
        <v>1016430.957616819</v>
      </c>
      <c r="AH61" s="1">
        <f t="shared" si="6"/>
        <v>2.9040884503337687</v>
      </c>
    </row>
    <row r="62" spans="1:34" x14ac:dyDescent="0.3">
      <c r="A62" s="2">
        <v>45597</v>
      </c>
      <c r="B62" s="3">
        <v>983.53046883333332</v>
      </c>
      <c r="C62" s="3">
        <v>228.61189999999999</v>
      </c>
      <c r="D62" s="3">
        <v>754.91856883333332</v>
      </c>
      <c r="E62" s="3">
        <v>2804.5</v>
      </c>
      <c r="F62" s="3">
        <v>0</v>
      </c>
      <c r="G62" s="3">
        <v>6858.357</v>
      </c>
      <c r="H62" s="10">
        <v>9.1764883699999998E-4</v>
      </c>
      <c r="I62" s="3">
        <v>84135</v>
      </c>
      <c r="J62" s="3">
        <v>22647.557065000001</v>
      </c>
      <c r="K62" s="3">
        <v>76.755992087242603</v>
      </c>
      <c r="L62" s="3">
        <v>77.160218256354966</v>
      </c>
      <c r="N62" s="1">
        <f t="shared" si="0"/>
        <v>1827</v>
      </c>
      <c r="O62" s="1">
        <f t="shared" si="1"/>
        <v>3.3021840456832448</v>
      </c>
      <c r="P62" s="1">
        <f t="shared" si="11"/>
        <v>-8.7970611209115113</v>
      </c>
      <c r="R62" s="1">
        <f t="shared" si="7"/>
        <v>2.2605403028221464E-4</v>
      </c>
      <c r="V62" s="54">
        <f t="shared" si="2"/>
        <v>242</v>
      </c>
      <c r="W62" s="2">
        <f t="shared" si="12"/>
        <v>2.1931267407943506E-5</v>
      </c>
      <c r="Y62" s="1">
        <f t="shared" si="8"/>
        <v>60.9</v>
      </c>
      <c r="Z62" s="1">
        <f t="shared" si="3"/>
        <v>1.741543592662392E-2</v>
      </c>
      <c r="AA62" s="1">
        <f t="shared" si="4"/>
        <v>10851.387542579785</v>
      </c>
      <c r="AB62" s="129"/>
      <c r="AD62" s="1">
        <f t="shared" si="9"/>
        <v>0</v>
      </c>
      <c r="AE62" s="1">
        <f t="shared" si="5"/>
        <v>0</v>
      </c>
      <c r="AF62" s="129"/>
      <c r="AG62" s="3">
        <f t="shared" si="10"/>
        <v>1023289.3146168189</v>
      </c>
      <c r="AH62" s="1">
        <f t="shared" si="6"/>
        <v>2.923683756048054</v>
      </c>
    </row>
    <row r="63" spans="1:34" x14ac:dyDescent="0.3">
      <c r="A63" s="2">
        <v>45627</v>
      </c>
      <c r="B63" s="3">
        <v>938.88647519354834</v>
      </c>
      <c r="C63" s="3">
        <v>234.64232258064516</v>
      </c>
      <c r="D63" s="3">
        <v>704.24415261290324</v>
      </c>
      <c r="E63" s="3">
        <v>2409.5483870967741</v>
      </c>
      <c r="F63" s="3">
        <v>0</v>
      </c>
      <c r="G63" s="3">
        <v>7273.9120000000003</v>
      </c>
      <c r="H63" s="10">
        <v>9.7325014200000002E-4</v>
      </c>
      <c r="I63" s="3">
        <v>74696</v>
      </c>
      <c r="J63" s="3">
        <v>21831.568730999999</v>
      </c>
      <c r="K63" s="3">
        <v>75.008445772714495</v>
      </c>
      <c r="L63" s="3">
        <v>64.590127128290803</v>
      </c>
      <c r="N63" s="1">
        <f t="shared" si="0"/>
        <v>1857</v>
      </c>
      <c r="O63" s="1">
        <f t="shared" si="1"/>
        <v>3.0013517803074881</v>
      </c>
      <c r="P63" s="1">
        <f t="shared" si="11"/>
        <v>-1.2888747210486518</v>
      </c>
      <c r="R63" s="1">
        <f t="shared" si="7"/>
        <v>-1.002774217919189E-2</v>
      </c>
      <c r="V63" s="54">
        <f t="shared" si="2"/>
        <v>212</v>
      </c>
      <c r="W63" s="2">
        <f t="shared" si="12"/>
        <v>2.1916847480658382E-5</v>
      </c>
      <c r="Y63" s="1">
        <f t="shared" si="8"/>
        <v>61.9</v>
      </c>
      <c r="Z63" s="1">
        <f t="shared" si="3"/>
        <v>1.975707064686838E-2</v>
      </c>
      <c r="AA63" s="1">
        <f t="shared" si="4"/>
        <v>11338.917742556185</v>
      </c>
      <c r="AB63" s="129"/>
      <c r="AD63" s="1">
        <f t="shared" si="9"/>
        <v>0</v>
      </c>
      <c r="AE63" s="1">
        <f t="shared" si="5"/>
        <v>0</v>
      </c>
      <c r="AF63" s="129"/>
      <c r="AG63" s="3">
        <f t="shared" si="10"/>
        <v>1030563.2266168189</v>
      </c>
      <c r="AH63" s="1">
        <f t="shared" si="6"/>
        <v>2.9444663617623399</v>
      </c>
    </row>
    <row r="64" spans="1:34" x14ac:dyDescent="0.3">
      <c r="A64" s="2">
        <v>45658</v>
      </c>
      <c r="B64" s="3">
        <v>952.98838412903228</v>
      </c>
      <c r="C64" s="3">
        <v>223.71387096774194</v>
      </c>
      <c r="D64" s="3">
        <v>729.27451316129032</v>
      </c>
      <c r="E64" s="3">
        <v>2131.516129032258</v>
      </c>
      <c r="F64" s="3">
        <v>0</v>
      </c>
      <c r="G64" s="3">
        <v>6935.13</v>
      </c>
      <c r="H64" s="10">
        <v>9.27921071E-4</v>
      </c>
      <c r="I64" s="3">
        <v>66077</v>
      </c>
      <c r="J64" s="3">
        <v>22607.509908</v>
      </c>
      <c r="K64" s="3">
        <v>76.525015971500892</v>
      </c>
      <c r="L64" s="3">
        <v>59.928381241591723</v>
      </c>
      <c r="N64" s="1">
        <f t="shared" si="0"/>
        <v>1888</v>
      </c>
      <c r="O64" s="1">
        <f t="shared" si="1"/>
        <v>3.2598538034615068</v>
      </c>
      <c r="P64" s="1">
        <f t="shared" si="11"/>
        <v>9.3984363485183167</v>
      </c>
      <c r="R64" s="1">
        <f t="shared" si="7"/>
        <v>8.3387749404522163E-3</v>
      </c>
      <c r="V64" s="54">
        <f t="shared" si="2"/>
        <v>181</v>
      </c>
      <c r="W64" s="2">
        <f t="shared" si="12"/>
        <v>2.1901966796618337E-5</v>
      </c>
      <c r="Y64" s="1">
        <f t="shared" si="8"/>
        <v>62.93333333333333</v>
      </c>
      <c r="Z64" s="1">
        <f t="shared" si="3"/>
        <v>2.340438357270647E-2</v>
      </c>
      <c r="AA64" s="1">
        <f t="shared" si="4"/>
        <v>11865.721382810287</v>
      </c>
      <c r="AB64" s="129"/>
      <c r="AD64" s="1">
        <f t="shared" si="9"/>
        <v>0</v>
      </c>
      <c r="AE64" s="1">
        <f t="shared" si="5"/>
        <v>0</v>
      </c>
      <c r="AF64" s="129"/>
      <c r="AG64" s="3">
        <f t="shared" si="10"/>
        <v>1037498.3566168189</v>
      </c>
      <c r="AH64" s="1">
        <f t="shared" si="6"/>
        <v>2.9642810189051967</v>
      </c>
    </row>
    <row r="65" spans="1:34" x14ac:dyDescent="0.3">
      <c r="A65" s="2">
        <v>45689</v>
      </c>
      <c r="B65" s="3">
        <v>1026.8137252499998</v>
      </c>
      <c r="C65" s="3">
        <v>238.23903571428573</v>
      </c>
      <c r="D65" s="3">
        <v>788.57468953571424</v>
      </c>
      <c r="E65" s="3">
        <v>2409.75</v>
      </c>
      <c r="F65" s="3">
        <v>0</v>
      </c>
      <c r="G65" s="3">
        <v>6670.6930000000002</v>
      </c>
      <c r="H65" s="10">
        <v>8.9253937599999993E-4</v>
      </c>
      <c r="I65" s="3">
        <v>67473</v>
      </c>
      <c r="J65" s="3">
        <v>22080.091306999999</v>
      </c>
      <c r="K65" s="3">
        <v>76.798222515356301</v>
      </c>
      <c r="L65" s="3">
        <v>63.620327813017319</v>
      </c>
      <c r="N65" s="1">
        <f t="shared" si="0"/>
        <v>1919</v>
      </c>
      <c r="O65" s="1">
        <f t="shared" si="1"/>
        <v>3.3100146127246446</v>
      </c>
      <c r="P65" s="1">
        <f t="shared" si="11"/>
        <v>15.163305724186801</v>
      </c>
      <c r="R65" s="1">
        <f t="shared" si="7"/>
        <v>1.6180906213915426E-3</v>
      </c>
      <c r="V65" s="54">
        <f t="shared" si="2"/>
        <v>150</v>
      </c>
      <c r="W65" s="2">
        <f t="shared" si="12"/>
        <v>2.1887106305675328E-5</v>
      </c>
      <c r="Y65" s="1">
        <f t="shared" si="8"/>
        <v>63.966666666666669</v>
      </c>
      <c r="Z65" s="1">
        <f t="shared" si="3"/>
        <v>2.7821911859022819E-2</v>
      </c>
      <c r="AA65" s="1">
        <f t="shared" si="4"/>
        <v>12417.000205060232</v>
      </c>
      <c r="AB65" s="129"/>
      <c r="AD65" s="1">
        <f t="shared" si="9"/>
        <v>0</v>
      </c>
      <c r="AE65" s="1">
        <f t="shared" si="5"/>
        <v>0</v>
      </c>
      <c r="AF65" s="129"/>
      <c r="AG65" s="3">
        <f t="shared" si="10"/>
        <v>1044169.0496168189</v>
      </c>
      <c r="AH65" s="1">
        <f t="shared" si="6"/>
        <v>2.9833401417623397</v>
      </c>
    </row>
    <row r="66" spans="1:34" x14ac:dyDescent="0.3">
      <c r="A66" s="2">
        <v>45717</v>
      </c>
      <c r="B66" s="3">
        <v>1159.474453</v>
      </c>
      <c r="C66" s="3">
        <v>245.31593548387096</v>
      </c>
      <c r="D66" s="3">
        <v>914.15851751612911</v>
      </c>
      <c r="E66" s="3">
        <v>2518.516129032258</v>
      </c>
      <c r="F66" s="3">
        <v>0</v>
      </c>
      <c r="G66" s="3">
        <v>7604.7939999999999</v>
      </c>
      <c r="H66" s="10">
        <v>1.017522181E-3</v>
      </c>
      <c r="I66" s="3">
        <v>78074</v>
      </c>
      <c r="J66" s="3">
        <v>28338.914043000001</v>
      </c>
      <c r="K66" s="3">
        <v>78.842488952719435</v>
      </c>
      <c r="L66" s="3">
        <v>64.573720892373942</v>
      </c>
      <c r="N66" s="1">
        <f t="shared" si="0"/>
        <v>1947</v>
      </c>
      <c r="O66" s="1">
        <f t="shared" si="1"/>
        <v>3.7264538714658153</v>
      </c>
      <c r="P66" s="1">
        <f t="shared" si="11"/>
        <v>9.493992401295932</v>
      </c>
      <c r="R66" s="1">
        <f t="shared" si="7"/>
        <v>1.4872830669327526E-2</v>
      </c>
      <c r="V66" s="54">
        <f t="shared" si="2"/>
        <v>122</v>
      </c>
      <c r="W66" s="2">
        <f t="shared" si="12"/>
        <v>2.187370124898834E-5</v>
      </c>
      <c r="Y66" s="1">
        <f t="shared" si="8"/>
        <v>64.900000000000006</v>
      </c>
      <c r="Z66" s="1">
        <f t="shared" si="3"/>
        <v>3.3967331047892874E-2</v>
      </c>
      <c r="AA66" s="1">
        <f t="shared" si="4"/>
        <v>12936.911195967929</v>
      </c>
      <c r="AB66" s="129"/>
      <c r="AD66" s="1">
        <f t="shared" si="9"/>
        <v>0</v>
      </c>
      <c r="AE66" s="1">
        <f t="shared" si="5"/>
        <v>0</v>
      </c>
      <c r="AF66" s="129"/>
      <c r="AG66" s="3">
        <f t="shared" si="10"/>
        <v>1051773.843616819</v>
      </c>
      <c r="AH66" s="1">
        <f t="shared" si="6"/>
        <v>3.0050681246194832</v>
      </c>
    </row>
    <row r="67" spans="1:34" x14ac:dyDescent="0.3">
      <c r="A67" s="2">
        <v>45748</v>
      </c>
      <c r="B67" s="3">
        <v>1034.3269129</v>
      </c>
      <c r="C67" s="3">
        <v>224.97536666666667</v>
      </c>
      <c r="D67" s="3">
        <v>809.35154623333324</v>
      </c>
      <c r="E67" s="3">
        <v>2622.7333333333331</v>
      </c>
      <c r="F67" s="3">
        <v>0</v>
      </c>
      <c r="G67" s="3">
        <v>6749.2610000000004</v>
      </c>
      <c r="H67" s="10">
        <v>9.0305178000000001E-4</v>
      </c>
      <c r="I67" s="3">
        <v>78682</v>
      </c>
      <c r="J67" s="3">
        <v>24280.546386999999</v>
      </c>
      <c r="K67" s="3">
        <v>78.249104431026467</v>
      </c>
      <c r="L67" s="3">
        <v>73.325663891202311</v>
      </c>
      <c r="N67" s="1">
        <f>A67-$A$2</f>
        <v>1978</v>
      </c>
      <c r="O67" s="1">
        <f>D67/C67</f>
        <v>3.5975118441856075</v>
      </c>
      <c r="P67" s="1">
        <f t="shared" si="11"/>
        <v>-9.2297665288641646</v>
      </c>
      <c r="R67" s="1">
        <f t="shared" si="7"/>
        <v>-4.1594202348454118E-3</v>
      </c>
      <c r="V67" s="54">
        <f>_xlfn.DAYS($A$70,A67)</f>
        <v>91</v>
      </c>
      <c r="W67" s="2">
        <f t="shared" ref="W67:W72" si="13">(1/A67)</f>
        <v>2.1858879076680948E-5</v>
      </c>
      <c r="Y67" s="1">
        <f t="shared" si="8"/>
        <v>65.933333333333337</v>
      </c>
      <c r="Z67" s="1">
        <f t="shared" ref="Z67:Z72" si="14">LN($U$4 / C67) / V67</f>
        <v>4.6489784456180551E-2</v>
      </c>
      <c r="AA67" s="1">
        <f t="shared" ref="AA67:AA72" si="15" xml:space="preserve"> $U$4 * EXP(-$Z$3*V67)</f>
        <v>13537.957262833881</v>
      </c>
      <c r="AB67" s="129"/>
      <c r="AD67" s="1">
        <f t="shared" si="9"/>
        <v>0</v>
      </c>
      <c r="AE67" s="1">
        <f t="shared" ref="AE67:AE130" si="16">(AD67*100)/(35*10^6)</f>
        <v>0</v>
      </c>
      <c r="AF67" s="129"/>
      <c r="AG67" s="3">
        <f t="shared" si="10"/>
        <v>1058523.1046168189</v>
      </c>
      <c r="AH67" s="1">
        <f t="shared" ref="AH67:AH130" si="17">(AG67*100)/(35*10^6)</f>
        <v>3.0243517274766258</v>
      </c>
    </row>
    <row r="68" spans="1:34" x14ac:dyDescent="0.3">
      <c r="A68" s="2">
        <v>45778</v>
      </c>
      <c r="B68" s="3">
        <v>1027.9578153225807</v>
      </c>
      <c r="C68" s="3">
        <v>231.4323548387097</v>
      </c>
      <c r="D68" s="3">
        <v>796.52546048387092</v>
      </c>
      <c r="E68" s="3">
        <v>2345.3225806451615</v>
      </c>
      <c r="F68" s="3">
        <v>0</v>
      </c>
      <c r="G68" s="3">
        <v>7174.4030000000002</v>
      </c>
      <c r="H68" s="10">
        <v>9.5993582200000005E-4</v>
      </c>
      <c r="I68" s="3">
        <v>72705</v>
      </c>
      <c r="J68" s="3">
        <v>24692.289274999999</v>
      </c>
      <c r="K68" s="3">
        <v>77.486201146679875</v>
      </c>
      <c r="L68" s="3">
        <v>63.740482518196984</v>
      </c>
      <c r="N68" s="1">
        <f>A68-$A$2</f>
        <v>2008</v>
      </c>
      <c r="O68" s="1">
        <f>D68/C68</f>
        <v>3.4417204156220378</v>
      </c>
      <c r="P68" s="1">
        <f t="shared" si="11"/>
        <v>15.241219960058508</v>
      </c>
      <c r="R68" s="1">
        <f>(O68-O67) / (N68-N67)</f>
        <v>-5.1930476187856582E-3</v>
      </c>
      <c r="V68" s="54">
        <f>_xlfn.DAYS($A$70,A68)</f>
        <v>61</v>
      </c>
      <c r="W68" s="2">
        <f t="shared" si="13"/>
        <v>2.1844554152649745E-5</v>
      </c>
      <c r="Y68" s="1">
        <f t="shared" ref="Y68:Y72" si="18">($V$2-V68)/30</f>
        <v>66.933333333333337</v>
      </c>
      <c r="Z68" s="1">
        <f t="shared" si="14"/>
        <v>6.8889732346489291E-2</v>
      </c>
      <c r="AA68" s="1">
        <f t="shared" si="15"/>
        <v>14146.189434592832</v>
      </c>
      <c r="AB68" s="130"/>
      <c r="AD68" s="1">
        <f t="shared" ref="AD68:AD131" si="19">AD67+AC68</f>
        <v>0</v>
      </c>
      <c r="AE68" s="1">
        <f t="shared" si="16"/>
        <v>0</v>
      </c>
      <c r="AF68" s="130"/>
      <c r="AG68" s="3">
        <f t="shared" ref="AG68:AG131" si="20">AG67+G68</f>
        <v>1065697.5076168189</v>
      </c>
      <c r="AH68" s="1">
        <f t="shared" si="17"/>
        <v>3.0448500217623398</v>
      </c>
    </row>
    <row r="69" spans="1:34" x14ac:dyDescent="0.3">
      <c r="A69" s="2">
        <v>45809</v>
      </c>
      <c r="B69" s="3">
        <v>1090.1084509999998</v>
      </c>
      <c r="C69" s="3">
        <v>215.41783333333333</v>
      </c>
      <c r="D69" s="3">
        <v>874.69061766666664</v>
      </c>
      <c r="E69" s="3">
        <v>1773.8333333333333</v>
      </c>
      <c r="F69" s="3">
        <v>0</v>
      </c>
      <c r="G69" s="3">
        <v>6462.5349999999999</v>
      </c>
      <c r="H69" s="10">
        <v>8.6468781400000005E-4</v>
      </c>
      <c r="I69" s="3">
        <v>53215</v>
      </c>
      <c r="J69" s="3">
        <v>26240.718529999998</v>
      </c>
      <c r="K69" s="3">
        <v>80.238862185159476</v>
      </c>
      <c r="L69" s="3">
        <v>51.79263354086283</v>
      </c>
      <c r="N69" s="1">
        <f>A69-$A$2</f>
        <v>2039</v>
      </c>
      <c r="O69" s="1">
        <f>D69/C69</f>
        <v>4.0604373562386895</v>
      </c>
      <c r="P69" s="1">
        <f>IF(OR(N68&lt;=0,N70&lt;=0,O68="",O70=""),"",(O70-O68)/(LN(N70)-LN(N68)))</f>
        <v>20.879168029751536</v>
      </c>
      <c r="R69" s="1">
        <f>(O69-O68) / (N69-N68)</f>
        <v>1.9958610987633928E-2</v>
      </c>
      <c r="V69" s="54">
        <f>_xlfn.DAYS($A$70,A69)</f>
        <v>30</v>
      </c>
      <c r="W69" s="2">
        <f t="shared" si="13"/>
        <v>2.1829771442292998E-5</v>
      </c>
      <c r="Y69" s="1">
        <f t="shared" si="18"/>
        <v>67.966666666666669</v>
      </c>
      <c r="Z69" s="1">
        <f t="shared" si="14"/>
        <v>0.14246605824137451</v>
      </c>
      <c r="AA69" s="1">
        <f t="shared" si="15"/>
        <v>14803.418304143446</v>
      </c>
      <c r="AD69" s="1">
        <f t="shared" si="19"/>
        <v>0</v>
      </c>
      <c r="AE69" s="1">
        <f t="shared" si="16"/>
        <v>0</v>
      </c>
      <c r="AG69" s="3">
        <f t="shared" si="20"/>
        <v>1072160.0426168188</v>
      </c>
      <c r="AH69" s="1">
        <f t="shared" si="17"/>
        <v>3.0633144074766254</v>
      </c>
    </row>
    <row r="70" spans="1:34" x14ac:dyDescent="0.3">
      <c r="A70" s="2">
        <v>45839</v>
      </c>
      <c r="B70" s="3">
        <v>1139.3630191290324</v>
      </c>
      <c r="C70" s="3">
        <v>224.87925806451611</v>
      </c>
      <c r="D70" s="3">
        <v>914.4837610645161</v>
      </c>
      <c r="E70" s="3">
        <v>2190.6451612903224</v>
      </c>
      <c r="F70" s="3">
        <v>0</v>
      </c>
      <c r="G70" s="3">
        <v>6971.2569999999996</v>
      </c>
      <c r="H70" s="10">
        <v>9.3275487099999993E-4</v>
      </c>
      <c r="I70" s="3">
        <v>67910</v>
      </c>
      <c r="J70" s="3">
        <v>28348.996593</v>
      </c>
      <c r="K70" s="3">
        <v>80.262720986290958</v>
      </c>
      <c r="L70" s="3">
        <v>61.271635517095412</v>
      </c>
      <c r="N70" s="1">
        <f>A70-$A$2</f>
        <v>2069</v>
      </c>
      <c r="O70" s="1">
        <f>D70/C70</f>
        <v>4.0665545098968527</v>
      </c>
      <c r="P70" s="1" t="str">
        <f>IF(OR(N69&lt;=0,N71&lt;=0,O69="",O71=""),"",(O71-O69)/(LN(N71)-LN(N69)))</f>
        <v/>
      </c>
      <c r="R70" s="1">
        <f>(O70-O69) / (N70-N69)</f>
        <v>2.0390512193877442E-4</v>
      </c>
      <c r="V70" s="54">
        <f>_xlfn.DAYS($A$70,A70)</f>
        <v>0</v>
      </c>
      <c r="W70" s="2">
        <f t="shared" si="13"/>
        <v>2.1815484630991076E-5</v>
      </c>
      <c r="Y70" s="1">
        <f t="shared" si="18"/>
        <v>68.966666666666669</v>
      </c>
      <c r="Z70" s="1" t="e">
        <f t="shared" si="14"/>
        <v>#DIV/0!</v>
      </c>
      <c r="AA70" s="1">
        <f t="shared" si="15"/>
        <v>15468.504999999999</v>
      </c>
      <c r="AD70" s="1">
        <f t="shared" si="19"/>
        <v>0</v>
      </c>
      <c r="AE70" s="1">
        <f t="shared" si="16"/>
        <v>0</v>
      </c>
      <c r="AG70" s="3">
        <f t="shared" si="20"/>
        <v>1079131.2996168188</v>
      </c>
      <c r="AH70" s="1">
        <f t="shared" si="17"/>
        <v>3.083232284619482</v>
      </c>
    </row>
    <row r="71" spans="1:34" x14ac:dyDescent="0.3">
      <c r="A71" s="2">
        <v>45870</v>
      </c>
      <c r="V71" s="54"/>
      <c r="W71" s="2">
        <f t="shared" si="13"/>
        <v>2.1800741225201658E-5</v>
      </c>
      <c r="Y71" s="1">
        <v>69</v>
      </c>
      <c r="Z71" s="1" t="e">
        <f t="shared" si="14"/>
        <v>#DIV/0!</v>
      </c>
      <c r="AA71" s="1">
        <f t="shared" si="15"/>
        <v>15468.504999999999</v>
      </c>
      <c r="AC71" s="1">
        <f t="shared" ref="AC71:AC130" si="21" xml:space="preserve"> 37836*EXP(-0.026*Y71)</f>
        <v>6291.8870291287758</v>
      </c>
      <c r="AD71" s="1">
        <f t="shared" si="19"/>
        <v>6291.8870291287758</v>
      </c>
      <c r="AE71" s="1">
        <f t="shared" si="16"/>
        <v>1.7976820083225074E-2</v>
      </c>
      <c r="AG71" s="3"/>
      <c r="AH71" s="1">
        <f t="shared" si="17"/>
        <v>0</v>
      </c>
    </row>
    <row r="72" spans="1:34" x14ac:dyDescent="0.3">
      <c r="V72" s="54"/>
      <c r="W72" s="2" t="e">
        <f t="shared" si="13"/>
        <v>#DIV/0!</v>
      </c>
      <c r="Y72" s="1">
        <f>Y71+1</f>
        <v>70</v>
      </c>
      <c r="Z72" s="1" t="e">
        <f t="shared" si="14"/>
        <v>#DIV/0!</v>
      </c>
      <c r="AA72" s="1">
        <f t="shared" si="15"/>
        <v>15468.504999999999</v>
      </c>
      <c r="AC72" s="1">
        <f t="shared" si="21"/>
        <v>6130.406312334314</v>
      </c>
      <c r="AD72" s="1">
        <f t="shared" si="19"/>
        <v>12422.29334146309</v>
      </c>
      <c r="AE72" s="1">
        <f t="shared" si="16"/>
        <v>3.5492266689894539E-2</v>
      </c>
      <c r="AG72" s="3"/>
      <c r="AH72" s="1">
        <f t="shared" si="17"/>
        <v>0</v>
      </c>
    </row>
    <row r="73" spans="1:34" x14ac:dyDescent="0.3">
      <c r="Y73" s="1">
        <f t="shared" ref="Y73:Y136" si="22">Y72+1</f>
        <v>71</v>
      </c>
      <c r="AC73" s="1">
        <f t="shared" si="21"/>
        <v>5973.0699836662961</v>
      </c>
      <c r="AD73" s="1">
        <f t="shared" si="19"/>
        <v>18395.363325129387</v>
      </c>
      <c r="AE73" s="1">
        <f t="shared" si="16"/>
        <v>5.2558180928941108E-2</v>
      </c>
      <c r="AG73" s="3"/>
      <c r="AH73" s="1">
        <f t="shared" si="17"/>
        <v>0</v>
      </c>
    </row>
    <row r="74" spans="1:34" x14ac:dyDescent="0.3">
      <c r="Y74" s="1">
        <f t="shared" si="22"/>
        <v>72</v>
      </c>
      <c r="AC74" s="1">
        <f t="shared" si="21"/>
        <v>5819.7716777748319</v>
      </c>
      <c r="AD74" s="1">
        <f t="shared" si="19"/>
        <v>24215.135002904219</v>
      </c>
      <c r="AE74" s="1">
        <f t="shared" si="16"/>
        <v>6.9186100008297766E-2</v>
      </c>
      <c r="AG74" s="3"/>
      <c r="AH74" s="1">
        <f t="shared" si="17"/>
        <v>0</v>
      </c>
    </row>
    <row r="75" spans="1:34" x14ac:dyDescent="0.3">
      <c r="Y75" s="1">
        <f t="shared" si="22"/>
        <v>73</v>
      </c>
      <c r="AC75" s="1">
        <f t="shared" si="21"/>
        <v>5670.4077591672012</v>
      </c>
      <c r="AD75" s="1">
        <f t="shared" si="19"/>
        <v>29885.542762071418</v>
      </c>
      <c r="AE75" s="1">
        <f t="shared" si="16"/>
        <v>8.5387265034489762E-2</v>
      </c>
      <c r="AG75" s="3"/>
      <c r="AH75" s="1">
        <f t="shared" si="17"/>
        <v>0</v>
      </c>
    </row>
    <row r="76" spans="1:34" x14ac:dyDescent="0.3">
      <c r="Y76" s="1">
        <f t="shared" si="22"/>
        <v>74</v>
      </c>
      <c r="AC76" s="1">
        <f t="shared" si="21"/>
        <v>5524.8772521463225</v>
      </c>
      <c r="AD76" s="1">
        <f t="shared" si="19"/>
        <v>35410.420014217743</v>
      </c>
      <c r="AE76" s="1">
        <f t="shared" si="16"/>
        <v>0.10117262861205069</v>
      </c>
      <c r="AG76" s="3"/>
      <c r="AH76" s="1">
        <f t="shared" si="17"/>
        <v>0</v>
      </c>
    </row>
    <row r="77" spans="1:34" x14ac:dyDescent="0.3">
      <c r="Y77" s="1">
        <f t="shared" si="22"/>
        <v>75</v>
      </c>
      <c r="AC77" s="1">
        <f t="shared" si="21"/>
        <v>5383.081772547328</v>
      </c>
      <c r="AD77" s="1">
        <f t="shared" si="19"/>
        <v>40793.501786765075</v>
      </c>
      <c r="AE77" s="1">
        <f t="shared" si="16"/>
        <v>0.11655286224790021</v>
      </c>
      <c r="AG77" s="3"/>
      <c r="AH77" s="1">
        <f t="shared" si="17"/>
        <v>0</v>
      </c>
    </row>
    <row r="78" spans="1:34" x14ac:dyDescent="0.3">
      <c r="Y78" s="1">
        <f t="shared" si="22"/>
        <v>76</v>
      </c>
      <c r="AC78" s="1">
        <f t="shared" si="21"/>
        <v>5244.9254612261257</v>
      </c>
      <c r="AD78" s="1">
        <f t="shared" si="19"/>
        <v>46038.427247991203</v>
      </c>
      <c r="AE78" s="1">
        <f t="shared" si="16"/>
        <v>0.13153836356568915</v>
      </c>
      <c r="AG78" s="3"/>
      <c r="AH78" s="1">
        <f t="shared" si="17"/>
        <v>0</v>
      </c>
    </row>
    <row r="79" spans="1:34" x14ac:dyDescent="0.3">
      <c r="Y79" s="1">
        <f t="shared" si="22"/>
        <v>77</v>
      </c>
      <c r="AC79" s="1">
        <f t="shared" si="21"/>
        <v>5110.314919254969</v>
      </c>
      <c r="AD79" s="1">
        <f t="shared" si="19"/>
        <v>51148.742167246171</v>
      </c>
      <c r="AE79" s="1">
        <f t="shared" si="16"/>
        <v>0.14613926333498906</v>
      </c>
      <c r="AG79" s="3"/>
      <c r="AH79" s="1">
        <f t="shared" si="17"/>
        <v>0</v>
      </c>
    </row>
    <row r="80" spans="1:34" x14ac:dyDescent="0.3">
      <c r="Y80" s="1">
        <f t="shared" si="22"/>
        <v>78</v>
      </c>
      <c r="AC80" s="1">
        <f t="shared" si="21"/>
        <v>4979.1591447812179</v>
      </c>
      <c r="AD80" s="1">
        <f t="shared" si="19"/>
        <v>56127.901312027388</v>
      </c>
      <c r="AE80" s="1">
        <f t="shared" si="16"/>
        <v>0.16036543232007824</v>
      </c>
      <c r="AG80" s="3"/>
      <c r="AH80" s="1">
        <f t="shared" si="17"/>
        <v>0</v>
      </c>
    </row>
    <row r="81" spans="25:34" x14ac:dyDescent="0.3">
      <c r="Y81" s="1">
        <f t="shared" si="22"/>
        <v>79</v>
      </c>
      <c r="AC81" s="1">
        <f t="shared" si="21"/>
        <v>4851.3694715066331</v>
      </c>
      <c r="AD81" s="1">
        <f t="shared" si="19"/>
        <v>60979.270783534019</v>
      </c>
      <c r="AE81" s="1">
        <f t="shared" si="16"/>
        <v>0.17422648795295434</v>
      </c>
      <c r="AG81" s="3"/>
      <c r="AH81" s="1">
        <f t="shared" si="17"/>
        <v>0</v>
      </c>
    </row>
    <row r="82" spans="25:34" x14ac:dyDescent="0.3">
      <c r="Y82" s="1">
        <f t="shared" si="22"/>
        <v>80</v>
      </c>
      <c r="AC82" s="1">
        <f t="shared" si="21"/>
        <v>4726.8595087455642</v>
      </c>
      <c r="AD82" s="1">
        <f t="shared" si="19"/>
        <v>65706.130292279588</v>
      </c>
      <c r="AE82" s="1">
        <f t="shared" si="16"/>
        <v>0.18773180083508453</v>
      </c>
      <c r="AG82" s="3"/>
      <c r="AH82" s="1">
        <f t="shared" si="17"/>
        <v>0</v>
      </c>
    </row>
    <row r="83" spans="25:34" x14ac:dyDescent="0.3">
      <c r="Y83" s="1">
        <f t="shared" si="22"/>
        <v>81</v>
      </c>
      <c r="AC83" s="1">
        <f t="shared" si="21"/>
        <v>4605.5450830215786</v>
      </c>
      <c r="AD83" s="1">
        <f t="shared" si="19"/>
        <v>70311.675375301173</v>
      </c>
      <c r="AE83" s="1">
        <f t="shared" si="16"/>
        <v>0.20089050107228906</v>
      </c>
      <c r="AG83" s="3"/>
      <c r="AH83" s="1">
        <f t="shared" si="17"/>
        <v>0</v>
      </c>
    </row>
    <row r="84" spans="25:34" x14ac:dyDescent="0.3">
      <c r="Y84" s="1">
        <f t="shared" si="22"/>
        <v>82</v>
      </c>
      <c r="AC84" s="1">
        <f t="shared" si="21"/>
        <v>4487.3441811629646</v>
      </c>
      <c r="AD84" s="1">
        <f t="shared" si="19"/>
        <v>74799.019556464133</v>
      </c>
      <c r="AE84" s="1">
        <f t="shared" si="16"/>
        <v>0.21371148444704038</v>
      </c>
      <c r="AG84" s="3"/>
      <c r="AH84" s="1">
        <f t="shared" si="17"/>
        <v>0</v>
      </c>
    </row>
    <row r="85" spans="25:34" x14ac:dyDescent="0.3">
      <c r="Y85" s="1">
        <f t="shared" si="22"/>
        <v>83</v>
      </c>
      <c r="AC85" s="1">
        <f t="shared" si="21"/>
        <v>4372.1768948587178</v>
      </c>
      <c r="AD85" s="1">
        <f t="shared" si="19"/>
        <v>79171.196451322845</v>
      </c>
      <c r="AE85" s="1">
        <f t="shared" si="16"/>
        <v>0.22620341843235098</v>
      </c>
      <c r="AG85" s="3"/>
      <c r="AH85" s="1">
        <f t="shared" si="17"/>
        <v>0</v>
      </c>
    </row>
    <row r="86" spans="25:34" x14ac:dyDescent="0.3">
      <c r="Y86" s="1">
        <f t="shared" si="22"/>
        <v>84</v>
      </c>
      <c r="AC86" s="1">
        <f t="shared" si="21"/>
        <v>4259.9653666374725</v>
      </c>
      <c r="AD86" s="1">
        <f t="shared" si="19"/>
        <v>83431.161817960325</v>
      </c>
      <c r="AE86" s="1">
        <f t="shared" si="16"/>
        <v>0.23837474805131523</v>
      </c>
      <c r="AG86" s="3"/>
      <c r="AH86" s="1">
        <f t="shared" si="17"/>
        <v>0</v>
      </c>
    </row>
    <row r="87" spans="25:34" x14ac:dyDescent="0.3">
      <c r="Y87" s="1">
        <f t="shared" si="22"/>
        <v>85</v>
      </c>
      <c r="AC87" s="1">
        <f t="shared" si="21"/>
        <v>4150.6337372328899</v>
      </c>
      <c r="AD87" s="1">
        <f t="shared" si="19"/>
        <v>87581.79555519321</v>
      </c>
      <c r="AE87" s="1">
        <f t="shared" si="16"/>
        <v>0.25023370158626629</v>
      </c>
      <c r="AG87" s="3"/>
      <c r="AH87" s="1">
        <f t="shared" si="17"/>
        <v>0</v>
      </c>
    </row>
    <row r="88" spans="25:34" x14ac:dyDescent="0.3">
      <c r="Y88" s="1">
        <f t="shared" si="22"/>
        <v>86</v>
      </c>
      <c r="AC88" s="1">
        <f t="shared" si="21"/>
        <v>4044.1080942999065</v>
      </c>
      <c r="AD88" s="1">
        <f t="shared" si="19"/>
        <v>91625.903649493121</v>
      </c>
      <c r="AE88" s="1">
        <f t="shared" si="16"/>
        <v>0.26178829614140892</v>
      </c>
      <c r="AG88" s="3"/>
      <c r="AH88" s="1">
        <f t="shared" si="17"/>
        <v>0</v>
      </c>
    </row>
    <row r="89" spans="25:34" x14ac:dyDescent="0.3">
      <c r="Y89" s="1">
        <f t="shared" si="22"/>
        <v>87</v>
      </c>
      <c r="AC89" s="1">
        <f t="shared" si="21"/>
        <v>3940.3164224471666</v>
      </c>
      <c r="AD89" s="1">
        <f t="shared" si="19"/>
        <v>95566.22007194029</v>
      </c>
      <c r="AE89" s="1">
        <f t="shared" si="16"/>
        <v>0.27304634306268655</v>
      </c>
      <c r="AG89" s="3"/>
      <c r="AH89" s="1">
        <f t="shared" si="17"/>
        <v>0</v>
      </c>
    </row>
    <row r="90" spans="25:34" x14ac:dyDescent="0.3">
      <c r="Y90" s="1">
        <f t="shared" si="22"/>
        <v>88</v>
      </c>
      <c r="AC90" s="1">
        <f t="shared" si="21"/>
        <v>3839.1885545518876</v>
      </c>
      <c r="AD90" s="1">
        <f t="shared" si="19"/>
        <v>99405.408626492179</v>
      </c>
      <c r="AE90" s="1">
        <f t="shared" si="16"/>
        <v>0.28401545321854904</v>
      </c>
      <c r="AG90" s="3"/>
      <c r="AH90" s="1">
        <f t="shared" si="17"/>
        <v>0</v>
      </c>
    </row>
    <row r="91" spans="25:34" x14ac:dyDescent="0.3">
      <c r="Y91" s="1">
        <f t="shared" si="22"/>
        <v>89</v>
      </c>
      <c r="AC91" s="1">
        <f t="shared" si="21"/>
        <v>3740.6561243241977</v>
      </c>
      <c r="AD91" s="1">
        <f t="shared" si="19"/>
        <v>103146.06475081638</v>
      </c>
      <c r="AE91" s="1">
        <f t="shared" si="16"/>
        <v>0.29470304214518966</v>
      </c>
      <c r="AG91" s="3"/>
      <c r="AH91" s="1">
        <f t="shared" si="17"/>
        <v>0</v>
      </c>
    </row>
    <row r="92" spans="25:34" x14ac:dyDescent="0.3">
      <c r="Y92" s="1">
        <f t="shared" si="22"/>
        <v>90</v>
      </c>
      <c r="AC92" s="1">
        <f t="shared" si="21"/>
        <v>3644.6525200889346</v>
      </c>
      <c r="AD92" s="1">
        <f t="shared" si="19"/>
        <v>106790.71727090531</v>
      </c>
      <c r="AE92" s="1">
        <f t="shared" si="16"/>
        <v>0.30511633505972946</v>
      </c>
      <c r="AG92" s="3"/>
      <c r="AH92" s="1">
        <f t="shared" si="17"/>
        <v>0</v>
      </c>
    </row>
    <row r="93" spans="25:34" x14ac:dyDescent="0.3">
      <c r="Y93" s="1">
        <f t="shared" si="22"/>
        <v>91</v>
      </c>
      <c r="AC93" s="1">
        <f t="shared" si="21"/>
        <v>3551.1128397536049</v>
      </c>
      <c r="AD93" s="1">
        <f t="shared" si="19"/>
        <v>110341.83011065892</v>
      </c>
      <c r="AE93" s="1">
        <f t="shared" si="16"/>
        <v>0.31526237174473981</v>
      </c>
      <c r="AG93" s="3"/>
      <c r="AH93" s="1">
        <f t="shared" si="17"/>
        <v>0</v>
      </c>
    </row>
    <row r="94" spans="25:34" x14ac:dyDescent="0.3">
      <c r="Y94" s="1">
        <f t="shared" si="22"/>
        <v>92</v>
      </c>
      <c r="AC94" s="1">
        <f t="shared" si="21"/>
        <v>3459.9738469321096</v>
      </c>
      <c r="AD94" s="1">
        <f t="shared" si="19"/>
        <v>113801.80395759104</v>
      </c>
      <c r="AE94" s="1">
        <f t="shared" si="16"/>
        <v>0.32514801130740295</v>
      </c>
      <c r="AG94" s="3"/>
      <c r="AH94" s="1">
        <f t="shared" si="17"/>
        <v>0</v>
      </c>
    </row>
    <row r="95" spans="25:34" x14ac:dyDescent="0.3">
      <c r="Y95" s="1">
        <f t="shared" si="22"/>
        <v>93</v>
      </c>
      <c r="AC95" s="1">
        <f t="shared" si="21"/>
        <v>3371.173928194527</v>
      </c>
      <c r="AD95" s="1">
        <f t="shared" si="19"/>
        <v>117172.97788578557</v>
      </c>
      <c r="AE95" s="1">
        <f t="shared" si="16"/>
        <v>0.33477993681653018</v>
      </c>
      <c r="AG95" s="3"/>
      <c r="AH95" s="1">
        <f t="shared" si="17"/>
        <v>0</v>
      </c>
    </row>
    <row r="96" spans="25:34" x14ac:dyDescent="0.3">
      <c r="Y96" s="1">
        <f t="shared" si="22"/>
        <v>94</v>
      </c>
      <c r="AC96" s="1">
        <f t="shared" si="21"/>
        <v>3284.6530514140932</v>
      </c>
      <c r="AD96" s="1">
        <f t="shared" si="19"/>
        <v>120457.63093719966</v>
      </c>
      <c r="AE96" s="1">
        <f t="shared" si="16"/>
        <v>0.34416465982057048</v>
      </c>
      <c r="AG96" s="3"/>
      <c r="AH96" s="1">
        <f t="shared" si="17"/>
        <v>0</v>
      </c>
    </row>
    <row r="97" spans="25:34" x14ac:dyDescent="0.3">
      <c r="Y97" s="1">
        <f t="shared" si="22"/>
        <v>95</v>
      </c>
      <c r="AC97" s="1">
        <f t="shared" si="21"/>
        <v>3200.3527251832033</v>
      </c>
      <c r="AD97" s="1">
        <f t="shared" si="19"/>
        <v>123657.98366238286</v>
      </c>
      <c r="AE97" s="1">
        <f t="shared" si="16"/>
        <v>0.35330852474966534</v>
      </c>
      <c r="AG97" s="3"/>
      <c r="AH97" s="1">
        <f t="shared" si="17"/>
        <v>0</v>
      </c>
    </row>
    <row r="98" spans="25:34" x14ac:dyDescent="0.3">
      <c r="Y98" s="1">
        <f t="shared" si="22"/>
        <v>96</v>
      </c>
      <c r="AC98" s="1">
        <f t="shared" si="21"/>
        <v>3118.2159592709804</v>
      </c>
      <c r="AD98" s="1">
        <f t="shared" si="19"/>
        <v>126776.19962165384</v>
      </c>
      <c r="AE98" s="1">
        <f t="shared" si="16"/>
        <v>0.36221771320472523</v>
      </c>
      <c r="AG98" s="3"/>
      <c r="AH98" s="1">
        <f t="shared" si="17"/>
        <v>0</v>
      </c>
    </row>
    <row r="99" spans="25:34" x14ac:dyDescent="0.3">
      <c r="Y99" s="1">
        <f t="shared" si="22"/>
        <v>97</v>
      </c>
      <c r="AC99" s="1">
        <f t="shared" si="21"/>
        <v>3038.1872260957234</v>
      </c>
      <c r="AD99" s="1">
        <f t="shared" si="19"/>
        <v>129814.38684774956</v>
      </c>
      <c r="AE99" s="1">
        <f t="shared" si="16"/>
        <v>0.3708982481364273</v>
      </c>
      <c r="AG99" s="3"/>
      <c r="AH99" s="1">
        <f t="shared" si="17"/>
        <v>0</v>
      </c>
    </row>
    <row r="100" spans="25:34" x14ac:dyDescent="0.3">
      <c r="Y100" s="1">
        <f t="shared" si="22"/>
        <v>98</v>
      </c>
      <c r="AC100" s="1">
        <f t="shared" si="21"/>
        <v>2960.2124231861335</v>
      </c>
      <c r="AD100" s="1">
        <f t="shared" si="19"/>
        <v>132774.59927093569</v>
      </c>
      <c r="AE100" s="1">
        <f t="shared" si="16"/>
        <v>0.37935599791695912</v>
      </c>
      <c r="AG100" s="3"/>
      <c r="AH100" s="1">
        <f t="shared" si="17"/>
        <v>0</v>
      </c>
    </row>
    <row r="101" spans="25:34" x14ac:dyDescent="0.3">
      <c r="Y101" s="1">
        <f t="shared" si="22"/>
        <v>99</v>
      </c>
      <c r="AC101" s="1">
        <f t="shared" si="21"/>
        <v>2884.2388366059949</v>
      </c>
      <c r="AD101" s="1">
        <f t="shared" si="19"/>
        <v>135658.8381075417</v>
      </c>
      <c r="AE101" s="1">
        <f t="shared" si="16"/>
        <v>0.38759668030726202</v>
      </c>
      <c r="AG101" s="3"/>
      <c r="AH101" s="1">
        <f t="shared" si="17"/>
        <v>0</v>
      </c>
    </row>
    <row r="102" spans="25:34" x14ac:dyDescent="0.3">
      <c r="Y102" s="1">
        <f t="shared" si="22"/>
        <v>100</v>
      </c>
      <c r="AC102" s="1">
        <f t="shared" si="21"/>
        <v>2810.2151053175367</v>
      </c>
      <c r="AD102" s="1">
        <f t="shared" si="19"/>
        <v>138469.05321285923</v>
      </c>
      <c r="AE102" s="1">
        <f t="shared" si="16"/>
        <v>0.39562586632245494</v>
      </c>
      <c r="AG102" s="3"/>
      <c r="AH102" s="1">
        <f t="shared" si="17"/>
        <v>0</v>
      </c>
    </row>
    <row r="103" spans="25:34" x14ac:dyDescent="0.3">
      <c r="Y103" s="1">
        <f t="shared" si="22"/>
        <v>101</v>
      </c>
      <c r="AC103" s="1">
        <f t="shared" si="21"/>
        <v>2738.0911864594232</v>
      </c>
      <c r="AD103" s="1">
        <f t="shared" si="19"/>
        <v>141207.14439931864</v>
      </c>
      <c r="AE103" s="1">
        <f t="shared" si="16"/>
        <v>0.40344898399805323</v>
      </c>
      <c r="AG103" s="3"/>
      <c r="AH103" s="1">
        <f t="shared" si="17"/>
        <v>0</v>
      </c>
    </row>
    <row r="104" spans="25:34" x14ac:dyDescent="0.3">
      <c r="Y104" s="1">
        <f t="shared" si="22"/>
        <v>102</v>
      </c>
      <c r="AC104" s="1">
        <f t="shared" si="21"/>
        <v>2667.8183215158692</v>
      </c>
      <c r="AD104" s="1">
        <f t="shared" si="19"/>
        <v>143874.9627208345</v>
      </c>
      <c r="AE104" s="1">
        <f t="shared" si="16"/>
        <v>0.41107132205952712</v>
      </c>
      <c r="AG104" s="3"/>
      <c r="AH104" s="1">
        <f t="shared" si="17"/>
        <v>0</v>
      </c>
    </row>
    <row r="105" spans="25:34" x14ac:dyDescent="0.3">
      <c r="Y105" s="1">
        <f t="shared" si="22"/>
        <v>103</v>
      </c>
      <c r="AC105" s="1">
        <f t="shared" si="21"/>
        <v>2599.349003354027</v>
      </c>
      <c r="AD105" s="1">
        <f t="shared" si="19"/>
        <v>146474.31172418853</v>
      </c>
      <c r="AE105" s="1">
        <f t="shared" si="16"/>
        <v>0.4184980334976815</v>
      </c>
      <c r="AG105" s="3"/>
      <c r="AH105" s="1">
        <f t="shared" si="17"/>
        <v>0</v>
      </c>
    </row>
    <row r="106" spans="25:34" x14ac:dyDescent="0.3">
      <c r="Y106" s="1">
        <f t="shared" si="22"/>
        <v>104</v>
      </c>
      <c r="AC106" s="1">
        <f t="shared" si="21"/>
        <v>2532.6369441073598</v>
      </c>
      <c r="AD106" s="1">
        <f t="shared" si="19"/>
        <v>149006.9486682959</v>
      </c>
      <c r="AE106" s="1">
        <f t="shared" si="16"/>
        <v>0.42573413905227397</v>
      </c>
      <c r="AG106" s="3"/>
      <c r="AH106" s="1">
        <f t="shared" si="17"/>
        <v>0</v>
      </c>
    </row>
    <row r="107" spans="25:34" x14ac:dyDescent="0.3">
      <c r="Y107" s="1">
        <f t="shared" si="22"/>
        <v>105</v>
      </c>
      <c r="AC107" s="1">
        <f t="shared" si="21"/>
        <v>2467.6370438832732</v>
      </c>
      <c r="AD107" s="1">
        <f t="shared" si="19"/>
        <v>151474.58571217916</v>
      </c>
      <c r="AE107" s="1">
        <f t="shared" si="16"/>
        <v>0.43278453060622618</v>
      </c>
      <c r="AG107" s="3"/>
      <c r="AH107" s="1">
        <f t="shared" si="17"/>
        <v>0</v>
      </c>
    </row>
    <row r="108" spans="25:34" x14ac:dyDescent="0.3">
      <c r="Y108" s="1">
        <f t="shared" si="22"/>
        <v>106</v>
      </c>
      <c r="AC108" s="1">
        <f t="shared" si="21"/>
        <v>2404.3053602738787</v>
      </c>
      <c r="AD108" s="1">
        <f t="shared" si="19"/>
        <v>153878.89107245303</v>
      </c>
      <c r="AE108" s="1">
        <f t="shared" si="16"/>
        <v>0.43965397449272298</v>
      </c>
      <c r="AG108" s="3"/>
      <c r="AH108" s="1">
        <f t="shared" si="17"/>
        <v>0</v>
      </c>
    </row>
    <row r="109" spans="25:34" x14ac:dyDescent="0.3">
      <c r="Y109" s="1">
        <f t="shared" si="22"/>
        <v>107</v>
      </c>
      <c r="AC109" s="1">
        <f t="shared" si="21"/>
        <v>2342.5990786492453</v>
      </c>
      <c r="AD109" s="1">
        <f t="shared" si="19"/>
        <v>156221.49015110228</v>
      </c>
      <c r="AE109" s="1">
        <f t="shared" si="16"/>
        <v>0.4463471147174351</v>
      </c>
      <c r="AG109" s="3"/>
      <c r="AH109" s="1">
        <f t="shared" si="17"/>
        <v>0</v>
      </c>
    </row>
    <row r="110" spans="25:34" x14ac:dyDescent="0.3">
      <c r="Y110" s="1">
        <f t="shared" si="22"/>
        <v>108</v>
      </c>
      <c r="AC110" s="1">
        <f t="shared" si="21"/>
        <v>2282.4764832130868</v>
      </c>
      <c r="AD110" s="1">
        <f t="shared" si="19"/>
        <v>158503.96663431535</v>
      </c>
      <c r="AE110" s="1">
        <f t="shared" si="16"/>
        <v>0.45286847609804387</v>
      </c>
      <c r="AG110" s="3"/>
      <c r="AH110" s="1">
        <f t="shared" si="17"/>
        <v>0</v>
      </c>
    </row>
    <row r="111" spans="25:34" x14ac:dyDescent="0.3">
      <c r="Y111" s="1">
        <f t="shared" si="22"/>
        <v>109</v>
      </c>
      <c r="AC111" s="1">
        <f t="shared" si="21"/>
        <v>2223.8969288012854</v>
      </c>
      <c r="AD111" s="1">
        <f t="shared" si="19"/>
        <v>160727.86356311664</v>
      </c>
      <c r="AE111" s="1">
        <f t="shared" si="16"/>
        <v>0.45922246732319039</v>
      </c>
      <c r="AG111" s="3"/>
      <c r="AH111" s="1">
        <f t="shared" si="17"/>
        <v>0</v>
      </c>
    </row>
    <row r="112" spans="25:34" x14ac:dyDescent="0.3">
      <c r="Y112" s="1">
        <f t="shared" si="22"/>
        <v>110</v>
      </c>
      <c r="AC112" s="1">
        <f t="shared" si="21"/>
        <v>2166.8208134042229</v>
      </c>
      <c r="AD112" s="1">
        <f t="shared" si="19"/>
        <v>162894.68437652086</v>
      </c>
      <c r="AE112" s="1">
        <f t="shared" si="16"/>
        <v>0.46541338393291676</v>
      </c>
      <c r="AG112" s="3"/>
      <c r="AH112" s="1">
        <f t="shared" si="17"/>
        <v>0</v>
      </c>
    </row>
    <row r="113" spans="25:34" x14ac:dyDescent="0.3">
      <c r="Y113" s="1">
        <f t="shared" si="22"/>
        <v>111</v>
      </c>
      <c r="AC113" s="1">
        <f t="shared" si="21"/>
        <v>2111.2095513943073</v>
      </c>
      <c r="AD113" s="1">
        <f t="shared" si="19"/>
        <v>165005.89392791517</v>
      </c>
      <c r="AE113" s="1">
        <f t="shared" si="16"/>
        <v>0.4714454112226148</v>
      </c>
      <c r="AG113" s="3"/>
      <c r="AH113" s="1">
        <f t="shared" si="17"/>
        <v>0</v>
      </c>
    </row>
    <row r="114" spans="25:34" x14ac:dyDescent="0.3">
      <c r="Y114" s="1">
        <f t="shared" si="22"/>
        <v>112</v>
      </c>
      <c r="AC114" s="1">
        <f t="shared" si="21"/>
        <v>2057.025547440619</v>
      </c>
      <c r="AD114" s="1">
        <f t="shared" si="19"/>
        <v>167062.9194753558</v>
      </c>
      <c r="AE114" s="1">
        <f t="shared" si="16"/>
        <v>0.47732262707244516</v>
      </c>
      <c r="AG114" s="3"/>
      <c r="AH114" s="1">
        <f t="shared" si="17"/>
        <v>0</v>
      </c>
    </row>
    <row r="115" spans="25:34" x14ac:dyDescent="0.3">
      <c r="Y115" s="1">
        <f t="shared" si="22"/>
        <v>113</v>
      </c>
      <c r="AC115" s="1">
        <f t="shared" si="21"/>
        <v>2004.2321710930428</v>
      </c>
      <c r="AD115" s="1">
        <f t="shared" si="19"/>
        <v>169067.15164644885</v>
      </c>
      <c r="AE115" s="1">
        <f t="shared" si="16"/>
        <v>0.48304900470413958</v>
      </c>
      <c r="AG115" s="3"/>
      <c r="AH115" s="1">
        <f t="shared" si="17"/>
        <v>0</v>
      </c>
    </row>
    <row r="116" spans="25:34" x14ac:dyDescent="0.3">
      <c r="Y116" s="1">
        <f t="shared" si="22"/>
        <v>114</v>
      </c>
      <c r="AC116" s="1">
        <f t="shared" si="21"/>
        <v>1952.7937320186775</v>
      </c>
      <c r="AD116" s="1">
        <f t="shared" si="19"/>
        <v>171019.94537846753</v>
      </c>
      <c r="AE116" s="1">
        <f t="shared" si="16"/>
        <v>0.48862841536705004</v>
      </c>
      <c r="AG116" s="3"/>
      <c r="AH116" s="1">
        <f t="shared" si="17"/>
        <v>0</v>
      </c>
    </row>
    <row r="117" spans="25:34" x14ac:dyDescent="0.3">
      <c r="Y117" s="1">
        <f t="shared" si="22"/>
        <v>115</v>
      </c>
      <c r="AC117" s="1">
        <f t="shared" si="21"/>
        <v>1902.6754558738226</v>
      </c>
      <c r="AD117" s="1">
        <f t="shared" si="19"/>
        <v>172922.62083434136</v>
      </c>
      <c r="AE117" s="1">
        <f t="shared" si="16"/>
        <v>0.49406463095526099</v>
      </c>
      <c r="AG117" s="3"/>
      <c r="AH117" s="1">
        <f t="shared" si="17"/>
        <v>0</v>
      </c>
    </row>
    <row r="118" spans="25:34" x14ac:dyDescent="0.3">
      <c r="Y118" s="1">
        <f t="shared" si="22"/>
        <v>116</v>
      </c>
      <c r="AC118" s="1">
        <f t="shared" si="21"/>
        <v>1853.8434607951885</v>
      </c>
      <c r="AD118" s="1">
        <f t="shared" si="19"/>
        <v>174776.46429513654</v>
      </c>
      <c r="AE118" s="1">
        <f t="shared" si="16"/>
        <v>0.49936132655753301</v>
      </c>
      <c r="AG118" s="3"/>
      <c r="AH118" s="1">
        <f t="shared" si="17"/>
        <v>0</v>
      </c>
    </row>
    <row r="119" spans="25:34" x14ac:dyDescent="0.3">
      <c r="Y119" s="1">
        <f t="shared" si="22"/>
        <v>117</v>
      </c>
      <c r="AC119" s="1">
        <f t="shared" si="21"/>
        <v>1806.2647344944744</v>
      </c>
      <c r="AD119" s="1">
        <f t="shared" si="19"/>
        <v>176582.72902963101</v>
      </c>
      <c r="AE119" s="1">
        <f t="shared" si="16"/>
        <v>0.5045220829418029</v>
      </c>
      <c r="AG119" s="3"/>
      <c r="AH119" s="1">
        <f t="shared" si="17"/>
        <v>0</v>
      </c>
    </row>
    <row r="120" spans="25:34" x14ac:dyDescent="0.3">
      <c r="Y120" s="1">
        <f t="shared" si="22"/>
        <v>118</v>
      </c>
      <c r="AC120" s="1">
        <f t="shared" si="21"/>
        <v>1759.907111940797</v>
      </c>
      <c r="AD120" s="1">
        <f t="shared" si="19"/>
        <v>178342.6361415718</v>
      </c>
      <c r="AE120" s="1">
        <f t="shared" si="16"/>
        <v>0.50955038897591942</v>
      </c>
      <c r="AG120" s="3"/>
      <c r="AH120" s="1">
        <f t="shared" si="17"/>
        <v>0</v>
      </c>
    </row>
    <row r="121" spans="25:34" x14ac:dyDescent="0.3">
      <c r="Y121" s="1">
        <f t="shared" si="22"/>
        <v>119</v>
      </c>
      <c r="AC121" s="1">
        <f t="shared" si="21"/>
        <v>1714.739253615912</v>
      </c>
      <c r="AD121" s="1">
        <f t="shared" si="19"/>
        <v>180057.3753951877</v>
      </c>
      <c r="AE121" s="1">
        <f t="shared" si="16"/>
        <v>0.51444964398625059</v>
      </c>
      <c r="AG121" s="3"/>
      <c r="AH121" s="1">
        <f t="shared" si="17"/>
        <v>0</v>
      </c>
    </row>
    <row r="122" spans="25:34" x14ac:dyDescent="0.3">
      <c r="Y122" s="1">
        <f t="shared" si="22"/>
        <v>120</v>
      </c>
      <c r="AC122" s="1">
        <f t="shared" si="21"/>
        <v>1670.7306243274998</v>
      </c>
      <c r="AD122" s="1">
        <f t="shared" si="19"/>
        <v>181728.10601951519</v>
      </c>
      <c r="AE122" s="1">
        <f t="shared" si="16"/>
        <v>0.51922316005575775</v>
      </c>
      <c r="AG122" s="3"/>
      <c r="AH122" s="1">
        <f t="shared" si="17"/>
        <v>0</v>
      </c>
    </row>
    <row r="123" spans="25:34" x14ac:dyDescent="0.3">
      <c r="Y123" s="1">
        <f t="shared" si="22"/>
        <v>121</v>
      </c>
      <c r="AC123" s="1">
        <f t="shared" si="21"/>
        <v>1627.851472566216</v>
      </c>
      <c r="AD123" s="1">
        <f t="shared" si="19"/>
        <v>183355.95749208142</v>
      </c>
      <c r="AE123" s="1">
        <f t="shared" si="16"/>
        <v>0.52387416426308975</v>
      </c>
      <c r="AG123" s="3"/>
      <c r="AH123" s="1">
        <f t="shared" si="17"/>
        <v>0</v>
      </c>
    </row>
    <row r="124" spans="25:34" x14ac:dyDescent="0.3">
      <c r="Y124" s="1">
        <f t="shared" si="22"/>
        <v>122</v>
      </c>
      <c r="AC124" s="1">
        <f t="shared" si="21"/>
        <v>1586.0728103925389</v>
      </c>
      <c r="AD124" s="1">
        <f t="shared" si="19"/>
        <v>184942.03030247396</v>
      </c>
      <c r="AE124" s="1">
        <f t="shared" si="16"/>
        <v>0.52840580086421129</v>
      </c>
      <c r="AG124" s="3"/>
      <c r="AH124" s="1">
        <f t="shared" si="17"/>
        <v>0</v>
      </c>
    </row>
    <row r="125" spans="25:34" x14ac:dyDescent="0.3">
      <c r="Y125" s="1">
        <f t="shared" si="22"/>
        <v>123</v>
      </c>
      <c r="AC125" s="1">
        <f t="shared" si="21"/>
        <v>1545.3663938398149</v>
      </c>
      <c r="AD125" s="1">
        <f t="shared" si="19"/>
        <v>186487.39669631378</v>
      </c>
      <c r="AE125" s="1">
        <f t="shared" si="16"/>
        <v>0.53282113341803938</v>
      </c>
      <c r="AG125" s="3"/>
      <c r="AH125" s="1">
        <f t="shared" si="17"/>
        <v>0</v>
      </c>
    </row>
    <row r="126" spans="25:34" x14ac:dyDescent="0.3">
      <c r="Y126" s="1">
        <f t="shared" si="22"/>
        <v>124</v>
      </c>
      <c r="AC126" s="1">
        <f t="shared" si="21"/>
        <v>1505.7047038202661</v>
      </c>
      <c r="AD126" s="1">
        <f t="shared" si="19"/>
        <v>187993.10140013404</v>
      </c>
      <c r="AE126" s="1">
        <f t="shared" si="16"/>
        <v>0.53712314685752582</v>
      </c>
      <c r="AG126" s="3"/>
      <c r="AH126" s="1">
        <f t="shared" si="17"/>
        <v>0</v>
      </c>
    </row>
    <row r="127" spans="25:34" x14ac:dyDescent="0.3">
      <c r="Y127" s="1">
        <f t="shared" si="22"/>
        <v>125</v>
      </c>
      <c r="AC127" s="1">
        <f t="shared" si="21"/>
        <v>1467.0609275210338</v>
      </c>
      <c r="AD127" s="1">
        <f t="shared" si="19"/>
        <v>189460.16232765507</v>
      </c>
      <c r="AE127" s="1">
        <f t="shared" si="16"/>
        <v>0.54131474950758596</v>
      </c>
      <c r="AG127" s="3"/>
      <c r="AH127" s="1">
        <f t="shared" si="17"/>
        <v>0</v>
      </c>
    </row>
    <row r="128" spans="25:34" x14ac:dyDescent="0.3">
      <c r="Y128" s="1">
        <f t="shared" si="22"/>
        <v>126</v>
      </c>
      <c r="AC128" s="1">
        <f t="shared" si="21"/>
        <v>1429.4089402777017</v>
      </c>
      <c r="AD128" s="1">
        <f t="shared" si="19"/>
        <v>190889.57126793277</v>
      </c>
      <c r="AE128" s="1">
        <f t="shared" si="16"/>
        <v>0.54539877505123646</v>
      </c>
      <c r="AG128" s="3"/>
      <c r="AH128" s="1">
        <f t="shared" si="17"/>
        <v>0</v>
      </c>
    </row>
    <row r="129" spans="25:34" x14ac:dyDescent="0.3">
      <c r="Y129" s="1">
        <f t="shared" si="22"/>
        <v>127</v>
      </c>
      <c r="AC129" s="1">
        <f t="shared" si="21"/>
        <v>1392.7232879130217</v>
      </c>
      <c r="AD129" s="1">
        <f t="shared" si="19"/>
        <v>192282.29455584579</v>
      </c>
      <c r="AE129" s="1">
        <f t="shared" si="16"/>
        <v>0.54937798444527364</v>
      </c>
      <c r="AG129" s="3"/>
      <c r="AH129" s="1">
        <f t="shared" si="17"/>
        <v>0</v>
      </c>
    </row>
    <row r="130" spans="25:34" x14ac:dyDescent="0.3">
      <c r="Y130" s="1">
        <f t="shared" si="22"/>
        <v>128</v>
      </c>
      <c r="AC130" s="1">
        <f t="shared" si="21"/>
        <v>1356.9791695289261</v>
      </c>
      <c r="AD130" s="1">
        <f t="shared" si="19"/>
        <v>193639.27372537472</v>
      </c>
      <c r="AE130" s="1">
        <f t="shared" si="16"/>
        <v>0.5532550677867849</v>
      </c>
      <c r="AG130" s="3"/>
      <c r="AH130" s="1">
        <f t="shared" si="17"/>
        <v>0</v>
      </c>
    </row>
    <row r="131" spans="25:34" x14ac:dyDescent="0.3">
      <c r="Y131" s="1">
        <f t="shared" si="22"/>
        <v>129</v>
      </c>
      <c r="AC131" s="1">
        <f t="shared" ref="AC131:AC194" si="23" xml:space="preserve"> 37836*EXP(-0.026*Y131)</f>
        <v>1322.1524207401728</v>
      </c>
      <c r="AD131" s="1">
        <f t="shared" si="19"/>
        <v>194961.42614611489</v>
      </c>
      <c r="AE131" s="1">
        <f t="shared" ref="AE131:AE194" si="24">(AD131*100)/(35*10^6)</f>
        <v>0.55703264613175685</v>
      </c>
      <c r="AG131" s="3"/>
      <c r="AH131" s="1">
        <f t="shared" ref="AH131:AH194" si="25">(AG131*100)/(35*10^6)</f>
        <v>0</v>
      </c>
    </row>
    <row r="132" spans="25:34" x14ac:dyDescent="0.3">
      <c r="Y132" s="1">
        <f t="shared" si="22"/>
        <v>130</v>
      </c>
      <c r="AC132" s="1">
        <f t="shared" si="23"/>
        <v>1288.2194973383007</v>
      </c>
      <c r="AD132" s="1">
        <f t="shared" ref="AD132:AD195" si="26">AD131+AC132</f>
        <v>196249.64564345317</v>
      </c>
      <c r="AE132" s="1">
        <f t="shared" si="24"/>
        <v>0.56071327326700915</v>
      </c>
      <c r="AG132" s="3"/>
      <c r="AH132" s="1">
        <f t="shared" si="25"/>
        <v>0</v>
      </c>
    </row>
    <row r="133" spans="25:34" x14ac:dyDescent="0.3">
      <c r="Y133" s="1">
        <f t="shared" si="22"/>
        <v>131</v>
      </c>
      <c r="AC133" s="1">
        <f t="shared" si="23"/>
        <v>1255.1574593748517</v>
      </c>
      <c r="AD133" s="1">
        <f t="shared" si="26"/>
        <v>197504.80310282801</v>
      </c>
      <c r="AE133" s="1">
        <f t="shared" si="24"/>
        <v>0.56429943743665145</v>
      </c>
      <c r="AG133" s="3"/>
      <c r="AH133" s="1">
        <f t="shared" si="25"/>
        <v>0</v>
      </c>
    </row>
    <row r="134" spans="25:34" x14ac:dyDescent="0.3">
      <c r="Y134" s="1">
        <f t="shared" si="22"/>
        <v>132</v>
      </c>
      <c r="AC134" s="1">
        <f t="shared" si="23"/>
        <v>1222.9439556530858</v>
      </c>
      <c r="AD134" s="1">
        <f t="shared" si="26"/>
        <v>198727.74705848109</v>
      </c>
      <c r="AE134" s="1">
        <f t="shared" si="24"/>
        <v>0.56779356302423167</v>
      </c>
      <c r="AG134" s="3"/>
      <c r="AH134" s="1">
        <f t="shared" si="25"/>
        <v>0</v>
      </c>
    </row>
    <row r="135" spans="25:34" x14ac:dyDescent="0.3">
      <c r="Y135" s="1">
        <f t="shared" si="22"/>
        <v>133</v>
      </c>
      <c r="AC135" s="1">
        <f t="shared" si="23"/>
        <v>1191.5572086177281</v>
      </c>
      <c r="AD135" s="1">
        <f t="shared" si="26"/>
        <v>199919.30426709884</v>
      </c>
      <c r="AE135" s="1">
        <f t="shared" si="24"/>
        <v>0.57119801219171096</v>
      </c>
      <c r="AG135" s="3"/>
      <c r="AH135" s="1">
        <f t="shared" si="25"/>
        <v>0</v>
      </c>
    </row>
    <row r="136" spans="25:34" x14ac:dyDescent="0.3">
      <c r="Y136" s="1">
        <f t="shared" si="22"/>
        <v>134</v>
      </c>
      <c r="AC136" s="1">
        <f t="shared" si="23"/>
        <v>1160.9759996325049</v>
      </c>
      <c r="AD136" s="1">
        <f t="shared" si="26"/>
        <v>201080.28026673134</v>
      </c>
      <c r="AE136" s="1">
        <f t="shared" si="24"/>
        <v>0.57451508647637528</v>
      </c>
      <c r="AG136" s="3"/>
      <c r="AH136" s="1">
        <f t="shared" si="25"/>
        <v>0</v>
      </c>
    </row>
    <row r="137" spans="25:34" x14ac:dyDescent="0.3">
      <c r="Y137" s="1">
        <f t="shared" ref="Y137:Y200" si="27">Y136+1</f>
        <v>135</v>
      </c>
      <c r="AC137" s="1">
        <f t="shared" si="23"/>
        <v>1131.1796546355442</v>
      </c>
      <c r="AD137" s="1">
        <f t="shared" si="26"/>
        <v>202211.45992136688</v>
      </c>
      <c r="AE137" s="1">
        <f t="shared" si="24"/>
        <v>0.5777470283467625</v>
      </c>
      <c r="AG137" s="3"/>
      <c r="AH137" s="1">
        <f t="shared" si="25"/>
        <v>0</v>
      </c>
    </row>
    <row r="138" spans="25:34" x14ac:dyDescent="0.3">
      <c r="Y138" s="1">
        <f t="shared" si="27"/>
        <v>136</v>
      </c>
      <c r="AC138" s="1">
        <f t="shared" si="23"/>
        <v>1102.1480301629169</v>
      </c>
      <c r="AD138" s="1">
        <f t="shared" si="26"/>
        <v>203313.60795152979</v>
      </c>
      <c r="AE138" s="1">
        <f t="shared" si="24"/>
        <v>0.58089602271865648</v>
      </c>
      <c r="AG138" s="3"/>
      <c r="AH138" s="1">
        <f t="shared" si="25"/>
        <v>0</v>
      </c>
    </row>
    <row r="139" spans="25:34" x14ac:dyDescent="0.3">
      <c r="Y139" s="1">
        <f t="shared" si="27"/>
        <v>137</v>
      </c>
      <c r="AC139" s="1">
        <f t="shared" si="23"/>
        <v>1073.8614997308925</v>
      </c>
      <c r="AD139" s="1">
        <f t="shared" si="26"/>
        <v>204387.46945126069</v>
      </c>
      <c r="AE139" s="1">
        <f t="shared" si="24"/>
        <v>0.5839641984321734</v>
      </c>
      <c r="AG139" s="3"/>
      <c r="AH139" s="1">
        <f t="shared" si="25"/>
        <v>0</v>
      </c>
    </row>
    <row r="140" spans="25:34" x14ac:dyDescent="0.3">
      <c r="Y140" s="1">
        <f t="shared" si="27"/>
        <v>138</v>
      </c>
      <c r="AC140" s="1">
        <f t="shared" si="23"/>
        <v>1046.3009405676851</v>
      </c>
      <c r="AD140" s="1">
        <f t="shared" si="26"/>
        <v>205433.77039182838</v>
      </c>
      <c r="AE140" s="1">
        <f t="shared" si="24"/>
        <v>0.58695362969093823</v>
      </c>
      <c r="AG140" s="3"/>
      <c r="AH140" s="1">
        <f t="shared" si="25"/>
        <v>0</v>
      </c>
    </row>
    <row r="141" spans="25:34" x14ac:dyDescent="0.3">
      <c r="Y141" s="1">
        <f t="shared" si="27"/>
        <v>139</v>
      </c>
      <c r="AC141" s="1">
        <f t="shared" si="23"/>
        <v>1019.447720685734</v>
      </c>
      <c r="AD141" s="1">
        <f t="shared" si="26"/>
        <v>206453.21811251412</v>
      </c>
      <c r="AE141" s="1">
        <f t="shared" si="24"/>
        <v>0.58986633746432604</v>
      </c>
      <c r="AG141" s="3"/>
      <c r="AH141" s="1">
        <f t="shared" si="25"/>
        <v>0</v>
      </c>
    </row>
    <row r="142" spans="25:34" x14ac:dyDescent="0.3">
      <c r="Y142" s="1">
        <f t="shared" si="27"/>
        <v>140</v>
      </c>
      <c r="AC142" s="1">
        <f t="shared" si="23"/>
        <v>993.28368628577005</v>
      </c>
      <c r="AD142" s="1">
        <f t="shared" si="26"/>
        <v>207446.5017987999</v>
      </c>
      <c r="AE142" s="1">
        <f t="shared" si="24"/>
        <v>0.59270429085371401</v>
      </c>
      <c r="AG142" s="3"/>
      <c r="AH142" s="1">
        <f t="shared" si="25"/>
        <v>0</v>
      </c>
    </row>
    <row r="143" spans="25:34" x14ac:dyDescent="0.3">
      <c r="Y143" s="1">
        <f t="shared" si="27"/>
        <v>141</v>
      </c>
      <c r="AC143" s="1">
        <f t="shared" si="23"/>
        <v>967.7911494841544</v>
      </c>
      <c r="AD143" s="1">
        <f t="shared" si="26"/>
        <v>208414.29294828407</v>
      </c>
      <c r="AE143" s="1">
        <f t="shared" si="24"/>
        <v>0.5954694084236688</v>
      </c>
      <c r="AG143" s="3"/>
      <c r="AH143" s="1">
        <f t="shared" si="25"/>
        <v>0</v>
      </c>
    </row>
    <row r="144" spans="25:34" x14ac:dyDescent="0.3">
      <c r="Y144" s="1">
        <f t="shared" si="27"/>
        <v>142</v>
      </c>
      <c r="AC144" s="1">
        <f t="shared" si="23"/>
        <v>942.95287635519821</v>
      </c>
      <c r="AD144" s="1">
        <f t="shared" si="26"/>
        <v>209357.24582463928</v>
      </c>
      <c r="AE144" s="1">
        <f t="shared" si="24"/>
        <v>0.59816355949896938</v>
      </c>
      <c r="AG144" s="3"/>
      <c r="AH144" s="1">
        <f t="shared" si="25"/>
        <v>0</v>
      </c>
    </row>
    <row r="145" spans="25:34" x14ac:dyDescent="0.3">
      <c r="Y145" s="1">
        <f t="shared" si="27"/>
        <v>143</v>
      </c>
      <c r="AC145" s="1">
        <f t="shared" si="23"/>
        <v>918.75207528036981</v>
      </c>
      <c r="AD145" s="1">
        <f t="shared" si="26"/>
        <v>210275.99789991966</v>
      </c>
      <c r="AE145" s="1">
        <f t="shared" si="24"/>
        <v>0.60078856542834191</v>
      </c>
      <c r="AG145" s="3"/>
      <c r="AH145" s="1">
        <f t="shared" si="25"/>
        <v>0</v>
      </c>
    </row>
    <row r="146" spans="25:34" x14ac:dyDescent="0.3">
      <c r="Y146" s="1">
        <f t="shared" si="27"/>
        <v>144</v>
      </c>
      <c r="AC146" s="1">
        <f t="shared" si="23"/>
        <v>895.17238559652378</v>
      </c>
      <c r="AD146" s="1">
        <f t="shared" si="26"/>
        <v>211171.17028551619</v>
      </c>
      <c r="AE146" s="1">
        <f t="shared" si="24"/>
        <v>0.60334620081576051</v>
      </c>
      <c r="AG146" s="3"/>
      <c r="AH146" s="1">
        <f t="shared" si="25"/>
        <v>0</v>
      </c>
    </row>
    <row r="147" spans="25:34" x14ac:dyDescent="0.3">
      <c r="Y147" s="1">
        <f t="shared" si="27"/>
        <v>145</v>
      </c>
      <c r="AC147" s="1">
        <f t="shared" si="23"/>
        <v>872.19786653546669</v>
      </c>
      <c r="AD147" s="1">
        <f t="shared" si="26"/>
        <v>212043.36815205164</v>
      </c>
      <c r="AE147" s="1">
        <f t="shared" si="24"/>
        <v>0.60583819472014755</v>
      </c>
      <c r="AG147" s="3"/>
      <c r="AH147" s="1">
        <f t="shared" si="25"/>
        <v>0</v>
      </c>
    </row>
    <row r="148" spans="25:34" x14ac:dyDescent="0.3">
      <c r="Y148" s="1">
        <f t="shared" si="27"/>
        <v>146</v>
      </c>
      <c r="AC148" s="1">
        <f t="shared" si="23"/>
        <v>849.81298644739411</v>
      </c>
      <c r="AD148" s="1">
        <f t="shared" si="26"/>
        <v>212893.18113849903</v>
      </c>
      <c r="AE148" s="1">
        <f t="shared" si="24"/>
        <v>0.60826623182428297</v>
      </c>
      <c r="AG148" s="3"/>
      <c r="AH148" s="1">
        <f t="shared" si="25"/>
        <v>0</v>
      </c>
    </row>
    <row r="149" spans="25:34" x14ac:dyDescent="0.3">
      <c r="Y149" s="1">
        <f t="shared" si="27"/>
        <v>147</v>
      </c>
      <c r="AC149" s="1">
        <f t="shared" si="23"/>
        <v>828.00261230090075</v>
      </c>
      <c r="AD149" s="1">
        <f t="shared" si="26"/>
        <v>213721.18375079992</v>
      </c>
      <c r="AE149" s="1">
        <f t="shared" si="24"/>
        <v>0.61063195357371414</v>
      </c>
      <c r="AG149" s="3"/>
      <c r="AH149" s="1">
        <f t="shared" si="25"/>
        <v>0</v>
      </c>
    </row>
    <row r="150" spans="25:34" x14ac:dyDescent="0.3">
      <c r="Y150" s="1">
        <f t="shared" si="27"/>
        <v>148</v>
      </c>
      <c r="AC150" s="1">
        <f t="shared" si="23"/>
        <v>806.75199945247653</v>
      </c>
      <c r="AD150" s="1">
        <f t="shared" si="26"/>
        <v>214527.93575025239</v>
      </c>
      <c r="AE150" s="1">
        <f t="shared" si="24"/>
        <v>0.61293695928643532</v>
      </c>
      <c r="AG150" s="3"/>
      <c r="AH150" s="1">
        <f t="shared" si="25"/>
        <v>0</v>
      </c>
    </row>
    <row r="151" spans="25:34" x14ac:dyDescent="0.3">
      <c r="Y151" s="1">
        <f t="shared" si="27"/>
        <v>149</v>
      </c>
      <c r="AC151" s="1">
        <f t="shared" si="23"/>
        <v>786.0467816785665</v>
      </c>
      <c r="AD151" s="1">
        <f t="shared" si="26"/>
        <v>215313.98253193096</v>
      </c>
      <c r="AE151" s="1">
        <f t="shared" si="24"/>
        <v>0.61518280723408847</v>
      </c>
      <c r="AG151" s="3"/>
      <c r="AH151" s="1">
        <f t="shared" si="25"/>
        <v>0</v>
      </c>
    </row>
    <row r="152" spans="25:34" x14ac:dyDescent="0.3">
      <c r="Y152" s="1">
        <f t="shared" si="27"/>
        <v>150</v>
      </c>
      <c r="AC152" s="1">
        <f t="shared" si="23"/>
        <v>765.872961463455</v>
      </c>
      <c r="AD152" s="1">
        <f t="shared" si="26"/>
        <v>216079.85549339443</v>
      </c>
      <c r="AE152" s="1">
        <f t="shared" si="24"/>
        <v>0.61737101569541264</v>
      </c>
      <c r="AG152" s="3"/>
      <c r="AH152" s="1">
        <f t="shared" si="25"/>
        <v>0</v>
      </c>
    </row>
    <row r="153" spans="25:34" x14ac:dyDescent="0.3">
      <c r="Y153" s="1">
        <f t="shared" si="27"/>
        <v>151</v>
      </c>
      <c r="AC153" s="1">
        <f t="shared" si="23"/>
        <v>746.21690053641373</v>
      </c>
      <c r="AD153" s="1">
        <f t="shared" si="26"/>
        <v>216826.07239393084</v>
      </c>
      <c r="AE153" s="1">
        <f t="shared" si="24"/>
        <v>0.61950306398265953</v>
      </c>
      <c r="AG153" s="3"/>
      <c r="AH153" s="1">
        <f t="shared" si="25"/>
        <v>0</v>
      </c>
    </row>
    <row r="154" spans="25:34" x14ac:dyDescent="0.3">
      <c r="Y154" s="1">
        <f t="shared" si="27"/>
        <v>152</v>
      </c>
      <c r="AC154" s="1">
        <f t="shared" si="23"/>
        <v>727.06531065170964</v>
      </c>
      <c r="AD154" s="1">
        <f t="shared" si="26"/>
        <v>217553.13770458254</v>
      </c>
      <c r="AE154" s="1">
        <f t="shared" si="24"/>
        <v>0.62158039344166438</v>
      </c>
      <c r="AG154" s="3"/>
      <c r="AH154" s="1">
        <f t="shared" si="25"/>
        <v>0</v>
      </c>
    </row>
    <row r="155" spans="25:34" x14ac:dyDescent="0.3">
      <c r="Y155" s="1">
        <f t="shared" si="27"/>
        <v>153</v>
      </c>
      <c r="AC155" s="1">
        <f t="shared" si="23"/>
        <v>708.40524460524682</v>
      </c>
      <c r="AD155" s="1">
        <f t="shared" si="26"/>
        <v>218261.54294918777</v>
      </c>
      <c r="AE155" s="1">
        <f t="shared" si="24"/>
        <v>0.62360440842625076</v>
      </c>
      <c r="AG155" s="3"/>
      <c r="AH155" s="1">
        <f t="shared" si="25"/>
        <v>0</v>
      </c>
    </row>
    <row r="156" spans="25:34" x14ac:dyDescent="0.3">
      <c r="Y156" s="1">
        <f t="shared" si="27"/>
        <v>154</v>
      </c>
      <c r="AC156" s="1">
        <f t="shared" si="23"/>
        <v>690.22408748176133</v>
      </c>
      <c r="AD156" s="1">
        <f t="shared" si="26"/>
        <v>218951.76703666954</v>
      </c>
      <c r="AE156" s="1">
        <f t="shared" si="24"/>
        <v>0.62557647724762733</v>
      </c>
      <c r="AG156" s="3"/>
      <c r="AH156" s="1">
        <f t="shared" si="25"/>
        <v>0</v>
      </c>
    </row>
    <row r="157" spans="25:34" x14ac:dyDescent="0.3">
      <c r="Y157" s="1">
        <f t="shared" si="27"/>
        <v>155</v>
      </c>
      <c r="AC157" s="1">
        <f t="shared" si="23"/>
        <v>672.50954812665861</v>
      </c>
      <c r="AD157" s="1">
        <f t="shared" si="26"/>
        <v>219624.2765847962</v>
      </c>
      <c r="AE157" s="1">
        <f t="shared" si="24"/>
        <v>0.6274979330994177</v>
      </c>
      <c r="AG157" s="3"/>
      <c r="AH157" s="1">
        <f t="shared" si="25"/>
        <v>0</v>
      </c>
    </row>
    <row r="158" spans="25:34" x14ac:dyDescent="0.3">
      <c r="Y158" s="1">
        <f t="shared" si="27"/>
        <v>156</v>
      </c>
      <c r="AC158" s="1">
        <f t="shared" si="23"/>
        <v>655.24965083672771</v>
      </c>
      <c r="AD158" s="1">
        <f t="shared" si="26"/>
        <v>220279.52623563292</v>
      </c>
      <c r="AE158" s="1">
        <f t="shared" si="24"/>
        <v>0.62937007495895125</v>
      </c>
      <c r="AG158" s="3"/>
      <c r="AH158" s="1">
        <f t="shared" si="25"/>
        <v>0</v>
      </c>
    </row>
    <row r="159" spans="25:34" x14ac:dyDescent="0.3">
      <c r="Y159" s="1">
        <f t="shared" si="27"/>
        <v>157</v>
      </c>
      <c r="AC159" s="1">
        <f t="shared" si="23"/>
        <v>638.43272726410487</v>
      </c>
      <c r="AD159" s="1">
        <f t="shared" si="26"/>
        <v>220917.95896289701</v>
      </c>
      <c r="AE159" s="1">
        <f t="shared" si="24"/>
        <v>0.63119416846542009</v>
      </c>
      <c r="AG159" s="3"/>
      <c r="AH159" s="1">
        <f t="shared" si="25"/>
        <v>0</v>
      </c>
    </row>
    <row r="160" spans="25:34" x14ac:dyDescent="0.3">
      <c r="Y160" s="1">
        <f t="shared" si="27"/>
        <v>158</v>
      </c>
      <c r="AC160" s="1">
        <f t="shared" si="23"/>
        <v>622.04740852802991</v>
      </c>
      <c r="AD160" s="1">
        <f t="shared" si="26"/>
        <v>221540.00637142506</v>
      </c>
      <c r="AE160" s="1">
        <f t="shared" si="24"/>
        <v>0.6329714467755001</v>
      </c>
      <c r="AG160" s="3"/>
      <c r="AH160" s="1">
        <f t="shared" si="25"/>
        <v>0</v>
      </c>
    </row>
    <row r="161" spans="25:34" x14ac:dyDescent="0.3">
      <c r="Y161" s="1">
        <f t="shared" si="27"/>
        <v>159</v>
      </c>
      <c r="AC161" s="1">
        <f t="shared" si="23"/>
        <v>606.08261752904843</v>
      </c>
      <c r="AD161" s="1">
        <f t="shared" si="26"/>
        <v>222146.08898895411</v>
      </c>
      <c r="AE161" s="1">
        <f t="shared" si="24"/>
        <v>0.63470311139701174</v>
      </c>
      <c r="AG161" s="3"/>
      <c r="AH161" s="1">
        <f t="shared" si="25"/>
        <v>0</v>
      </c>
    </row>
    <row r="162" spans="25:34" x14ac:dyDescent="0.3">
      <c r="Y162" s="1">
        <f t="shared" si="27"/>
        <v>160</v>
      </c>
      <c r="AC162" s="1">
        <f t="shared" si="23"/>
        <v>590.52756146047034</v>
      </c>
      <c r="AD162" s="1">
        <f t="shared" si="26"/>
        <v>222736.61655041459</v>
      </c>
      <c r="AE162" s="1">
        <f t="shared" si="24"/>
        <v>0.63639033300118453</v>
      </c>
      <c r="AG162" s="3"/>
      <c r="AH162" s="1">
        <f t="shared" si="25"/>
        <v>0</v>
      </c>
    </row>
    <row r="163" spans="25:34" x14ac:dyDescent="0.3">
      <c r="Y163" s="1">
        <f t="shared" si="27"/>
        <v>161</v>
      </c>
      <c r="AC163" s="1">
        <f t="shared" si="23"/>
        <v>575.37172451202377</v>
      </c>
      <c r="AD163" s="1">
        <f t="shared" si="26"/>
        <v>223311.98827492661</v>
      </c>
      <c r="AE163" s="1">
        <f t="shared" si="24"/>
        <v>0.63803425221407606</v>
      </c>
      <c r="AG163" s="3"/>
      <c r="AH163" s="1">
        <f t="shared" si="25"/>
        <v>0</v>
      </c>
    </row>
    <row r="164" spans="25:34" x14ac:dyDescent="0.3">
      <c r="Y164" s="1">
        <f t="shared" si="27"/>
        <v>162</v>
      </c>
      <c r="AC164" s="1">
        <f t="shared" si="23"/>
        <v>560.60486076076336</v>
      </c>
      <c r="AD164" s="1">
        <f t="shared" si="26"/>
        <v>223872.59313568738</v>
      </c>
      <c r="AE164" s="1">
        <f t="shared" si="24"/>
        <v>0.63963598038767822</v>
      </c>
      <c r="AG164" s="3"/>
      <c r="AH164" s="1">
        <f t="shared" si="25"/>
        <v>0</v>
      </c>
    </row>
    <row r="165" spans="25:34" x14ac:dyDescent="0.3">
      <c r="Y165" s="1">
        <f t="shared" si="27"/>
        <v>163</v>
      </c>
      <c r="AC165" s="1">
        <f t="shared" si="23"/>
        <v>546.216987244439</v>
      </c>
      <c r="AD165" s="1">
        <f t="shared" si="26"/>
        <v>224418.81012293181</v>
      </c>
      <c r="AE165" s="1">
        <f t="shared" si="24"/>
        <v>0.64119660035123383</v>
      </c>
      <c r="AG165" s="3"/>
      <c r="AH165" s="1">
        <f t="shared" si="25"/>
        <v>0</v>
      </c>
    </row>
    <row r="166" spans="25:34" x14ac:dyDescent="0.3">
      <c r="Y166" s="1">
        <f t="shared" si="27"/>
        <v>164</v>
      </c>
      <c r="AC166" s="1">
        <f t="shared" si="23"/>
        <v>532.19837721263116</v>
      </c>
      <c r="AD166" s="1">
        <f t="shared" si="26"/>
        <v>224951.00850014444</v>
      </c>
      <c r="AE166" s="1">
        <f t="shared" si="24"/>
        <v>0.64271716714326987</v>
      </c>
      <c r="AG166" s="3"/>
      <c r="AH166" s="1">
        <f t="shared" si="25"/>
        <v>0</v>
      </c>
    </row>
    <row r="167" spans="25:34" x14ac:dyDescent="0.3">
      <c r="Y167" s="1">
        <f t="shared" si="27"/>
        <v>165</v>
      </c>
      <c r="AC167" s="1">
        <f t="shared" si="23"/>
        <v>518.53955355110008</v>
      </c>
      <c r="AD167" s="1">
        <f t="shared" si="26"/>
        <v>225469.54805369553</v>
      </c>
      <c r="AE167" s="1">
        <f t="shared" si="24"/>
        <v>0.6441987087248443</v>
      </c>
      <c r="AG167" s="3"/>
      <c r="AH167" s="1">
        <f t="shared" si="25"/>
        <v>0</v>
      </c>
    </row>
    <row r="168" spans="25:34" x14ac:dyDescent="0.3">
      <c r="Y168" s="1">
        <f t="shared" si="27"/>
        <v>166</v>
      </c>
      <c r="AC168" s="1">
        <f t="shared" si="23"/>
        <v>505.23128237489203</v>
      </c>
      <c r="AD168" s="1">
        <f t="shared" si="26"/>
        <v>225974.77933607041</v>
      </c>
      <c r="AE168" s="1">
        <f t="shared" si="24"/>
        <v>0.6456422266744869</v>
      </c>
      <c r="AG168" s="3"/>
      <c r="AH168" s="1">
        <f t="shared" si="25"/>
        <v>0</v>
      </c>
    </row>
    <row r="169" spans="25:34" x14ac:dyDescent="0.3">
      <c r="Y169" s="1">
        <f t="shared" si="27"/>
        <v>167</v>
      </c>
      <c r="AC169" s="1">
        <f t="shared" si="23"/>
        <v>492.26456678588386</v>
      </c>
      <c r="AD169" s="1">
        <f t="shared" si="26"/>
        <v>226467.0439028563</v>
      </c>
      <c r="AE169" s="1">
        <f t="shared" si="24"/>
        <v>0.64704869686530375</v>
      </c>
      <c r="AG169" s="3"/>
      <c r="AH169" s="1">
        <f t="shared" si="25"/>
        <v>0</v>
      </c>
    </row>
    <row r="170" spans="25:34" x14ac:dyDescent="0.3">
      <c r="Y170" s="1">
        <f t="shared" si="27"/>
        <v>168</v>
      </c>
      <c r="AC170" s="1">
        <f t="shared" si="23"/>
        <v>479.6306407905364</v>
      </c>
      <c r="AD170" s="1">
        <f t="shared" si="26"/>
        <v>226946.67454364683</v>
      </c>
      <c r="AE170" s="1">
        <f t="shared" si="24"/>
        <v>0.64841907012470523</v>
      </c>
      <c r="AG170" s="3"/>
      <c r="AH170" s="1">
        <f t="shared" si="25"/>
        <v>0</v>
      </c>
    </row>
    <row r="171" spans="25:34" x14ac:dyDescent="0.3">
      <c r="Y171" s="1">
        <f t="shared" si="27"/>
        <v>169</v>
      </c>
      <c r="AC171" s="1">
        <f t="shared" si="23"/>
        <v>467.32096337374884</v>
      </c>
      <c r="AD171" s="1">
        <f t="shared" si="26"/>
        <v>227413.99550702059</v>
      </c>
      <c r="AE171" s="1">
        <f t="shared" si="24"/>
        <v>0.64975427287720167</v>
      </c>
      <c r="AG171" s="3"/>
      <c r="AH171" s="1">
        <f t="shared" si="25"/>
        <v>0</v>
      </c>
    </row>
    <row r="172" spans="25:34" x14ac:dyDescent="0.3">
      <c r="Y172" s="1">
        <f t="shared" si="27"/>
        <v>170</v>
      </c>
      <c r="AC172" s="1">
        <f t="shared" si="23"/>
        <v>455.32721272480876</v>
      </c>
      <c r="AD172" s="1">
        <f t="shared" si="26"/>
        <v>227869.3227197454</v>
      </c>
      <c r="AE172" s="1">
        <f t="shared" si="24"/>
        <v>0.65105520777070114</v>
      </c>
      <c r="AG172" s="3"/>
      <c r="AH172" s="1">
        <f t="shared" si="25"/>
        <v>0</v>
      </c>
    </row>
    <row r="173" spans="25:34" x14ac:dyDescent="0.3">
      <c r="Y173" s="1">
        <f t="shared" si="27"/>
        <v>171</v>
      </c>
      <c r="AC173" s="1">
        <f t="shared" si="23"/>
        <v>443.64128061152866</v>
      </c>
      <c r="AD173" s="1">
        <f t="shared" si="26"/>
        <v>228312.96400035694</v>
      </c>
      <c r="AE173" s="1">
        <f t="shared" si="24"/>
        <v>0.65232275428673414</v>
      </c>
      <c r="AG173" s="3"/>
      <c r="AH173" s="1">
        <f t="shared" si="25"/>
        <v>0</v>
      </c>
    </row>
    <row r="174" spans="25:34" x14ac:dyDescent="0.3">
      <c r="Y174" s="1">
        <f t="shared" si="27"/>
        <v>172</v>
      </c>
      <c r="AC174" s="1">
        <f t="shared" si="23"/>
        <v>432.25526689877415</v>
      </c>
      <c r="AD174" s="1">
        <f t="shared" si="26"/>
        <v>228745.21926725571</v>
      </c>
      <c r="AE174" s="1">
        <f t="shared" si="24"/>
        <v>0.6535577693350163</v>
      </c>
      <c r="AG174" s="3"/>
      <c r="AH174" s="1">
        <f t="shared" si="25"/>
        <v>0</v>
      </c>
    </row>
    <row r="175" spans="25:34" x14ac:dyDescent="0.3">
      <c r="Y175" s="1">
        <f t="shared" si="27"/>
        <v>173</v>
      </c>
      <c r="AC175" s="1">
        <f t="shared" si="23"/>
        <v>421.16147420767072</v>
      </c>
      <c r="AD175" s="1">
        <f t="shared" si="26"/>
        <v>229166.38074146339</v>
      </c>
      <c r="AE175" s="1">
        <f t="shared" si="24"/>
        <v>0.65476108783275255</v>
      </c>
      <c r="AG175" s="3"/>
      <c r="AH175" s="1">
        <f t="shared" si="25"/>
        <v>0</v>
      </c>
    </row>
    <row r="176" spans="25:34" x14ac:dyDescent="0.3">
      <c r="Y176" s="1">
        <f t="shared" si="27"/>
        <v>174</v>
      </c>
      <c r="AC176" s="1">
        <f t="shared" si="23"/>
        <v>410.35240271188394</v>
      </c>
      <c r="AD176" s="1">
        <f t="shared" si="26"/>
        <v>229576.73314417529</v>
      </c>
      <c r="AE176" s="1">
        <f t="shared" si="24"/>
        <v>0.65593352326907228</v>
      </c>
      <c r="AG176" s="3"/>
      <c r="AH176" s="1">
        <f t="shared" si="25"/>
        <v>0</v>
      </c>
    </row>
    <row r="177" spans="25:34" x14ac:dyDescent="0.3">
      <c r="Y177" s="1">
        <f t="shared" si="27"/>
        <v>175</v>
      </c>
      <c r="AC177" s="1">
        <f t="shared" si="23"/>
        <v>399.82074506744902</v>
      </c>
      <c r="AD177" s="1">
        <f t="shared" si="26"/>
        <v>229976.55388924273</v>
      </c>
      <c r="AE177" s="1">
        <f t="shared" si="24"/>
        <v>0.65707586825497932</v>
      </c>
      <c r="AG177" s="3"/>
      <c r="AH177" s="1">
        <f t="shared" si="25"/>
        <v>0</v>
      </c>
    </row>
    <row r="178" spans="25:34" x14ac:dyDescent="0.3">
      <c r="Y178" s="1">
        <f t="shared" si="27"/>
        <v>176</v>
      </c>
      <c r="AC178" s="1">
        <f t="shared" si="23"/>
        <v>389.55938147272997</v>
      </c>
      <c r="AD178" s="1">
        <f t="shared" si="26"/>
        <v>230366.11327071546</v>
      </c>
      <c r="AE178" s="1">
        <f t="shared" si="24"/>
        <v>0.6581888950591871</v>
      </c>
      <c r="AG178" s="3"/>
      <c r="AH178" s="1">
        <f t="shared" si="25"/>
        <v>0</v>
      </c>
    </row>
    <row r="179" spans="25:34" x14ac:dyDescent="0.3">
      <c r="Y179" s="1">
        <f t="shared" si="27"/>
        <v>177</v>
      </c>
      <c r="AC179" s="1">
        <f t="shared" si="23"/>
        <v>379.56137485516138</v>
      </c>
      <c r="AD179" s="1">
        <f t="shared" si="26"/>
        <v>230745.67464557063</v>
      </c>
      <c r="AE179" s="1">
        <f t="shared" si="24"/>
        <v>0.65927335613020177</v>
      </c>
      <c r="AG179" s="3"/>
      <c r="AH179" s="1">
        <f t="shared" si="25"/>
        <v>0</v>
      </c>
    </row>
    <row r="180" spans="25:34" x14ac:dyDescent="0.3">
      <c r="Y180" s="1">
        <f t="shared" si="27"/>
        <v>178</v>
      </c>
      <c r="AC180" s="1">
        <f t="shared" si="23"/>
        <v>369.81996618152357</v>
      </c>
      <c r="AD180" s="1">
        <f t="shared" si="26"/>
        <v>231115.49461175216</v>
      </c>
      <c r="AE180" s="1">
        <f t="shared" si="24"/>
        <v>0.66032998460500614</v>
      </c>
      <c r="AG180" s="3"/>
      <c r="AH180" s="1">
        <f t="shared" si="25"/>
        <v>0</v>
      </c>
    </row>
    <row r="181" spans="25:34" x14ac:dyDescent="0.3">
      <c r="Y181" s="1">
        <f t="shared" si="27"/>
        <v>179</v>
      </c>
      <c r="AC181" s="1">
        <f t="shared" si="23"/>
        <v>360.32856988857941</v>
      </c>
      <c r="AD181" s="1">
        <f t="shared" si="26"/>
        <v>231475.82318164074</v>
      </c>
      <c r="AE181" s="1">
        <f t="shared" si="24"/>
        <v>0.66135949480468781</v>
      </c>
      <c r="AG181" s="3"/>
      <c r="AH181" s="1">
        <f t="shared" si="25"/>
        <v>0</v>
      </c>
    </row>
    <row r="182" spans="25:34" x14ac:dyDescent="0.3">
      <c r="Y182" s="1">
        <f t="shared" si="27"/>
        <v>180</v>
      </c>
      <c r="AC182" s="1">
        <f t="shared" si="23"/>
        <v>351.08076943098166</v>
      </c>
      <c r="AD182" s="1">
        <f t="shared" si="26"/>
        <v>231826.90395107173</v>
      </c>
      <c r="AE182" s="1">
        <f t="shared" si="24"/>
        <v>0.66236258271734783</v>
      </c>
      <c r="AG182" s="3"/>
      <c r="AH182" s="1">
        <f t="shared" si="25"/>
        <v>0</v>
      </c>
    </row>
    <row r="183" spans="25:34" x14ac:dyDescent="0.3">
      <c r="Y183" s="1">
        <f t="shared" si="27"/>
        <v>181</v>
      </c>
      <c r="AC183" s="1">
        <f t="shared" si="23"/>
        <v>342.07031294344421</v>
      </c>
      <c r="AD183" s="1">
        <f t="shared" si="26"/>
        <v>232168.97426401518</v>
      </c>
      <c r="AE183" s="1">
        <f t="shared" si="24"/>
        <v>0.66333992646861484</v>
      </c>
      <c r="AG183" s="3"/>
      <c r="AH183" s="1">
        <f t="shared" si="25"/>
        <v>0</v>
      </c>
    </row>
    <row r="184" spans="25:34" x14ac:dyDescent="0.3">
      <c r="Y184" s="1">
        <f t="shared" si="27"/>
        <v>182</v>
      </c>
      <c r="AC184" s="1">
        <f t="shared" si="23"/>
        <v>333.29110901424343</v>
      </c>
      <c r="AD184" s="1">
        <f t="shared" si="26"/>
        <v>232502.26537302943</v>
      </c>
      <c r="AE184" s="1">
        <f t="shared" si="24"/>
        <v>0.66429218678008406</v>
      </c>
      <c r="AG184" s="3"/>
      <c r="AH184" s="1">
        <f t="shared" si="25"/>
        <v>0</v>
      </c>
    </row>
    <row r="185" spans="25:34" x14ac:dyDescent="0.3">
      <c r="Y185" s="1">
        <f t="shared" si="27"/>
        <v>183</v>
      </c>
      <c r="AC185" s="1">
        <f t="shared" si="23"/>
        <v>324.73722256719236</v>
      </c>
      <c r="AD185" s="1">
        <f t="shared" si="26"/>
        <v>232827.00259559663</v>
      </c>
      <c r="AE185" s="1">
        <f t="shared" si="24"/>
        <v>0.6652200074159903</v>
      </c>
      <c r="AG185" s="3"/>
      <c r="AH185" s="1">
        <f t="shared" si="25"/>
        <v>0</v>
      </c>
    </row>
    <row r="186" spans="25:34" x14ac:dyDescent="0.3">
      <c r="Y186" s="1">
        <f t="shared" si="27"/>
        <v>184</v>
      </c>
      <c r="AC186" s="1">
        <f t="shared" si="23"/>
        <v>316.40287084930179</v>
      </c>
      <c r="AD186" s="1">
        <f t="shared" si="26"/>
        <v>233143.40546644593</v>
      </c>
      <c r="AE186" s="1">
        <f t="shared" si="24"/>
        <v>0.66612401561841683</v>
      </c>
      <c r="AG186" s="3"/>
      <c r="AH186" s="1">
        <f t="shared" si="25"/>
        <v>0</v>
      </c>
    </row>
    <row r="187" spans="25:34" x14ac:dyDescent="0.3">
      <c r="Y187" s="1">
        <f t="shared" si="27"/>
        <v>185</v>
      </c>
      <c r="AC187" s="1">
        <f t="shared" si="23"/>
        <v>308.28241952142008</v>
      </c>
      <c r="AD187" s="1">
        <f t="shared" si="26"/>
        <v>233451.68788596735</v>
      </c>
      <c r="AE187" s="1">
        <f t="shared" si="24"/>
        <v>0.66700482253133531</v>
      </c>
      <c r="AG187" s="3"/>
      <c r="AH187" s="1">
        <f t="shared" si="25"/>
        <v>0</v>
      </c>
    </row>
    <row r="188" spans="25:34" x14ac:dyDescent="0.3">
      <c r="Y188" s="1">
        <f t="shared" si="27"/>
        <v>186</v>
      </c>
      <c r="AC188" s="1">
        <f t="shared" si="23"/>
        <v>300.37037884920494</v>
      </c>
      <c r="AD188" s="1">
        <f t="shared" si="26"/>
        <v>233752.05826481656</v>
      </c>
      <c r="AE188" s="1">
        <f t="shared" si="24"/>
        <v>0.6678630236137616</v>
      </c>
      <c r="AG188" s="3"/>
      <c r="AH188" s="1">
        <f t="shared" si="25"/>
        <v>0</v>
      </c>
    </row>
    <row r="189" spans="25:34" x14ac:dyDescent="0.3">
      <c r="Y189" s="1">
        <f t="shared" si="27"/>
        <v>187</v>
      </c>
      <c r="AC189" s="1">
        <f t="shared" si="23"/>
        <v>292.66139999185384</v>
      </c>
      <c r="AD189" s="1">
        <f t="shared" si="26"/>
        <v>234044.71966480842</v>
      </c>
      <c r="AE189" s="1">
        <f t="shared" si="24"/>
        <v>0.66869919904230979</v>
      </c>
      <c r="AG189" s="3"/>
      <c r="AH189" s="1">
        <f t="shared" si="25"/>
        <v>0</v>
      </c>
    </row>
    <row r="190" spans="25:34" x14ac:dyDescent="0.3">
      <c r="Y190" s="1">
        <f t="shared" si="27"/>
        <v>188</v>
      </c>
      <c r="AC190" s="1">
        <f t="shared" si="23"/>
        <v>285.15027138608502</v>
      </c>
      <c r="AD190" s="1">
        <f t="shared" si="26"/>
        <v>234329.8699361945</v>
      </c>
      <c r="AE190" s="1">
        <f t="shared" si="24"/>
        <v>0.66951391410341288</v>
      </c>
      <c r="AG190" s="3"/>
      <c r="AH190" s="1">
        <f t="shared" si="25"/>
        <v>0</v>
      </c>
    </row>
    <row r="191" spans="25:34" x14ac:dyDescent="0.3">
      <c r="Y191" s="1">
        <f t="shared" si="27"/>
        <v>189</v>
      </c>
      <c r="AC191" s="1">
        <f t="shared" si="23"/>
        <v>277.83191522292037</v>
      </c>
      <c r="AD191" s="1">
        <f t="shared" si="26"/>
        <v>234607.70185141743</v>
      </c>
      <c r="AE191" s="1">
        <f t="shared" si="24"/>
        <v>0.6703077195754783</v>
      </c>
      <c r="AG191" s="3"/>
      <c r="AH191" s="1">
        <f t="shared" si="25"/>
        <v>0</v>
      </c>
    </row>
    <row r="192" spans="25:34" x14ac:dyDescent="0.3">
      <c r="Y192" s="1">
        <f t="shared" si="27"/>
        <v>190</v>
      </c>
      <c r="AC192" s="1">
        <f t="shared" si="23"/>
        <v>270.70138401489464</v>
      </c>
      <c r="AD192" s="1">
        <f t="shared" si="26"/>
        <v>234878.40323543231</v>
      </c>
      <c r="AE192" s="1">
        <f t="shared" si="24"/>
        <v>0.6710811521012352</v>
      </c>
      <c r="AG192" s="3"/>
      <c r="AH192" s="1">
        <f t="shared" si="25"/>
        <v>0</v>
      </c>
    </row>
    <row r="193" spans="25:34" x14ac:dyDescent="0.3">
      <c r="Y193" s="1">
        <f t="shared" si="27"/>
        <v>191</v>
      </c>
      <c r="AC193" s="1">
        <f t="shared" si="23"/>
        <v>263.75385725136465</v>
      </c>
      <c r="AD193" s="1">
        <f t="shared" si="26"/>
        <v>235142.15709268369</v>
      </c>
      <c r="AE193" s="1">
        <f t="shared" si="24"/>
        <v>0.67183473455052478</v>
      </c>
      <c r="AG193" s="3"/>
      <c r="AH193" s="1">
        <f t="shared" si="25"/>
        <v>0</v>
      </c>
    </row>
    <row r="194" spans="25:34" x14ac:dyDescent="0.3">
      <c r="Y194" s="1">
        <f t="shared" si="27"/>
        <v>192</v>
      </c>
      <c r="AC194" s="1">
        <f t="shared" si="23"/>
        <v>256.98463813966174</v>
      </c>
      <c r="AD194" s="1">
        <f t="shared" si="26"/>
        <v>235399.14173082335</v>
      </c>
      <c r="AE194" s="1">
        <f t="shared" si="24"/>
        <v>0.6725689763737811</v>
      </c>
      <c r="AG194" s="3"/>
      <c r="AH194" s="1">
        <f t="shared" si="25"/>
        <v>0</v>
      </c>
    </row>
    <row r="195" spans="25:34" x14ac:dyDescent="0.3">
      <c r="Y195" s="1">
        <f t="shared" si="27"/>
        <v>193</v>
      </c>
      <c r="AC195" s="1">
        <f t="shared" ref="AC195:AC258" si="28" xml:space="preserve"> 37836*EXP(-0.026*Y195)</f>
        <v>250.38915042987938</v>
      </c>
      <c r="AD195" s="1">
        <f t="shared" si="26"/>
        <v>235649.53088125322</v>
      </c>
      <c r="AE195" s="1">
        <f t="shared" ref="AE195" si="29">(AD195*100)/(35*10^6)</f>
        <v>0.67328437394643781</v>
      </c>
      <c r="AG195" s="3"/>
      <c r="AH195" s="1">
        <f t="shared" ref="AH195" si="30">(AG195*100)/(35*10^6)</f>
        <v>0</v>
      </c>
    </row>
  </sheetData>
  <mergeCells count="5">
    <mergeCell ref="S6:T6"/>
    <mergeCell ref="S10:T10"/>
    <mergeCell ref="S7:T7"/>
    <mergeCell ref="AB1:AB68"/>
    <mergeCell ref="AF1:AF6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22C2-2A25-4FBD-9148-C5562E16203D}">
  <dimension ref="A1:AN157"/>
  <sheetViews>
    <sheetView topLeftCell="AF52" zoomScale="78" zoomScaleNormal="80" workbookViewId="0">
      <selection activeCell="AI2" sqref="AI2:AI157"/>
    </sheetView>
  </sheetViews>
  <sheetFormatPr defaultColWidth="8.77734375" defaultRowHeight="14.4" x14ac:dyDescent="0.3"/>
  <cols>
    <col min="1" max="1" width="8.77734375" style="1"/>
    <col min="2" max="8" width="8.88671875" style="1" bestFit="1" customWidth="1"/>
    <col min="9" max="9" width="15.6640625" style="1" bestFit="1" customWidth="1"/>
    <col min="10" max="10" width="11.44140625" style="1" bestFit="1" customWidth="1"/>
    <col min="11" max="11" width="10.44140625" style="1" bestFit="1" customWidth="1"/>
    <col min="12" max="13" width="8.88671875" style="1" bestFit="1" customWidth="1"/>
    <col min="14" max="14" width="8.77734375" style="1"/>
    <col min="15" max="17" width="8.88671875" style="1" bestFit="1" customWidth="1"/>
    <col min="18" max="18" width="8.77734375" style="1"/>
    <col min="19" max="19" width="13.5546875" style="1" bestFit="1" customWidth="1"/>
    <col min="20" max="20" width="8.77734375" style="1"/>
    <col min="21" max="21" width="16.33203125" style="1" customWidth="1"/>
    <col min="22" max="22" width="11.6640625" style="1" customWidth="1"/>
    <col min="23" max="24" width="8.77734375" style="1"/>
    <col min="25" max="25" width="13.88671875" style="1" customWidth="1"/>
    <col min="26" max="26" width="22" style="1" customWidth="1"/>
    <col min="27" max="27" width="23.33203125" style="1" customWidth="1"/>
    <col min="28" max="28" width="34.44140625" style="1" customWidth="1"/>
    <col min="29" max="29" width="16.33203125" style="1" customWidth="1"/>
    <col min="30" max="31" width="41.21875" style="1" customWidth="1"/>
    <col min="32" max="32" width="27.88671875" style="1" customWidth="1"/>
    <col min="33" max="33" width="41.21875" style="1" customWidth="1"/>
    <col min="34" max="34" width="29.21875" style="1" customWidth="1"/>
    <col min="35" max="35" width="41.21875" style="1" customWidth="1"/>
    <col min="36" max="37" width="8.77734375" style="1"/>
    <col min="38" max="38" width="17.77734375" style="1" customWidth="1"/>
    <col min="39" max="39" width="11.88671875" style="1" customWidth="1"/>
    <col min="40" max="16384" width="8.77734375" style="1"/>
  </cols>
  <sheetData>
    <row r="1" spans="1:39" ht="53.4" thickBot="1" x14ac:dyDescent="0.35">
      <c r="A1" s="6" t="s">
        <v>0</v>
      </c>
      <c r="B1" s="7" t="s">
        <v>1</v>
      </c>
      <c r="C1" s="7" t="s">
        <v>2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8" t="s">
        <v>11</v>
      </c>
      <c r="O1" s="1" t="s">
        <v>41</v>
      </c>
      <c r="P1" s="1" t="s">
        <v>42</v>
      </c>
      <c r="Q1" s="1" t="s">
        <v>43</v>
      </c>
      <c r="S1" s="1" t="s">
        <v>43</v>
      </c>
      <c r="W1" s="55" t="s">
        <v>128</v>
      </c>
      <c r="X1" s="55"/>
      <c r="Y1" s="55" t="s">
        <v>134</v>
      </c>
      <c r="Z1" s="55" t="s">
        <v>116</v>
      </c>
      <c r="AA1" s="55" t="s">
        <v>121</v>
      </c>
      <c r="AB1" s="1" t="s">
        <v>137</v>
      </c>
      <c r="AC1" s="143" t="s">
        <v>182</v>
      </c>
      <c r="AD1" s="55" t="s">
        <v>162</v>
      </c>
      <c r="AE1" s="55" t="s">
        <v>156</v>
      </c>
      <c r="AF1" s="55" t="s">
        <v>180</v>
      </c>
      <c r="AG1" s="146" t="s">
        <v>183</v>
      </c>
      <c r="AH1" s="55" t="s">
        <v>156</v>
      </c>
      <c r="AI1" s="55" t="s">
        <v>180</v>
      </c>
    </row>
    <row r="2" spans="1:39" x14ac:dyDescent="0.3">
      <c r="A2" s="4">
        <v>43862</v>
      </c>
      <c r="B2" s="5">
        <v>276.62712193103448</v>
      </c>
      <c r="C2" s="5">
        <v>240.1521379310345</v>
      </c>
      <c r="D2" s="5">
        <v>240.1521379310345</v>
      </c>
      <c r="E2" s="5">
        <v>36.474983999999999</v>
      </c>
      <c r="F2" s="5">
        <v>3180.4137931034484</v>
      </c>
      <c r="G2" s="5">
        <v>0</v>
      </c>
      <c r="H2" s="5">
        <v>6964.4120000000003</v>
      </c>
      <c r="I2" s="9">
        <v>9.3228168400000006E-4</v>
      </c>
      <c r="J2" s="5">
        <v>92232</v>
      </c>
      <c r="K2" s="5">
        <v>1057.7745359999999</v>
      </c>
      <c r="L2" s="5">
        <v>13.185613813056813</v>
      </c>
      <c r="M2" s="5">
        <v>83.297891279263766</v>
      </c>
      <c r="O2" s="1">
        <f>A2 -$A$2</f>
        <v>0</v>
      </c>
      <c r="P2" s="1">
        <f>E2/C2</f>
        <v>0.15188282025819264</v>
      </c>
      <c r="Q2" s="1" t="str">
        <f>IF(OR(O4&lt;=0, O2&lt;=0)," ", (P4 - P2) / (LN(O4) - LN(O2)))</f>
        <v xml:space="preserve"> </v>
      </c>
      <c r="S2" s="1">
        <f>(P3-P2) / (O3-O2)</f>
        <v>-4.8664249227389289E-4</v>
      </c>
      <c r="W2" s="1">
        <f>_xlfn.DAYS($A$67,A2)</f>
        <v>1977</v>
      </c>
      <c r="X2" s="1">
        <v>0</v>
      </c>
      <c r="Y2" s="1">
        <f>X2/30</f>
        <v>0</v>
      </c>
      <c r="Z2" s="1">
        <f t="shared" ref="Z2:Z33" si="0">LN( $V$4 /C2 ) / W2</f>
        <v>0</v>
      </c>
      <c r="AA2" s="1">
        <f xml:space="preserve"> $V$4 * EXP(-$Z$3 * W2)</f>
        <v>1041.3422191170334</v>
      </c>
      <c r="AB2" s="1">
        <f>1567.2*EXP(-0.026*Y2)</f>
        <v>1567.2</v>
      </c>
      <c r="AC2" s="144"/>
      <c r="AE2" s="1">
        <f>AD2</f>
        <v>0</v>
      </c>
      <c r="AF2" s="1">
        <f>(AE2*100)/(35*10^6)</f>
        <v>0</v>
      </c>
      <c r="AG2" s="147"/>
      <c r="AH2" s="3">
        <f>H2</f>
        <v>6964.4120000000003</v>
      </c>
      <c r="AI2" s="1">
        <f>(AH2*100)/(35*10^6)</f>
        <v>1.9898320000000001E-2</v>
      </c>
    </row>
    <row r="3" spans="1:39" x14ac:dyDescent="0.3">
      <c r="A3" s="2">
        <v>43891</v>
      </c>
      <c r="B3" s="3">
        <v>1159.5847659032258</v>
      </c>
      <c r="C3" s="3">
        <v>1019.1730967741936</v>
      </c>
      <c r="D3" s="3">
        <v>1019.1730967741936</v>
      </c>
      <c r="E3" s="3">
        <v>140.41166912903225</v>
      </c>
      <c r="F3" s="3">
        <v>16135.193548387097</v>
      </c>
      <c r="G3" s="3">
        <v>0</v>
      </c>
      <c r="H3" s="3">
        <v>31594.366000000002</v>
      </c>
      <c r="I3" s="10">
        <v>4.2293374899999995E-3</v>
      </c>
      <c r="J3" s="3">
        <v>500191</v>
      </c>
      <c r="K3" s="3">
        <v>4352.761743</v>
      </c>
      <c r="L3" s="3">
        <v>12.108788702450962</v>
      </c>
      <c r="M3" s="3">
        <v>99.577923222133961</v>
      </c>
      <c r="O3" s="1">
        <f t="shared" ref="O3:O66" si="1">A3 -$A$2</f>
        <v>29</v>
      </c>
      <c r="P3" s="1">
        <f t="shared" ref="P3:P66" si="2">E3/C3</f>
        <v>0.13777018798224974</v>
      </c>
      <c r="Q3" s="1">
        <f t="shared" ref="Q3:Q66" si="3">IF(OR(O5&lt;=0, O3&lt;=0)," ", (P5 - P3) / (LN(O5) - LN(O3)))</f>
        <v>-6.3467610736700777E-2</v>
      </c>
      <c r="S3" s="1">
        <f>(P4-P2)/(O4-O2)</f>
        <v>2.2182747449223108E-6</v>
      </c>
      <c r="W3" s="1">
        <f t="shared" ref="W3:W66" si="4">_xlfn.DAYS($A$67,A3)</f>
        <v>1948</v>
      </c>
      <c r="X3" s="1">
        <f>$W$2-W3</f>
        <v>29</v>
      </c>
      <c r="Y3" s="1">
        <f t="shared" ref="Y3:Y66" si="5">X3/30</f>
        <v>0.96666666666666667</v>
      </c>
      <c r="Z3" s="1">
        <f t="shared" si="0"/>
        <v>-7.4202990631505638E-4</v>
      </c>
      <c r="AA3" s="1">
        <f t="shared" ref="AA3:AA66" si="6" xml:space="preserve"> $V$4 * EXP(-$Z$3 * W3)</f>
        <v>1019.1730967741936</v>
      </c>
      <c r="AB3" s="1">
        <f t="shared" ref="AB3:AB66" si="7">1567.2*EXP(-0.026*Y3)</f>
        <v>1528.301906957699</v>
      </c>
      <c r="AC3" s="144"/>
      <c r="AE3" s="1">
        <f>AE2+AD3</f>
        <v>0</v>
      </c>
      <c r="AF3" s="1">
        <f t="shared" ref="AF3:AF66" si="8">(AE3*100)/(35*10^6)</f>
        <v>0</v>
      </c>
      <c r="AG3" s="147"/>
      <c r="AH3" s="3">
        <f>AH2+H3</f>
        <v>38558.778000000006</v>
      </c>
      <c r="AI3" s="1">
        <f t="shared" ref="AI3:AI66" si="9">(AH3*100)/(35*10^6)</f>
        <v>0.11016793714285716</v>
      </c>
      <c r="AK3" s="1" t="s">
        <v>135</v>
      </c>
      <c r="AL3" s="1" t="s">
        <v>136</v>
      </c>
      <c r="AM3" s="1">
        <f>12*0.026</f>
        <v>0.312</v>
      </c>
    </row>
    <row r="4" spans="1:39" x14ac:dyDescent="0.3">
      <c r="A4" s="2">
        <v>43922</v>
      </c>
      <c r="B4" s="3">
        <v>1169.7043147333331</v>
      </c>
      <c r="C4" s="3">
        <v>1015.3543000000001</v>
      </c>
      <c r="D4" s="3">
        <v>1015.3543000000001</v>
      </c>
      <c r="E4" s="3">
        <v>154.35001473333332</v>
      </c>
      <c r="F4" s="3">
        <v>16020.233333333334</v>
      </c>
      <c r="G4" s="3">
        <v>0</v>
      </c>
      <c r="H4" s="3">
        <v>30460.629000000001</v>
      </c>
      <c r="I4" s="10">
        <v>4.0775713009999996E-3</v>
      </c>
      <c r="J4" s="3">
        <v>480607</v>
      </c>
      <c r="K4" s="3">
        <v>4630.5004419999996</v>
      </c>
      <c r="L4" s="3">
        <v>13.195643786996008</v>
      </c>
      <c r="M4" s="3">
        <v>99.240298307694161</v>
      </c>
      <c r="O4" s="1">
        <f t="shared" si="1"/>
        <v>60</v>
      </c>
      <c r="P4" s="1">
        <f t="shared" si="2"/>
        <v>0.15201591674288797</v>
      </c>
      <c r="Q4" s="1">
        <f t="shared" si="3"/>
        <v>-0.17209235027165704</v>
      </c>
      <c r="S4" s="1">
        <f t="shared" ref="S4:S66" si="10">(P5-P3)/(O5-O3)</f>
        <v>-1.1783270093912428E-3</v>
      </c>
      <c r="U4" s="55" t="s">
        <v>118</v>
      </c>
      <c r="V4" s="5">
        <v>240.1521379310345</v>
      </c>
      <c r="W4" s="1">
        <f t="shared" si="4"/>
        <v>1917</v>
      </c>
      <c r="X4" s="1">
        <f t="shared" ref="X4:X67" si="11">$W$2-W4</f>
        <v>60</v>
      </c>
      <c r="Y4" s="1">
        <f t="shared" si="5"/>
        <v>2</v>
      </c>
      <c r="Z4" s="1">
        <f t="shared" si="0"/>
        <v>-7.5207108192670109E-4</v>
      </c>
      <c r="AA4" s="1">
        <f t="shared" si="6"/>
        <v>995.99671656641135</v>
      </c>
      <c r="AB4" s="1">
        <f t="shared" si="7"/>
        <v>1487.7882001161765</v>
      </c>
      <c r="AC4" s="144"/>
      <c r="AE4" s="1">
        <f t="shared" ref="AE4:AE67" si="12">AE3+AD4</f>
        <v>0</v>
      </c>
      <c r="AF4" s="1">
        <f t="shared" si="8"/>
        <v>0</v>
      </c>
      <c r="AG4" s="147"/>
      <c r="AH4" s="3">
        <f t="shared" ref="AH4:AH67" si="13">AH3+H4</f>
        <v>69019.407000000007</v>
      </c>
      <c r="AI4" s="1">
        <f t="shared" si="9"/>
        <v>0.19719830571428576</v>
      </c>
    </row>
    <row r="5" spans="1:39" x14ac:dyDescent="0.3">
      <c r="A5" s="2">
        <v>43952</v>
      </c>
      <c r="B5" s="3">
        <v>1325.0861504838711</v>
      </c>
      <c r="C5" s="3">
        <v>1243.1708387096776</v>
      </c>
      <c r="D5" s="3">
        <v>1243.1708387096776</v>
      </c>
      <c r="E5" s="3">
        <v>81.91531177419354</v>
      </c>
      <c r="F5" s="3">
        <v>12978.322580645161</v>
      </c>
      <c r="G5" s="3">
        <v>0</v>
      </c>
      <c r="H5" s="3">
        <v>38538.296000000002</v>
      </c>
      <c r="I5" s="10">
        <v>5.1588773760000003E-3</v>
      </c>
      <c r="J5" s="3">
        <v>402328</v>
      </c>
      <c r="K5" s="3">
        <v>2539.3746649999998</v>
      </c>
      <c r="L5" s="3">
        <v>6.1818857396012463</v>
      </c>
      <c r="M5" s="3">
        <v>65.663584461544417</v>
      </c>
      <c r="O5" s="1">
        <f t="shared" si="1"/>
        <v>90</v>
      </c>
      <c r="P5" s="1">
        <f t="shared" si="2"/>
        <v>6.5892240409383934E-2</v>
      </c>
      <c r="Q5" s="1">
        <f t="shared" si="3"/>
        <v>-7.5998309413554982E-2</v>
      </c>
      <c r="S5" s="1">
        <f t="shared" si="10"/>
        <v>-1.9789096371730431E-3</v>
      </c>
      <c r="W5" s="1">
        <f t="shared" si="4"/>
        <v>1887</v>
      </c>
      <c r="X5" s="1">
        <f t="shared" si="11"/>
        <v>90</v>
      </c>
      <c r="Y5" s="1">
        <f t="shared" si="5"/>
        <v>3</v>
      </c>
      <c r="Z5" s="1">
        <f t="shared" si="0"/>
        <v>-8.7130253955950169E-4</v>
      </c>
      <c r="AA5" s="1">
        <f t="shared" si="6"/>
        <v>974.069896871678</v>
      </c>
      <c r="AB5" s="1">
        <f t="shared" si="7"/>
        <v>1449.6042492790348</v>
      </c>
      <c r="AC5" s="144"/>
      <c r="AE5" s="1">
        <f t="shared" si="12"/>
        <v>0</v>
      </c>
      <c r="AF5" s="1">
        <f t="shared" si="8"/>
        <v>0</v>
      </c>
      <c r="AG5" s="147"/>
      <c r="AH5" s="3">
        <f t="shared" si="13"/>
        <v>107557.70300000001</v>
      </c>
      <c r="AI5" s="1">
        <f t="shared" si="9"/>
        <v>0.30730772285714286</v>
      </c>
    </row>
    <row r="6" spans="1:39" x14ac:dyDescent="0.3">
      <c r="A6" s="2">
        <v>43983</v>
      </c>
      <c r="B6" s="3">
        <v>1489.1557081333333</v>
      </c>
      <c r="C6" s="3">
        <v>1443.9563666666666</v>
      </c>
      <c r="D6" s="3">
        <v>1443.9563666666666</v>
      </c>
      <c r="E6" s="3">
        <v>45.199341466666667</v>
      </c>
      <c r="F6" s="3">
        <v>10243.9</v>
      </c>
      <c r="G6" s="3">
        <v>0</v>
      </c>
      <c r="H6" s="3">
        <v>43318.690999999999</v>
      </c>
      <c r="I6" s="10">
        <v>5.7987985500000004E-3</v>
      </c>
      <c r="J6" s="3">
        <v>307317</v>
      </c>
      <c r="K6" s="3">
        <v>1355.9802440000001</v>
      </c>
      <c r="L6" s="3">
        <v>3.0352327308555496</v>
      </c>
      <c r="M6" s="3">
        <v>44.621903893633352</v>
      </c>
      <c r="O6" s="1">
        <f t="shared" si="1"/>
        <v>121</v>
      </c>
      <c r="P6" s="1">
        <f t="shared" si="2"/>
        <v>3.1302428875332362E-2</v>
      </c>
      <c r="Q6" s="1">
        <f t="shared" si="3"/>
        <v>-1.1866706845774282E-2</v>
      </c>
      <c r="S6" s="1">
        <f t="shared" si="10"/>
        <v>-6.4470258729155646E-4</v>
      </c>
      <c r="T6" s="81" t="s">
        <v>138</v>
      </c>
      <c r="U6" s="82"/>
      <c r="V6" s="63"/>
      <c r="W6" s="1">
        <f t="shared" si="4"/>
        <v>1856</v>
      </c>
      <c r="X6" s="1">
        <f t="shared" si="11"/>
        <v>121</v>
      </c>
      <c r="Y6" s="1">
        <f t="shared" si="5"/>
        <v>4.0333333333333332</v>
      </c>
      <c r="Z6" s="1">
        <f t="shared" si="0"/>
        <v>-9.6652449970541677E-4</v>
      </c>
      <c r="AA6" s="1">
        <f t="shared" si="6"/>
        <v>951.91918042291479</v>
      </c>
      <c r="AB6" s="1">
        <f t="shared" si="7"/>
        <v>1411.1767361521133</v>
      </c>
      <c r="AC6" s="144"/>
      <c r="AE6" s="1">
        <f t="shared" si="12"/>
        <v>0</v>
      </c>
      <c r="AF6" s="1">
        <f t="shared" si="8"/>
        <v>0</v>
      </c>
      <c r="AG6" s="147"/>
      <c r="AH6" s="3">
        <f t="shared" si="13"/>
        <v>150876.394</v>
      </c>
      <c r="AI6" s="1">
        <f t="shared" si="9"/>
        <v>0.43107541142857142</v>
      </c>
    </row>
    <row r="7" spans="1:39" x14ac:dyDescent="0.3">
      <c r="A7" s="2">
        <v>44013</v>
      </c>
      <c r="B7" s="3">
        <v>1419.0662218246839</v>
      </c>
      <c r="C7" s="3">
        <v>1382.3437317279097</v>
      </c>
      <c r="D7" s="3">
        <v>1382.3437317279097</v>
      </c>
      <c r="E7" s="3">
        <v>36.722490096774195</v>
      </c>
      <c r="F7" s="3">
        <v>9152.4193548387102</v>
      </c>
      <c r="G7" s="3">
        <v>0</v>
      </c>
      <c r="H7" s="3">
        <v>42852.655683565201</v>
      </c>
      <c r="I7" s="10">
        <v>5.7393044519999997E-3</v>
      </c>
      <c r="J7" s="3">
        <v>283725</v>
      </c>
      <c r="K7" s="3">
        <v>1138.397193</v>
      </c>
      <c r="L7" s="3">
        <v>2.5877925590784034</v>
      </c>
      <c r="M7" s="3">
        <v>41.644408649436805</v>
      </c>
      <c r="O7" s="1">
        <f t="shared" si="1"/>
        <v>151</v>
      </c>
      <c r="P7" s="1">
        <f t="shared" si="2"/>
        <v>2.6565382584598993E-2</v>
      </c>
      <c r="Q7" s="1">
        <f t="shared" si="3"/>
        <v>2.1718864440724767E-2</v>
      </c>
      <c r="S7" s="1">
        <f t="shared" si="10"/>
        <v>-7.941280787962159E-5</v>
      </c>
      <c r="T7" s="61"/>
      <c r="U7" s="62"/>
      <c r="V7" s="64"/>
      <c r="W7" s="1">
        <f t="shared" si="4"/>
        <v>1826</v>
      </c>
      <c r="X7" s="1">
        <f t="shared" si="11"/>
        <v>151</v>
      </c>
      <c r="Y7" s="1">
        <f t="shared" si="5"/>
        <v>5.0333333333333332</v>
      </c>
      <c r="Z7" s="1">
        <f t="shared" si="0"/>
        <v>-9.5852303578665475E-4</v>
      </c>
      <c r="AA7" s="1">
        <f t="shared" si="6"/>
        <v>930.9627255612487</v>
      </c>
      <c r="AB7" s="1">
        <f t="shared" si="7"/>
        <v>1374.9590116725517</v>
      </c>
      <c r="AC7" s="144"/>
      <c r="AE7" s="1">
        <f t="shared" si="12"/>
        <v>0</v>
      </c>
      <c r="AF7" s="1">
        <f t="shared" si="8"/>
        <v>0</v>
      </c>
      <c r="AG7" s="147"/>
      <c r="AH7" s="3">
        <f t="shared" si="13"/>
        <v>193729.04968356522</v>
      </c>
      <c r="AI7" s="1">
        <f t="shared" si="9"/>
        <v>0.55351157052447197</v>
      </c>
    </row>
    <row r="8" spans="1:39" x14ac:dyDescent="0.3">
      <c r="A8" s="2">
        <v>44044</v>
      </c>
      <c r="B8" s="3">
        <v>1468.7674174838708</v>
      </c>
      <c r="C8" s="3">
        <v>1430.9080967741934</v>
      </c>
      <c r="D8" s="3">
        <v>1430.9080967741934</v>
      </c>
      <c r="E8" s="3">
        <v>37.859320709677419</v>
      </c>
      <c r="F8" s="3">
        <v>9694.8387096774186</v>
      </c>
      <c r="G8" s="3">
        <v>0</v>
      </c>
      <c r="H8" s="3">
        <v>44358.150999999998</v>
      </c>
      <c r="I8" s="10">
        <v>5.937944469E-3</v>
      </c>
      <c r="J8" s="3">
        <v>300540</v>
      </c>
      <c r="K8" s="3">
        <v>1173.638942</v>
      </c>
      <c r="L8" s="3">
        <v>2.5776253107884028</v>
      </c>
      <c r="M8" s="3">
        <v>42.61531306839187</v>
      </c>
      <c r="O8" s="1">
        <f t="shared" si="1"/>
        <v>182</v>
      </c>
      <c r="P8" s="1">
        <f t="shared" si="2"/>
        <v>2.6458247594675445E-2</v>
      </c>
      <c r="Q8" s="1">
        <f t="shared" si="3"/>
        <v>6.0498245447595252E-2</v>
      </c>
      <c r="S8" s="1">
        <f t="shared" si="10"/>
        <v>1.2050898608383377E-4</v>
      </c>
      <c r="U8" s="1" t="s">
        <v>124</v>
      </c>
      <c r="W8" s="1">
        <f t="shared" si="4"/>
        <v>1795</v>
      </c>
      <c r="X8" s="1">
        <f t="shared" si="11"/>
        <v>182</v>
      </c>
      <c r="Y8" s="1">
        <f t="shared" si="5"/>
        <v>6.0666666666666664</v>
      </c>
      <c r="Z8" s="1">
        <f t="shared" si="0"/>
        <v>-9.9431304950534701E-4</v>
      </c>
      <c r="AA8" s="1">
        <f t="shared" si="6"/>
        <v>909.79228242928957</v>
      </c>
      <c r="AB8" s="1">
        <f t="shared" si="7"/>
        <v>1338.5102667849012</v>
      </c>
      <c r="AC8" s="144"/>
      <c r="AE8" s="1">
        <f t="shared" si="12"/>
        <v>0</v>
      </c>
      <c r="AF8" s="1">
        <f t="shared" si="8"/>
        <v>0</v>
      </c>
      <c r="AG8" s="147"/>
      <c r="AH8" s="3">
        <f t="shared" si="13"/>
        <v>238087.20068356523</v>
      </c>
      <c r="AI8" s="1">
        <f t="shared" si="9"/>
        <v>0.68024914481018628</v>
      </c>
    </row>
    <row r="9" spans="1:39" x14ac:dyDescent="0.3">
      <c r="A9" s="2">
        <v>44075</v>
      </c>
      <c r="B9" s="3">
        <v>1403.5948828666667</v>
      </c>
      <c r="C9" s="3">
        <v>1357.3933666666667</v>
      </c>
      <c r="D9" s="3">
        <v>1357.3933666666667</v>
      </c>
      <c r="E9" s="3">
        <v>46.2015162</v>
      </c>
      <c r="F9" s="3">
        <v>9660.7333333333336</v>
      </c>
      <c r="G9" s="3">
        <v>0</v>
      </c>
      <c r="H9" s="3">
        <v>40721.800999999999</v>
      </c>
      <c r="I9" s="10">
        <v>5.4511693459999991E-3</v>
      </c>
      <c r="J9" s="3">
        <v>289822</v>
      </c>
      <c r="K9" s="3">
        <v>1386.045486</v>
      </c>
      <c r="L9" s="3">
        <v>3.291656072843411</v>
      </c>
      <c r="M9" s="3">
        <v>44.765269974184093</v>
      </c>
      <c r="O9" s="1">
        <f t="shared" si="1"/>
        <v>213</v>
      </c>
      <c r="P9" s="1">
        <f t="shared" si="2"/>
        <v>3.4036939721796687E-2</v>
      </c>
      <c r="Q9" s="1">
        <f t="shared" si="3"/>
        <v>-5.4579785904925911E-3</v>
      </c>
      <c r="S9" s="1">
        <f t="shared" si="10"/>
        <v>2.8667714085638287E-4</v>
      </c>
      <c r="W9" s="1">
        <f t="shared" si="4"/>
        <v>1764</v>
      </c>
      <c r="X9" s="1">
        <f t="shared" si="11"/>
        <v>213</v>
      </c>
      <c r="Y9" s="1">
        <f t="shared" si="5"/>
        <v>7.1</v>
      </c>
      <c r="Z9" s="1">
        <f t="shared" si="0"/>
        <v>-9.8188711276145455E-4</v>
      </c>
      <c r="AA9" s="1">
        <f t="shared" si="6"/>
        <v>889.10326315039958</v>
      </c>
      <c r="AB9" s="1">
        <f t="shared" si="7"/>
        <v>1303.0277405209381</v>
      </c>
      <c r="AC9" s="144"/>
      <c r="AE9" s="1">
        <f t="shared" si="12"/>
        <v>0</v>
      </c>
      <c r="AF9" s="1">
        <f t="shared" si="8"/>
        <v>0</v>
      </c>
      <c r="AG9" s="147"/>
      <c r="AH9" s="3">
        <f t="shared" si="13"/>
        <v>278809.00168356521</v>
      </c>
      <c r="AI9" s="1">
        <f t="shared" si="9"/>
        <v>0.79659714766732914</v>
      </c>
    </row>
    <row r="10" spans="1:39" x14ac:dyDescent="0.3">
      <c r="A10" s="2">
        <v>44105</v>
      </c>
      <c r="B10" s="3">
        <v>1270.4100427419353</v>
      </c>
      <c r="C10" s="3">
        <v>1216.9313225806452</v>
      </c>
      <c r="D10" s="3">
        <v>1216.9313225806452</v>
      </c>
      <c r="E10" s="3">
        <v>53.478720161290319</v>
      </c>
      <c r="F10" s="3">
        <v>9946.322580645161</v>
      </c>
      <c r="G10" s="3">
        <v>0</v>
      </c>
      <c r="H10" s="3">
        <v>37724.870999999999</v>
      </c>
      <c r="I10" s="10">
        <v>5.0499893249999995E-3</v>
      </c>
      <c r="J10" s="3">
        <v>308336</v>
      </c>
      <c r="K10" s="3">
        <v>1657.8403249999999</v>
      </c>
      <c r="L10" s="3">
        <v>4.2095637126629448</v>
      </c>
      <c r="M10" s="3">
        <v>51.408307606936546</v>
      </c>
      <c r="O10" s="1">
        <f t="shared" si="1"/>
        <v>243</v>
      </c>
      <c r="P10" s="1">
        <f t="shared" si="2"/>
        <v>4.3945553186914801E-2</v>
      </c>
      <c r="Q10" s="1">
        <f t="shared" si="3"/>
        <v>-6.8310893130753197E-2</v>
      </c>
      <c r="S10" s="1">
        <f t="shared" si="10"/>
        <v>-2.2533035615419779E-5</v>
      </c>
      <c r="U10" s="1" t="s">
        <v>125</v>
      </c>
      <c r="W10" s="1">
        <f t="shared" si="4"/>
        <v>1734</v>
      </c>
      <c r="X10" s="1">
        <f t="shared" si="11"/>
        <v>243</v>
      </c>
      <c r="Y10" s="1">
        <f t="shared" si="5"/>
        <v>8.1</v>
      </c>
      <c r="Z10" s="1">
        <f t="shared" si="0"/>
        <v>-9.3587948622192809E-4</v>
      </c>
      <c r="AA10" s="1">
        <f t="shared" si="6"/>
        <v>869.52969767891352</v>
      </c>
      <c r="AB10" s="1">
        <f t="shared" si="7"/>
        <v>1269.5856503231544</v>
      </c>
      <c r="AC10" s="144"/>
      <c r="AE10" s="1">
        <f t="shared" si="12"/>
        <v>0</v>
      </c>
      <c r="AF10" s="1">
        <f t="shared" si="8"/>
        <v>0</v>
      </c>
      <c r="AG10" s="147"/>
      <c r="AH10" s="3">
        <f t="shared" si="13"/>
        <v>316533.87268356519</v>
      </c>
      <c r="AI10" s="1">
        <f t="shared" si="9"/>
        <v>0.90438249338161492</v>
      </c>
    </row>
    <row r="11" spans="1:39" x14ac:dyDescent="0.3">
      <c r="A11" s="2">
        <v>44136</v>
      </c>
      <c r="B11" s="3">
        <v>1329.0920976333334</v>
      </c>
      <c r="C11" s="3">
        <v>1287.0538000000001</v>
      </c>
      <c r="D11" s="3">
        <v>1287.0538000000001</v>
      </c>
      <c r="E11" s="3">
        <v>42.038297633333329</v>
      </c>
      <c r="F11" s="3">
        <v>10882.533333333333</v>
      </c>
      <c r="G11" s="3">
        <v>0</v>
      </c>
      <c r="H11" s="3">
        <v>38611.614000000001</v>
      </c>
      <c r="I11" s="10">
        <v>5.1686919889999995E-3</v>
      </c>
      <c r="J11" s="3">
        <v>326476</v>
      </c>
      <c r="K11" s="3">
        <v>1261.148929</v>
      </c>
      <c r="L11" s="3">
        <v>3.1629333819822887</v>
      </c>
      <c r="M11" s="3">
        <v>53.182670499088694</v>
      </c>
      <c r="O11" s="1">
        <f t="shared" si="1"/>
        <v>274</v>
      </c>
      <c r="P11" s="1">
        <f t="shared" si="2"/>
        <v>3.2662424549256081E-2</v>
      </c>
      <c r="Q11" s="1">
        <f t="shared" si="3"/>
        <v>-1.3380127919757687E-2</v>
      </c>
      <c r="S11" s="1">
        <f t="shared" si="10"/>
        <v>-2.5080877245276916E-4</v>
      </c>
      <c r="T11" s="55" t="s">
        <v>126</v>
      </c>
      <c r="W11" s="1">
        <f t="shared" si="4"/>
        <v>1703</v>
      </c>
      <c r="X11" s="1">
        <f t="shared" si="11"/>
        <v>274</v>
      </c>
      <c r="Y11" s="1">
        <f t="shared" si="5"/>
        <v>9.1333333333333329</v>
      </c>
      <c r="Z11" s="1">
        <f t="shared" si="0"/>
        <v>-9.8581231873816257E-4</v>
      </c>
      <c r="AA11" s="1">
        <f t="shared" si="6"/>
        <v>849.75626474671617</v>
      </c>
      <c r="AB11" s="1">
        <f t="shared" si="7"/>
        <v>1235.9302445337407</v>
      </c>
      <c r="AC11" s="144"/>
      <c r="AE11" s="1">
        <f t="shared" si="12"/>
        <v>0</v>
      </c>
      <c r="AF11" s="1">
        <f t="shared" si="8"/>
        <v>0</v>
      </c>
      <c r="AG11" s="147"/>
      <c r="AH11" s="3">
        <f t="shared" si="13"/>
        <v>355145.48668356519</v>
      </c>
      <c r="AI11" s="1">
        <f t="shared" si="9"/>
        <v>1.0147013905244722</v>
      </c>
    </row>
    <row r="12" spans="1:39" x14ac:dyDescent="0.3">
      <c r="A12" s="2">
        <v>44166</v>
      </c>
      <c r="B12" s="3">
        <v>888.36528690322586</v>
      </c>
      <c r="C12" s="3">
        <v>863.62567741935482</v>
      </c>
      <c r="D12" s="3">
        <v>863.62567741935482</v>
      </c>
      <c r="E12" s="3">
        <v>24.739609483870968</v>
      </c>
      <c r="F12" s="3">
        <v>6425.4193548387093</v>
      </c>
      <c r="G12" s="3">
        <v>0</v>
      </c>
      <c r="H12" s="3">
        <v>26772.396000000001</v>
      </c>
      <c r="I12" s="10">
        <v>3.5838509299999997E-3</v>
      </c>
      <c r="J12" s="3">
        <v>199188</v>
      </c>
      <c r="K12" s="3">
        <v>766.92789400000004</v>
      </c>
      <c r="L12" s="3">
        <v>2.7848464869796268</v>
      </c>
      <c r="M12" s="3">
        <v>46.796434745698512</v>
      </c>
      <c r="O12" s="1">
        <f t="shared" si="1"/>
        <v>304</v>
      </c>
      <c r="P12" s="1">
        <f t="shared" si="2"/>
        <v>2.8646218067295882E-2</v>
      </c>
      <c r="Q12" s="1">
        <f t="shared" si="3"/>
        <v>-7.2226570229201495E-2</v>
      </c>
      <c r="S12" s="1">
        <f t="shared" si="10"/>
        <v>-4.408915023817311E-5</v>
      </c>
      <c r="T12" s="81" t="s">
        <v>139</v>
      </c>
      <c r="U12" s="82"/>
      <c r="V12" s="85">
        <f>((LN(1567.2/30) )/ 0.026)</f>
        <v>152.14801865262217</v>
      </c>
      <c r="W12" s="1">
        <f t="shared" si="4"/>
        <v>1673</v>
      </c>
      <c r="X12" s="1">
        <f t="shared" si="11"/>
        <v>304</v>
      </c>
      <c r="Y12" s="1">
        <f t="shared" si="5"/>
        <v>10.133333333333333</v>
      </c>
      <c r="Z12" s="1">
        <f t="shared" si="0"/>
        <v>-7.6501303087037986E-4</v>
      </c>
      <c r="AA12" s="1">
        <f t="shared" si="6"/>
        <v>831.04892154803122</v>
      </c>
      <c r="AB12" s="1">
        <f t="shared" si="7"/>
        <v>1204.210205557946</v>
      </c>
      <c r="AC12" s="144"/>
      <c r="AE12" s="1">
        <f t="shared" si="12"/>
        <v>0</v>
      </c>
      <c r="AF12" s="1">
        <f t="shared" si="8"/>
        <v>0</v>
      </c>
      <c r="AG12" s="147"/>
      <c r="AH12" s="3">
        <f t="shared" si="13"/>
        <v>381917.8826835652</v>
      </c>
      <c r="AI12" s="1">
        <f t="shared" si="9"/>
        <v>1.0911939505244719</v>
      </c>
    </row>
    <row r="13" spans="1:39" s="55" customFormat="1" x14ac:dyDescent="0.3">
      <c r="A13" s="59">
        <v>44197</v>
      </c>
      <c r="B13" s="58">
        <v>251.94807138709677</v>
      </c>
      <c r="C13" s="58">
        <v>244.61619354838709</v>
      </c>
      <c r="D13" s="58">
        <v>244.61619354838709</v>
      </c>
      <c r="E13" s="58">
        <v>7.3318778387096781</v>
      </c>
      <c r="F13" s="58">
        <v>3963.0967741935483</v>
      </c>
      <c r="G13" s="58">
        <v>0</v>
      </c>
      <c r="H13" s="58">
        <v>7583.1019999999999</v>
      </c>
      <c r="I13" s="60">
        <v>1.0151017929999999E-3</v>
      </c>
      <c r="J13" s="58">
        <v>122856</v>
      </c>
      <c r="K13" s="58">
        <v>227.28821300000001</v>
      </c>
      <c r="L13" s="58">
        <v>2.9100750001157469</v>
      </c>
      <c r="M13" s="58">
        <v>101.9028451417375</v>
      </c>
      <c r="O13" s="55">
        <f t="shared" si="1"/>
        <v>335</v>
      </c>
      <c r="P13" s="55">
        <f t="shared" si="2"/>
        <v>2.9972986384727521E-2</v>
      </c>
      <c r="Q13" s="55">
        <f t="shared" si="3"/>
        <v>0.33507801688577032</v>
      </c>
      <c r="S13" s="55">
        <f t="shared" si="10"/>
        <v>-2.1622029377794513E-4</v>
      </c>
      <c r="T13" s="83"/>
      <c r="U13" s="84"/>
      <c r="V13" s="86"/>
      <c r="W13" s="55">
        <f t="shared" si="4"/>
        <v>1642</v>
      </c>
      <c r="X13" s="1">
        <f t="shared" si="11"/>
        <v>335</v>
      </c>
      <c r="Y13" s="1">
        <f t="shared" si="5"/>
        <v>11.166666666666666</v>
      </c>
      <c r="Z13" s="55">
        <f t="shared" si="0"/>
        <v>-1.1216683747198892E-5</v>
      </c>
      <c r="AA13" s="55">
        <f t="shared" si="6"/>
        <v>812.15055596319871</v>
      </c>
      <c r="AB13" s="1">
        <f t="shared" si="7"/>
        <v>1172.2878353630008</v>
      </c>
      <c r="AC13" s="144"/>
      <c r="AD13" s="1"/>
      <c r="AE13" s="1">
        <f t="shared" si="12"/>
        <v>0</v>
      </c>
      <c r="AF13" s="1">
        <f t="shared" si="8"/>
        <v>0</v>
      </c>
      <c r="AG13" s="147"/>
      <c r="AH13" s="3">
        <f t="shared" si="13"/>
        <v>389500.98468356521</v>
      </c>
      <c r="AI13" s="1">
        <f t="shared" si="9"/>
        <v>1.1128599562387578</v>
      </c>
    </row>
    <row r="14" spans="1:39" s="55" customFormat="1" x14ac:dyDescent="0.3">
      <c r="A14" s="59">
        <v>44228</v>
      </c>
      <c r="B14" s="58">
        <v>92.447406535714279</v>
      </c>
      <c r="C14" s="58">
        <v>91.059607142857132</v>
      </c>
      <c r="D14" s="58">
        <v>91.059607142857132</v>
      </c>
      <c r="E14" s="58">
        <v>1.387799392857143</v>
      </c>
      <c r="F14" s="58">
        <v>1745.8928571428571</v>
      </c>
      <c r="G14" s="58">
        <v>0</v>
      </c>
      <c r="H14" s="58">
        <v>2549.6689999999999</v>
      </c>
      <c r="I14" s="60">
        <v>3.4130802299999998E-4</v>
      </c>
      <c r="J14" s="58">
        <v>48885</v>
      </c>
      <c r="K14" s="58">
        <v>38.858383000000003</v>
      </c>
      <c r="L14" s="58">
        <v>1.5011772042745282</v>
      </c>
      <c r="M14" s="58">
        <v>120.59481956285305</v>
      </c>
      <c r="O14" s="55">
        <f t="shared" si="1"/>
        <v>366</v>
      </c>
      <c r="P14" s="55">
        <f t="shared" si="2"/>
        <v>1.5240559853063284E-2</v>
      </c>
      <c r="Q14" s="55">
        <f t="shared" si="3"/>
        <v>6.5998340667930297E-2</v>
      </c>
      <c r="S14" s="55">
        <f t="shared" si="10"/>
        <v>9.2129631156050141E-4</v>
      </c>
      <c r="W14" s="55">
        <f t="shared" si="4"/>
        <v>1611</v>
      </c>
      <c r="X14" s="1">
        <f t="shared" si="11"/>
        <v>366</v>
      </c>
      <c r="Y14" s="1">
        <f t="shared" si="5"/>
        <v>12.2</v>
      </c>
      <c r="Z14" s="55">
        <f t="shared" si="0"/>
        <v>6.0196046860502253E-4</v>
      </c>
      <c r="AA14" s="55">
        <f t="shared" si="6"/>
        <v>793.681946331978</v>
      </c>
      <c r="AB14" s="1">
        <f t="shared" si="7"/>
        <v>1141.2116942683906</v>
      </c>
      <c r="AC14" s="144"/>
      <c r="AD14" s="1"/>
      <c r="AE14" s="1">
        <f t="shared" si="12"/>
        <v>0</v>
      </c>
      <c r="AF14" s="1">
        <f t="shared" si="8"/>
        <v>0</v>
      </c>
      <c r="AG14" s="147"/>
      <c r="AH14" s="3">
        <f t="shared" si="13"/>
        <v>392050.65368356521</v>
      </c>
      <c r="AI14" s="1">
        <f t="shared" si="9"/>
        <v>1.1201447248101863</v>
      </c>
    </row>
    <row r="15" spans="1:39" x14ac:dyDescent="0.3">
      <c r="A15" s="2">
        <v>44256</v>
      </c>
      <c r="B15" s="3">
        <v>1337.8140081612903</v>
      </c>
      <c r="C15" s="3">
        <v>1233.7707741935485</v>
      </c>
      <c r="D15" s="3">
        <v>1233.7707741935485</v>
      </c>
      <c r="E15" s="3">
        <v>104.04323396774193</v>
      </c>
      <c r="F15" s="3">
        <v>4431.9677419354839</v>
      </c>
      <c r="G15" s="3">
        <v>0</v>
      </c>
      <c r="H15" s="3">
        <v>38246.894</v>
      </c>
      <c r="I15" s="10">
        <v>5.1198692399999999E-3</v>
      </c>
      <c r="J15" s="3">
        <v>137391</v>
      </c>
      <c r="K15" s="3">
        <v>3225.3402529999998</v>
      </c>
      <c r="L15" s="3">
        <v>7.7771075301222448</v>
      </c>
      <c r="M15" s="3">
        <v>22.594302998826517</v>
      </c>
      <c r="O15" s="1">
        <f t="shared" si="1"/>
        <v>394</v>
      </c>
      <c r="P15" s="1">
        <f t="shared" si="2"/>
        <v>8.4329468766797103E-2</v>
      </c>
      <c r="Q15" s="1">
        <f t="shared" si="3"/>
        <v>-0.51403101691491682</v>
      </c>
      <c r="S15" s="1">
        <f t="shared" si="10"/>
        <v>1.6718368046882202E-4</v>
      </c>
      <c r="U15" s="55" t="s">
        <v>127</v>
      </c>
      <c r="V15" s="1">
        <v>30</v>
      </c>
      <c r="W15" s="1">
        <f t="shared" si="4"/>
        <v>1583</v>
      </c>
      <c r="X15" s="1">
        <f t="shared" si="11"/>
        <v>394</v>
      </c>
      <c r="Y15" s="1">
        <f t="shared" si="5"/>
        <v>13.133333333333333</v>
      </c>
      <c r="Z15" s="1">
        <f t="shared" si="0"/>
        <v>-1.0338331006348159E-3</v>
      </c>
      <c r="AA15" s="1">
        <f t="shared" si="6"/>
        <v>777.36187244381063</v>
      </c>
      <c r="AB15" s="1">
        <f t="shared" si="7"/>
        <v>1113.851602221783</v>
      </c>
      <c r="AC15" s="144"/>
      <c r="AE15" s="1">
        <f t="shared" si="12"/>
        <v>0</v>
      </c>
      <c r="AF15" s="1">
        <f t="shared" si="8"/>
        <v>0</v>
      </c>
      <c r="AG15" s="147"/>
      <c r="AH15" s="3">
        <f t="shared" si="13"/>
        <v>430297.54768356518</v>
      </c>
      <c r="AI15" s="1">
        <f t="shared" si="9"/>
        <v>1.2294215648101863</v>
      </c>
    </row>
    <row r="16" spans="1:39" x14ac:dyDescent="0.3">
      <c r="A16" s="2">
        <v>44287</v>
      </c>
      <c r="B16" s="3">
        <v>1375.1060987999999</v>
      </c>
      <c r="C16" s="3">
        <v>1341.4303</v>
      </c>
      <c r="D16" s="3">
        <v>1341.4303</v>
      </c>
      <c r="E16" s="3">
        <v>33.675798800000003</v>
      </c>
      <c r="F16" s="3">
        <v>4577.2</v>
      </c>
      <c r="G16" s="3">
        <v>0</v>
      </c>
      <c r="H16" s="3">
        <v>40242.909</v>
      </c>
      <c r="I16" s="10">
        <v>5.3862963529999995E-3</v>
      </c>
      <c r="J16" s="3">
        <v>137316</v>
      </c>
      <c r="K16" s="3">
        <v>1010.273964</v>
      </c>
      <c r="L16" s="3">
        <v>2.4489600351120191</v>
      </c>
      <c r="M16" s="3">
        <v>21.4619220693017</v>
      </c>
      <c r="O16" s="1">
        <f t="shared" si="1"/>
        <v>425</v>
      </c>
      <c r="P16" s="1">
        <f t="shared" si="2"/>
        <v>2.5104397000723783E-2</v>
      </c>
      <c r="Q16" s="1">
        <f t="shared" si="3"/>
        <v>-3.5482145819423841E-2</v>
      </c>
      <c r="S16" s="1">
        <f t="shared" si="10"/>
        <v>-1.2129995202998835E-3</v>
      </c>
      <c r="W16" s="1">
        <f t="shared" si="4"/>
        <v>1552</v>
      </c>
      <c r="X16" s="1">
        <f t="shared" si="11"/>
        <v>425</v>
      </c>
      <c r="Y16" s="1">
        <f t="shared" si="5"/>
        <v>14.166666666666666</v>
      </c>
      <c r="Z16" s="1">
        <f t="shared" si="0"/>
        <v>-1.1083885832460897E-3</v>
      </c>
      <c r="AA16" s="1">
        <f t="shared" si="6"/>
        <v>759.68437058292409</v>
      </c>
      <c r="AB16" s="1">
        <f t="shared" si="7"/>
        <v>1084.3245453805052</v>
      </c>
      <c r="AC16" s="144"/>
      <c r="AE16" s="1">
        <f t="shared" si="12"/>
        <v>0</v>
      </c>
      <c r="AF16" s="1">
        <f t="shared" si="8"/>
        <v>0</v>
      </c>
      <c r="AG16" s="147"/>
      <c r="AH16" s="3">
        <f t="shared" si="13"/>
        <v>470540.45668356516</v>
      </c>
      <c r="AI16" s="1">
        <f t="shared" si="9"/>
        <v>1.3444013048101862</v>
      </c>
    </row>
    <row r="17" spans="1:40" x14ac:dyDescent="0.3">
      <c r="A17" s="2">
        <v>44317</v>
      </c>
      <c r="B17" s="3">
        <v>1324.0872740967743</v>
      </c>
      <c r="C17" s="3">
        <v>1310.540870967742</v>
      </c>
      <c r="D17" s="3">
        <v>1310.540870967742</v>
      </c>
      <c r="E17" s="3">
        <v>13.546403129032258</v>
      </c>
      <c r="F17" s="3">
        <v>4430.9677419354839</v>
      </c>
      <c r="G17" s="3">
        <v>0</v>
      </c>
      <c r="H17" s="3">
        <v>40626.767</v>
      </c>
      <c r="I17" s="10">
        <v>5.43586539E-3</v>
      </c>
      <c r="J17" s="3">
        <v>137360</v>
      </c>
      <c r="K17" s="3">
        <v>419.93849699999998</v>
      </c>
      <c r="L17" s="3">
        <v>1.0230747922770371</v>
      </c>
      <c r="M17" s="3">
        <v>21.265953256876184</v>
      </c>
      <c r="O17" s="1">
        <f t="shared" si="1"/>
        <v>455</v>
      </c>
      <c r="P17" s="1">
        <f t="shared" si="2"/>
        <v>1.0336498028504212E-2</v>
      </c>
      <c r="Q17" s="1">
        <f t="shared" si="3"/>
        <v>0.18362465513066201</v>
      </c>
      <c r="S17" s="1">
        <f t="shared" si="10"/>
        <v>-7.8013869814472049E-5</v>
      </c>
      <c r="U17" s="55"/>
      <c r="W17" s="1">
        <f t="shared" si="4"/>
        <v>1522</v>
      </c>
      <c r="X17" s="1">
        <f t="shared" si="11"/>
        <v>455</v>
      </c>
      <c r="Y17" s="1">
        <f t="shared" si="5"/>
        <v>15.166666666666666</v>
      </c>
      <c r="Z17" s="1">
        <f t="shared" si="0"/>
        <v>-1.1149294211777127E-3</v>
      </c>
      <c r="AA17" s="1">
        <f t="shared" si="6"/>
        <v>742.95995579157466</v>
      </c>
      <c r="AB17" s="1">
        <f t="shared" si="7"/>
        <v>1056.4954530882808</v>
      </c>
      <c r="AC17" s="144"/>
      <c r="AE17" s="1">
        <f t="shared" si="12"/>
        <v>0</v>
      </c>
      <c r="AF17" s="1">
        <f t="shared" si="8"/>
        <v>0</v>
      </c>
      <c r="AG17" s="147"/>
      <c r="AH17" s="3">
        <f t="shared" si="13"/>
        <v>511167.22368356516</v>
      </c>
      <c r="AI17" s="1">
        <f t="shared" si="9"/>
        <v>1.4604777819530435</v>
      </c>
    </row>
    <row r="18" spans="1:40" x14ac:dyDescent="0.3">
      <c r="A18" s="2">
        <v>44348</v>
      </c>
      <c r="B18" s="3">
        <v>1393.2706940333333</v>
      </c>
      <c r="C18" s="3">
        <v>1365.4890666666665</v>
      </c>
      <c r="D18" s="3">
        <v>1365.4890666666665</v>
      </c>
      <c r="E18" s="3">
        <v>27.781627366666665</v>
      </c>
      <c r="F18" s="3">
        <v>4761.2666666666664</v>
      </c>
      <c r="G18" s="3">
        <v>0</v>
      </c>
      <c r="H18" s="3">
        <v>40964.671999999999</v>
      </c>
      <c r="I18" s="10">
        <v>5.4810771109999991E-3</v>
      </c>
      <c r="J18" s="3">
        <v>142838</v>
      </c>
      <c r="K18" s="3">
        <v>833.44882099999995</v>
      </c>
      <c r="L18" s="3">
        <v>1.9939863434751899</v>
      </c>
      <c r="M18" s="3">
        <v>21.931640326572126</v>
      </c>
      <c r="O18" s="1">
        <f t="shared" si="1"/>
        <v>486</v>
      </c>
      <c r="P18" s="1">
        <f t="shared" si="2"/>
        <v>2.0345550942040987E-2</v>
      </c>
      <c r="Q18" s="1">
        <f t="shared" si="3"/>
        <v>6.1701901428414176E-2</v>
      </c>
      <c r="S18" s="1">
        <f t="shared" si="10"/>
        <v>3.7871635850651915E-4</v>
      </c>
      <c r="W18" s="1">
        <f t="shared" si="4"/>
        <v>1491</v>
      </c>
      <c r="X18" s="1">
        <f t="shared" si="11"/>
        <v>486</v>
      </c>
      <c r="Y18" s="1">
        <f t="shared" si="5"/>
        <v>16.2</v>
      </c>
      <c r="Z18" s="1">
        <f t="shared" si="0"/>
        <v>-1.1656574805455862E-3</v>
      </c>
      <c r="AA18" s="1">
        <f t="shared" si="6"/>
        <v>726.06476647674378</v>
      </c>
      <c r="AB18" s="1">
        <f t="shared" si="7"/>
        <v>1028.4888485875874</v>
      </c>
      <c r="AC18" s="144"/>
      <c r="AE18" s="1">
        <f t="shared" si="12"/>
        <v>0</v>
      </c>
      <c r="AF18" s="1">
        <f t="shared" si="8"/>
        <v>0</v>
      </c>
      <c r="AG18" s="147"/>
      <c r="AH18" s="3">
        <f t="shared" si="13"/>
        <v>552131.89568356518</v>
      </c>
      <c r="AI18" s="1">
        <f t="shared" si="9"/>
        <v>1.5775197019530434</v>
      </c>
    </row>
    <row r="19" spans="1:40" x14ac:dyDescent="0.3">
      <c r="A19" s="2">
        <v>44378</v>
      </c>
      <c r="B19" s="3">
        <v>1353.7462640967742</v>
      </c>
      <c r="C19" s="3">
        <v>1309.9440967741934</v>
      </c>
      <c r="D19" s="3">
        <v>1309.9440967741934</v>
      </c>
      <c r="E19" s="3">
        <v>43.802167322580644</v>
      </c>
      <c r="F19" s="3">
        <v>4727.677419354839</v>
      </c>
      <c r="G19" s="3">
        <v>0</v>
      </c>
      <c r="H19" s="3">
        <v>40608.267</v>
      </c>
      <c r="I19" s="10">
        <v>5.4333900889999998E-3</v>
      </c>
      <c r="J19" s="3">
        <v>146558</v>
      </c>
      <c r="K19" s="3">
        <v>1357.8671870000001</v>
      </c>
      <c r="L19" s="3">
        <v>3.2356260906696321</v>
      </c>
      <c r="M19" s="3">
        <v>22.700316376465903</v>
      </c>
      <c r="O19" s="1">
        <f t="shared" si="1"/>
        <v>516</v>
      </c>
      <c r="P19" s="1">
        <f t="shared" si="2"/>
        <v>3.3438195897401879E-2</v>
      </c>
      <c r="Q19" s="1">
        <f t="shared" si="3"/>
        <v>2.7998397788235777E-2</v>
      </c>
      <c r="S19" s="1">
        <f t="shared" si="10"/>
        <v>1.1960071868870354E-4</v>
      </c>
      <c r="W19" s="1">
        <f t="shared" si="4"/>
        <v>1461</v>
      </c>
      <c r="X19" s="1">
        <f t="shared" si="11"/>
        <v>516</v>
      </c>
      <c r="Y19" s="1">
        <f t="shared" si="5"/>
        <v>17.2</v>
      </c>
      <c r="Z19" s="1">
        <f t="shared" si="0"/>
        <v>-1.1611684534656547E-3</v>
      </c>
      <c r="AA19" s="1">
        <f t="shared" si="6"/>
        <v>710.08048564887338</v>
      </c>
      <c r="AB19" s="1">
        <f t="shared" si="7"/>
        <v>1002.0927744501863</v>
      </c>
      <c r="AC19" s="144"/>
      <c r="AE19" s="1">
        <f t="shared" si="12"/>
        <v>0</v>
      </c>
      <c r="AF19" s="1">
        <f t="shared" si="8"/>
        <v>0</v>
      </c>
      <c r="AG19" s="147"/>
      <c r="AH19" s="3">
        <f t="shared" si="13"/>
        <v>592740.16268356517</v>
      </c>
      <c r="AI19" s="1">
        <f t="shared" si="9"/>
        <v>1.6935433219530434</v>
      </c>
    </row>
    <row r="20" spans="1:40" x14ac:dyDescent="0.3">
      <c r="A20" s="2">
        <v>44409</v>
      </c>
      <c r="B20" s="3">
        <v>1372.0459587419357</v>
      </c>
      <c r="C20" s="3">
        <v>1335.1410645161291</v>
      </c>
      <c r="D20" s="3">
        <v>1335.1410645161291</v>
      </c>
      <c r="E20" s="3">
        <v>36.904894225806451</v>
      </c>
      <c r="F20" s="3">
        <v>4836.9677419354839</v>
      </c>
      <c r="G20" s="3">
        <v>0</v>
      </c>
      <c r="H20" s="3">
        <v>41389.373</v>
      </c>
      <c r="I20" s="10">
        <v>5.5379021460000002E-3</v>
      </c>
      <c r="J20" s="3">
        <v>149946</v>
      </c>
      <c r="K20" s="3">
        <v>1144.051721</v>
      </c>
      <c r="L20" s="3">
        <v>2.6897709942344425</v>
      </c>
      <c r="M20" s="3">
        <v>22.786775503943971</v>
      </c>
      <c r="O20" s="1">
        <f t="shared" si="1"/>
        <v>547</v>
      </c>
      <c r="P20" s="1">
        <f t="shared" si="2"/>
        <v>2.7641194782051903E-2</v>
      </c>
      <c r="Q20" s="1">
        <f t="shared" si="3"/>
        <v>6.9695139830486391E-2</v>
      </c>
      <c r="S20" s="1">
        <f t="shared" si="10"/>
        <v>5.1240275661536048E-5</v>
      </c>
      <c r="W20" s="1">
        <f t="shared" si="4"/>
        <v>1430</v>
      </c>
      <c r="X20" s="1">
        <f t="shared" si="11"/>
        <v>547</v>
      </c>
      <c r="Y20" s="1">
        <f t="shared" si="5"/>
        <v>18.233333333333334</v>
      </c>
      <c r="Z20" s="1">
        <f t="shared" si="0"/>
        <v>-1.1996640566455548E-3</v>
      </c>
      <c r="AA20" s="1">
        <f t="shared" si="6"/>
        <v>693.93298787286881</v>
      </c>
      <c r="AB20" s="1">
        <f t="shared" si="7"/>
        <v>975.52832883426743</v>
      </c>
      <c r="AC20" s="144"/>
      <c r="AE20" s="1">
        <f t="shared" si="12"/>
        <v>0</v>
      </c>
      <c r="AF20" s="1">
        <f t="shared" si="8"/>
        <v>0</v>
      </c>
      <c r="AG20" s="147"/>
      <c r="AH20" s="3">
        <f t="shared" si="13"/>
        <v>634129.53568356519</v>
      </c>
      <c r="AI20" s="1">
        <f t="shared" si="9"/>
        <v>1.8117986733816149</v>
      </c>
    </row>
    <row r="21" spans="1:40" x14ac:dyDescent="0.3">
      <c r="A21" s="2">
        <v>44440</v>
      </c>
      <c r="B21" s="3">
        <v>1361.4272369333335</v>
      </c>
      <c r="C21" s="3">
        <v>1313.3391999999999</v>
      </c>
      <c r="D21" s="3">
        <v>1313.3391999999999</v>
      </c>
      <c r="E21" s="3">
        <v>48.088036933333335</v>
      </c>
      <c r="F21" s="3">
        <v>4842.8666666666668</v>
      </c>
      <c r="G21" s="3">
        <v>0</v>
      </c>
      <c r="H21" s="3">
        <v>39400.175999999999</v>
      </c>
      <c r="I21" s="10">
        <v>5.2717473959999995E-3</v>
      </c>
      <c r="J21" s="3">
        <v>145286</v>
      </c>
      <c r="K21" s="3">
        <v>1442.641108</v>
      </c>
      <c r="L21" s="3">
        <v>3.5321782632800462</v>
      </c>
      <c r="M21" s="3">
        <v>23.193294436045161</v>
      </c>
      <c r="O21" s="1">
        <f t="shared" si="1"/>
        <v>578</v>
      </c>
      <c r="P21" s="1">
        <f t="shared" si="2"/>
        <v>3.6615092988417114E-2</v>
      </c>
      <c r="Q21" s="1">
        <f t="shared" si="3"/>
        <v>1.3858666019472219E-2</v>
      </c>
      <c r="S21" s="1">
        <f t="shared" si="10"/>
        <v>1.2079662127149471E-4</v>
      </c>
      <c r="W21" s="1">
        <f t="shared" si="4"/>
        <v>1399</v>
      </c>
      <c r="X21" s="1">
        <f t="shared" si="11"/>
        <v>578</v>
      </c>
      <c r="Y21" s="1">
        <f t="shared" si="5"/>
        <v>19.266666666666666</v>
      </c>
      <c r="Z21" s="1">
        <f t="shared" si="0"/>
        <v>-1.214478591898382E-3</v>
      </c>
      <c r="AA21" s="1">
        <f t="shared" si="6"/>
        <v>678.15269028007697</v>
      </c>
      <c r="AB21" s="1">
        <f t="shared" si="7"/>
        <v>949.66807926573404</v>
      </c>
      <c r="AC21" s="144"/>
      <c r="AE21" s="1">
        <f t="shared" si="12"/>
        <v>0</v>
      </c>
      <c r="AF21" s="1">
        <f t="shared" si="8"/>
        <v>0</v>
      </c>
      <c r="AG21" s="147"/>
      <c r="AH21" s="3">
        <f t="shared" si="13"/>
        <v>673529.71168356517</v>
      </c>
      <c r="AI21" s="1">
        <f t="shared" si="9"/>
        <v>1.9243706048101863</v>
      </c>
    </row>
    <row r="22" spans="1:40" x14ac:dyDescent="0.3">
      <c r="A22" s="2">
        <v>44470</v>
      </c>
      <c r="B22" s="3">
        <v>1353.1025188387096</v>
      </c>
      <c r="C22" s="3">
        <v>1307.3330645161288</v>
      </c>
      <c r="D22" s="3">
        <v>1307.3330645161288</v>
      </c>
      <c r="E22" s="3">
        <v>45.76945432258065</v>
      </c>
      <c r="F22" s="3">
        <v>5087.6451612903229</v>
      </c>
      <c r="G22" s="3">
        <v>0</v>
      </c>
      <c r="H22" s="3">
        <v>40527.324999999997</v>
      </c>
      <c r="I22" s="10">
        <v>5.4225600379999997E-3</v>
      </c>
      <c r="J22" s="3">
        <v>157717</v>
      </c>
      <c r="K22" s="3">
        <v>1418.8530840000001</v>
      </c>
      <c r="L22" s="3">
        <v>3.3825562871512465</v>
      </c>
      <c r="M22" s="3">
        <v>24.477519466187317</v>
      </c>
      <c r="O22" s="1">
        <f t="shared" si="1"/>
        <v>608</v>
      </c>
      <c r="P22" s="1">
        <f t="shared" si="2"/>
        <v>3.5009788679613081E-2</v>
      </c>
      <c r="Q22" s="1">
        <f t="shared" si="3"/>
        <v>5.9362109573199099E-3</v>
      </c>
      <c r="S22" s="1">
        <f t="shared" si="10"/>
        <v>2.2794230800422992E-5</v>
      </c>
      <c r="W22" s="1">
        <f t="shared" si="4"/>
        <v>1369</v>
      </c>
      <c r="X22" s="1">
        <f t="shared" si="11"/>
        <v>608</v>
      </c>
      <c r="Y22" s="1">
        <f t="shared" si="5"/>
        <v>20.266666666666666</v>
      </c>
      <c r="Z22" s="1">
        <f t="shared" si="0"/>
        <v>-1.2377442526752998E-3</v>
      </c>
      <c r="AA22" s="1">
        <f t="shared" si="6"/>
        <v>663.22319149966802</v>
      </c>
      <c r="AB22" s="1">
        <f t="shared" si="7"/>
        <v>925.29493310994792</v>
      </c>
      <c r="AC22" s="144"/>
      <c r="AE22" s="1">
        <f t="shared" si="12"/>
        <v>0</v>
      </c>
      <c r="AF22" s="1">
        <f t="shared" si="8"/>
        <v>0</v>
      </c>
      <c r="AG22" s="147"/>
      <c r="AH22" s="3">
        <f t="shared" si="13"/>
        <v>714057.03668356512</v>
      </c>
      <c r="AI22" s="1">
        <f t="shared" si="9"/>
        <v>2.040162961953043</v>
      </c>
    </row>
    <row r="23" spans="1:40" x14ac:dyDescent="0.3">
      <c r="A23" s="2">
        <v>44501</v>
      </c>
      <c r="B23" s="3">
        <v>1396.4542509333332</v>
      </c>
      <c r="C23" s="3">
        <v>1345.3244666666665</v>
      </c>
      <c r="D23" s="3">
        <v>1345.3244666666665</v>
      </c>
      <c r="E23" s="3">
        <v>51.129784266666668</v>
      </c>
      <c r="F23" s="3">
        <v>4611.3999999999996</v>
      </c>
      <c r="G23" s="3">
        <v>0</v>
      </c>
      <c r="H23" s="3">
        <v>40359.733999999997</v>
      </c>
      <c r="I23" s="10">
        <v>5.4001363469999997E-3</v>
      </c>
      <c r="J23" s="3">
        <v>138342</v>
      </c>
      <c r="K23" s="3">
        <v>1533.8935280000001</v>
      </c>
      <c r="L23" s="3">
        <v>3.6614005960090421</v>
      </c>
      <c r="M23" s="3">
        <v>21.559693916714117</v>
      </c>
      <c r="O23" s="1">
        <f t="shared" si="1"/>
        <v>639</v>
      </c>
      <c r="P23" s="1">
        <f t="shared" si="2"/>
        <v>3.8005541067242916E-2</v>
      </c>
      <c r="Q23" s="1">
        <f t="shared" si="3"/>
        <v>0.12110840668589018</v>
      </c>
      <c r="S23" s="1">
        <f t="shared" si="10"/>
        <v>9.3042008364915017E-6</v>
      </c>
      <c r="W23" s="1">
        <f t="shared" si="4"/>
        <v>1338</v>
      </c>
      <c r="X23" s="1">
        <f t="shared" si="11"/>
        <v>639</v>
      </c>
      <c r="Y23" s="1">
        <f t="shared" si="5"/>
        <v>21.3</v>
      </c>
      <c r="Z23" s="1">
        <f t="shared" si="0"/>
        <v>-1.2878309951769007E-3</v>
      </c>
      <c r="AA23" s="1">
        <f t="shared" si="6"/>
        <v>648.14124624673059</v>
      </c>
      <c r="AB23" s="1">
        <f t="shared" si="7"/>
        <v>900.76631903749285</v>
      </c>
      <c r="AC23" s="144"/>
      <c r="AE23" s="1">
        <f t="shared" si="12"/>
        <v>0</v>
      </c>
      <c r="AF23" s="1">
        <f t="shared" si="8"/>
        <v>0</v>
      </c>
      <c r="AG23" s="147"/>
      <c r="AH23" s="3">
        <f t="shared" si="13"/>
        <v>754416.77068356518</v>
      </c>
      <c r="AI23" s="1">
        <f t="shared" si="9"/>
        <v>2.1554764876673289</v>
      </c>
    </row>
    <row r="24" spans="1:40" x14ac:dyDescent="0.3">
      <c r="A24" s="2">
        <v>44531</v>
      </c>
      <c r="B24" s="3">
        <v>1389.3095203548387</v>
      </c>
      <c r="C24" s="3">
        <v>1341.5796774193548</v>
      </c>
      <c r="D24" s="3">
        <v>1341.5796774193548</v>
      </c>
      <c r="E24" s="3">
        <v>47.729842935483873</v>
      </c>
      <c r="F24" s="3">
        <v>4761.4193548387093</v>
      </c>
      <c r="G24" s="3">
        <v>0</v>
      </c>
      <c r="H24" s="3">
        <v>41588.97</v>
      </c>
      <c r="I24" s="10">
        <v>5.564608242999999E-3</v>
      </c>
      <c r="J24" s="3">
        <v>147604</v>
      </c>
      <c r="K24" s="3">
        <v>1479.625131</v>
      </c>
      <c r="L24" s="3">
        <v>3.4355082316929173</v>
      </c>
      <c r="M24" s="3">
        <v>22.323217891666946</v>
      </c>
      <c r="O24" s="1">
        <f t="shared" si="1"/>
        <v>669</v>
      </c>
      <c r="P24" s="1">
        <f t="shared" si="2"/>
        <v>3.5577344930639063E-2</v>
      </c>
      <c r="Q24" s="1">
        <f t="shared" si="3"/>
        <v>2.8066014240828467</v>
      </c>
      <c r="S24" s="1">
        <f t="shared" si="10"/>
        <v>1.8101910878075983E-4</v>
      </c>
      <c r="W24" s="1">
        <f t="shared" si="4"/>
        <v>1308</v>
      </c>
      <c r="X24" s="1">
        <f t="shared" si="11"/>
        <v>669</v>
      </c>
      <c r="Y24" s="1">
        <f t="shared" si="5"/>
        <v>22.3</v>
      </c>
      <c r="Z24" s="1">
        <f t="shared" si="0"/>
        <v>-1.3152373331982879E-3</v>
      </c>
      <c r="AA24" s="1">
        <f t="shared" si="6"/>
        <v>633.87244795975937</v>
      </c>
      <c r="AB24" s="1">
        <f t="shared" si="7"/>
        <v>877.6482321759388</v>
      </c>
      <c r="AC24" s="144"/>
      <c r="AE24" s="1">
        <f t="shared" si="12"/>
        <v>0</v>
      </c>
      <c r="AF24" s="1">
        <f t="shared" si="8"/>
        <v>0</v>
      </c>
      <c r="AG24" s="147"/>
      <c r="AH24" s="3">
        <f t="shared" si="13"/>
        <v>796005.74068356515</v>
      </c>
      <c r="AI24" s="1">
        <f t="shared" si="9"/>
        <v>2.2743021162387573</v>
      </c>
    </row>
    <row r="25" spans="1:40" x14ac:dyDescent="0.3">
      <c r="A25" s="2">
        <v>44562</v>
      </c>
      <c r="B25" s="3">
        <v>1304.4072378709677</v>
      </c>
      <c r="C25" s="3">
        <v>1243.4203225806452</v>
      </c>
      <c r="D25" s="3">
        <v>1243.4203225806452</v>
      </c>
      <c r="E25" s="3">
        <v>60.986915290322578</v>
      </c>
      <c r="F25" s="3">
        <v>4586.2580645161288</v>
      </c>
      <c r="G25" s="3">
        <v>0</v>
      </c>
      <c r="H25" s="3">
        <v>38546.03</v>
      </c>
      <c r="I25" s="10">
        <v>5.1574625749999997E-3</v>
      </c>
      <c r="J25" s="3">
        <v>142174</v>
      </c>
      <c r="K25" s="3">
        <v>1890.594374</v>
      </c>
      <c r="L25" s="3">
        <v>4.6754505433337243</v>
      </c>
      <c r="M25" s="3">
        <v>23.199432605640581</v>
      </c>
      <c r="O25" s="1">
        <f t="shared" si="1"/>
        <v>700</v>
      </c>
      <c r="P25" s="1">
        <f t="shared" si="2"/>
        <v>4.9047706702869266E-2</v>
      </c>
      <c r="Q25" s="1">
        <f t="shared" si="3"/>
        <v>4.3585665102649047</v>
      </c>
      <c r="S25" s="1">
        <f t="shared" si="10"/>
        <v>4.0120548257007718E-3</v>
      </c>
      <c r="W25" s="1">
        <f t="shared" si="4"/>
        <v>1277</v>
      </c>
      <c r="X25" s="1">
        <f t="shared" si="11"/>
        <v>700</v>
      </c>
      <c r="Y25" s="1">
        <f t="shared" si="5"/>
        <v>23.333333333333332</v>
      </c>
      <c r="Z25" s="1">
        <f t="shared" si="0"/>
        <v>-1.2876652744802574E-3</v>
      </c>
      <c r="AA25" s="1">
        <f t="shared" si="6"/>
        <v>619.45794967320592</v>
      </c>
      <c r="AB25" s="1">
        <f t="shared" si="7"/>
        <v>854.3826829893012</v>
      </c>
      <c r="AC25" s="144"/>
      <c r="AE25" s="1">
        <f t="shared" si="12"/>
        <v>0</v>
      </c>
      <c r="AF25" s="1">
        <f t="shared" si="8"/>
        <v>0</v>
      </c>
      <c r="AG25" s="147"/>
      <c r="AH25" s="3">
        <f t="shared" si="13"/>
        <v>834551.77068356518</v>
      </c>
      <c r="AI25" s="1">
        <f t="shared" si="9"/>
        <v>2.3844336305244718</v>
      </c>
    </row>
    <row r="26" spans="1:40" x14ac:dyDescent="0.3">
      <c r="A26" s="2">
        <v>44593</v>
      </c>
      <c r="B26" s="3">
        <v>1469.031375</v>
      </c>
      <c r="C26" s="3">
        <v>1143.8161428571427</v>
      </c>
      <c r="D26" s="3">
        <v>1143.8161428571427</v>
      </c>
      <c r="E26" s="3">
        <v>325.21523214285713</v>
      </c>
      <c r="F26" s="3">
        <v>3917.0714285714284</v>
      </c>
      <c r="G26" s="3">
        <v>0</v>
      </c>
      <c r="H26" s="3">
        <v>32026.851999999999</v>
      </c>
      <c r="I26" s="10">
        <v>4.2851959210000005E-3</v>
      </c>
      <c r="J26" s="3">
        <v>109678</v>
      </c>
      <c r="K26" s="3">
        <v>9106.0264999999999</v>
      </c>
      <c r="L26" s="3">
        <v>22.138072588331013</v>
      </c>
      <c r="M26" s="3">
        <v>21.53982178454504</v>
      </c>
      <c r="O26" s="1">
        <f t="shared" si="1"/>
        <v>731</v>
      </c>
      <c r="P26" s="1">
        <f t="shared" si="2"/>
        <v>0.28432474412408693</v>
      </c>
      <c r="Q26" s="1">
        <f t="shared" si="3"/>
        <v>1.1136352482995542</v>
      </c>
      <c r="S26" s="1">
        <f t="shared" si="10"/>
        <v>5.9779913321821067E-3</v>
      </c>
      <c r="W26" s="1">
        <f t="shared" si="4"/>
        <v>1246</v>
      </c>
      <c r="X26" s="1">
        <f t="shared" si="11"/>
        <v>731</v>
      </c>
      <c r="Y26" s="1">
        <f t="shared" si="5"/>
        <v>24.366666666666667</v>
      </c>
      <c r="Z26" s="1">
        <f t="shared" si="0"/>
        <v>-1.252690862106719E-3</v>
      </c>
      <c r="AA26" s="1">
        <f t="shared" si="6"/>
        <v>605.37124250854424</v>
      </c>
      <c r="AB26" s="1">
        <f t="shared" si="7"/>
        <v>831.73387950909989</v>
      </c>
      <c r="AC26" s="144"/>
      <c r="AE26" s="1">
        <f t="shared" si="12"/>
        <v>0</v>
      </c>
      <c r="AF26" s="1">
        <f t="shared" si="8"/>
        <v>0</v>
      </c>
      <c r="AG26" s="147"/>
      <c r="AH26" s="3">
        <f t="shared" si="13"/>
        <v>866578.62268356513</v>
      </c>
      <c r="AI26" s="1">
        <f t="shared" si="9"/>
        <v>2.4759389219530434</v>
      </c>
    </row>
    <row r="27" spans="1:40" x14ac:dyDescent="0.3">
      <c r="A27" s="2">
        <v>44621</v>
      </c>
      <c r="B27" s="3">
        <v>1495.553527967742</v>
      </c>
      <c r="C27" s="3">
        <v>1066.9194838709677</v>
      </c>
      <c r="D27" s="3">
        <v>1066.9194838709677</v>
      </c>
      <c r="E27" s="3">
        <v>428.63404409677418</v>
      </c>
      <c r="F27" s="3">
        <v>4286.1935483870966</v>
      </c>
      <c r="G27" s="3">
        <v>0</v>
      </c>
      <c r="H27" s="3">
        <v>33074.504000000001</v>
      </c>
      <c r="I27" s="10">
        <v>4.4253718630000004E-3</v>
      </c>
      <c r="J27" s="3">
        <v>132872</v>
      </c>
      <c r="K27" s="3">
        <v>13287.655366999999</v>
      </c>
      <c r="L27" s="3">
        <v>28.660561864290525</v>
      </c>
      <c r="M27" s="3">
        <v>25.268354911686654</v>
      </c>
      <c r="O27" s="1">
        <f t="shared" si="1"/>
        <v>759</v>
      </c>
      <c r="P27" s="1">
        <f t="shared" si="2"/>
        <v>0.40174919530161357</v>
      </c>
      <c r="Q27" s="1">
        <f t="shared" si="3"/>
        <v>0.80118161193211557</v>
      </c>
      <c r="S27" s="1">
        <f t="shared" si="10"/>
        <v>1.4650812753046669E-3</v>
      </c>
      <c r="W27" s="1">
        <f t="shared" si="4"/>
        <v>1218</v>
      </c>
      <c r="X27" s="1">
        <f t="shared" si="11"/>
        <v>759</v>
      </c>
      <c r="Y27" s="1">
        <f t="shared" si="5"/>
        <v>25.3</v>
      </c>
      <c r="Z27" s="1">
        <f t="shared" si="0"/>
        <v>-1.2243498830966525E-3</v>
      </c>
      <c r="AA27" s="1">
        <f t="shared" si="6"/>
        <v>592.92330482623902</v>
      </c>
      <c r="AB27" s="1">
        <f t="shared" si="7"/>
        <v>811.7933937815684</v>
      </c>
      <c r="AC27" s="144"/>
      <c r="AE27" s="1">
        <f t="shared" si="12"/>
        <v>0</v>
      </c>
      <c r="AF27" s="1">
        <f t="shared" si="8"/>
        <v>0</v>
      </c>
      <c r="AG27" s="147"/>
      <c r="AH27" s="3">
        <f t="shared" si="13"/>
        <v>899653.12668356509</v>
      </c>
      <c r="AI27" s="1">
        <f t="shared" si="9"/>
        <v>2.5704375048101857</v>
      </c>
    </row>
    <row r="28" spans="1:40" x14ac:dyDescent="0.3">
      <c r="A28" s="2">
        <v>44652</v>
      </c>
      <c r="B28" s="3">
        <v>1410.6690943333333</v>
      </c>
      <c r="C28" s="3">
        <v>1029.1111666666666</v>
      </c>
      <c r="D28" s="3">
        <v>1029.1111666666666</v>
      </c>
      <c r="E28" s="3">
        <v>381.55792766666667</v>
      </c>
      <c r="F28" s="3">
        <v>4524.7666666666664</v>
      </c>
      <c r="G28" s="3">
        <v>0</v>
      </c>
      <c r="H28" s="3">
        <v>30873.334999999999</v>
      </c>
      <c r="I28" s="10">
        <v>4.130855234E-3</v>
      </c>
      <c r="J28" s="3">
        <v>135743</v>
      </c>
      <c r="K28" s="3">
        <v>11446.73783</v>
      </c>
      <c r="L28" s="3">
        <v>27.048010706365321</v>
      </c>
      <c r="M28" s="3">
        <v>27.654813495205492</v>
      </c>
      <c r="O28" s="1">
        <f t="shared" si="1"/>
        <v>790</v>
      </c>
      <c r="P28" s="1">
        <f t="shared" si="2"/>
        <v>0.37076453936706227</v>
      </c>
      <c r="Q28" s="1">
        <f t="shared" si="3"/>
        <v>2.4302916930012128</v>
      </c>
      <c r="S28" s="1">
        <f t="shared" si="10"/>
        <v>1.015301506898296E-3</v>
      </c>
      <c r="W28" s="1">
        <f t="shared" si="4"/>
        <v>1187</v>
      </c>
      <c r="X28" s="1">
        <f t="shared" si="11"/>
        <v>790</v>
      </c>
      <c r="Y28" s="1">
        <f t="shared" si="5"/>
        <v>26.333333333333332</v>
      </c>
      <c r="Z28" s="1">
        <f t="shared" si="0"/>
        <v>-1.2259293455226324E-3</v>
      </c>
      <c r="AA28" s="1">
        <f t="shared" si="6"/>
        <v>579.44000548268093</v>
      </c>
      <c r="AB28" s="1">
        <f t="shared" si="7"/>
        <v>790.27358841992941</v>
      </c>
      <c r="AC28" s="144"/>
      <c r="AE28" s="1">
        <f t="shared" si="12"/>
        <v>0</v>
      </c>
      <c r="AF28" s="1">
        <f t="shared" si="8"/>
        <v>0</v>
      </c>
      <c r="AG28" s="147"/>
      <c r="AH28" s="3">
        <f t="shared" si="13"/>
        <v>930526.46168356505</v>
      </c>
      <c r="AI28" s="1">
        <f t="shared" si="9"/>
        <v>2.6586470333816146</v>
      </c>
    </row>
    <row r="29" spans="1:40" x14ac:dyDescent="0.3">
      <c r="A29" s="2">
        <v>44682</v>
      </c>
      <c r="B29" s="3">
        <v>1360.5754504193549</v>
      </c>
      <c r="C29" s="3">
        <v>929.55635483870969</v>
      </c>
      <c r="D29" s="3">
        <v>929.55635483870969</v>
      </c>
      <c r="E29" s="3">
        <v>431.01909558064517</v>
      </c>
      <c r="F29" s="3">
        <v>4096.0322580645161</v>
      </c>
      <c r="G29" s="3">
        <v>0</v>
      </c>
      <c r="H29" s="3">
        <v>28816.246999999999</v>
      </c>
      <c r="I29" s="10">
        <v>3.8556166589999996E-3</v>
      </c>
      <c r="J29" s="3">
        <v>126977</v>
      </c>
      <c r="K29" s="3">
        <v>13361.591963000001</v>
      </c>
      <c r="L29" s="3">
        <v>31.67917629616182</v>
      </c>
      <c r="M29" s="3">
        <v>27.715612466814292</v>
      </c>
      <c r="O29" s="1">
        <f t="shared" si="1"/>
        <v>820</v>
      </c>
      <c r="P29" s="1">
        <f t="shared" si="2"/>
        <v>0.46368258722240963</v>
      </c>
      <c r="Q29" s="1">
        <f t="shared" si="3"/>
        <v>4.5985872989367014</v>
      </c>
      <c r="S29" s="1">
        <f t="shared" si="10"/>
        <v>2.9633296860664916E-3</v>
      </c>
      <c r="W29" s="1">
        <f t="shared" si="4"/>
        <v>1157</v>
      </c>
      <c r="X29" s="1">
        <f t="shared" si="11"/>
        <v>820</v>
      </c>
      <c r="Y29" s="1">
        <f t="shared" si="5"/>
        <v>27.333333333333332</v>
      </c>
      <c r="Z29" s="1">
        <f t="shared" si="0"/>
        <v>-1.1697794329884152E-3</v>
      </c>
      <c r="AA29" s="1">
        <f t="shared" si="6"/>
        <v>566.68366169880369</v>
      </c>
      <c r="AB29" s="1">
        <f t="shared" si="7"/>
        <v>769.99128758856</v>
      </c>
      <c r="AC29" s="144"/>
      <c r="AE29" s="1">
        <f t="shared" si="12"/>
        <v>0</v>
      </c>
      <c r="AF29" s="1">
        <f t="shared" si="8"/>
        <v>0</v>
      </c>
      <c r="AG29" s="147"/>
      <c r="AH29" s="3">
        <f t="shared" si="13"/>
        <v>959342.70868356503</v>
      </c>
      <c r="AI29" s="1">
        <f t="shared" si="9"/>
        <v>2.7409791676673283</v>
      </c>
    </row>
    <row r="30" spans="1:40" x14ac:dyDescent="0.3">
      <c r="A30" s="2">
        <v>44713</v>
      </c>
      <c r="B30" s="3">
        <v>1393.6611598999998</v>
      </c>
      <c r="C30" s="3">
        <v>898.25093333333325</v>
      </c>
      <c r="D30" s="3">
        <v>898.25093333333325</v>
      </c>
      <c r="E30" s="3">
        <v>495.41022656666667</v>
      </c>
      <c r="F30" s="3">
        <v>3964.9333333333334</v>
      </c>
      <c r="G30" s="3">
        <v>0</v>
      </c>
      <c r="H30" s="3">
        <v>26947.527999999998</v>
      </c>
      <c r="I30" s="10">
        <v>3.6055818710000001E-3</v>
      </c>
      <c r="J30" s="3">
        <v>118948</v>
      </c>
      <c r="K30" s="3">
        <v>14862.306796999999</v>
      </c>
      <c r="L30" s="3">
        <v>35.547394217559599</v>
      </c>
      <c r="M30" s="3">
        <v>27.7635533173952</v>
      </c>
      <c r="O30" s="1">
        <f t="shared" si="1"/>
        <v>851</v>
      </c>
      <c r="P30" s="1">
        <f t="shared" si="2"/>
        <v>0.55152765021711825</v>
      </c>
      <c r="Q30" s="1">
        <f t="shared" si="3"/>
        <v>5.2480617063766317</v>
      </c>
      <c r="S30" s="1">
        <f t="shared" si="10"/>
        <v>5.4092417733652906E-3</v>
      </c>
      <c r="W30" s="1">
        <f t="shared" si="4"/>
        <v>1126</v>
      </c>
      <c r="X30" s="1">
        <f t="shared" si="11"/>
        <v>851</v>
      </c>
      <c r="Y30" s="1">
        <f t="shared" si="5"/>
        <v>28.366666666666667</v>
      </c>
      <c r="Z30" s="1">
        <f t="shared" si="0"/>
        <v>-1.1715602437809788E-3</v>
      </c>
      <c r="AA30" s="1">
        <f t="shared" si="6"/>
        <v>553.79706172610088</v>
      </c>
      <c r="AB30" s="1">
        <f t="shared" si="7"/>
        <v>749.57961293588107</v>
      </c>
      <c r="AC30" s="144"/>
      <c r="AE30" s="1">
        <f t="shared" si="12"/>
        <v>0</v>
      </c>
      <c r="AF30" s="1">
        <f t="shared" si="8"/>
        <v>0</v>
      </c>
      <c r="AG30" s="147"/>
      <c r="AH30" s="3">
        <f t="shared" si="13"/>
        <v>986290.23668356508</v>
      </c>
      <c r="AI30" s="1">
        <f t="shared" si="9"/>
        <v>2.817972104810186</v>
      </c>
    </row>
    <row r="31" spans="1:40" x14ac:dyDescent="0.3">
      <c r="A31" s="2">
        <v>44743</v>
      </c>
      <c r="B31" s="3">
        <v>1478.1611292903226</v>
      </c>
      <c r="C31" s="3">
        <v>824.10958064516137</v>
      </c>
      <c r="D31" s="3">
        <v>824.10958064516137</v>
      </c>
      <c r="E31" s="3">
        <v>654.05154864516135</v>
      </c>
      <c r="F31" s="3">
        <v>3498.4193548387098</v>
      </c>
      <c r="G31" s="3">
        <v>0</v>
      </c>
      <c r="H31" s="3">
        <v>25547.397000000001</v>
      </c>
      <c r="I31" s="10">
        <v>3.418244209E-3</v>
      </c>
      <c r="J31" s="3">
        <v>108451</v>
      </c>
      <c r="K31" s="3">
        <v>20275.598008000001</v>
      </c>
      <c r="L31" s="3">
        <v>44.247649033984331</v>
      </c>
      <c r="M31" s="3">
        <v>26.700767197534837</v>
      </c>
      <c r="O31" s="1">
        <f t="shared" si="1"/>
        <v>881</v>
      </c>
      <c r="P31" s="1">
        <f t="shared" si="2"/>
        <v>0.79364633539769236</v>
      </c>
      <c r="Q31" s="1">
        <f t="shared" si="3"/>
        <v>-0.19768155865159714</v>
      </c>
      <c r="S31" s="1">
        <f t="shared" si="10"/>
        <v>5.955935884549424E-3</v>
      </c>
      <c r="W31" s="1">
        <f t="shared" si="4"/>
        <v>1096</v>
      </c>
      <c r="X31" s="1">
        <f t="shared" si="11"/>
        <v>881</v>
      </c>
      <c r="Y31" s="1">
        <f t="shared" si="5"/>
        <v>29.366666666666667</v>
      </c>
      <c r="Z31" s="1">
        <f t="shared" si="0"/>
        <v>-1.1250281722028394E-3</v>
      </c>
      <c r="AA31" s="1">
        <f t="shared" si="6"/>
        <v>541.60524611268909</v>
      </c>
      <c r="AB31" s="1">
        <f t="shared" si="7"/>
        <v>730.34171933877326</v>
      </c>
      <c r="AC31" s="144"/>
      <c r="AE31" s="1">
        <f t="shared" si="12"/>
        <v>0</v>
      </c>
      <c r="AF31" s="1">
        <f t="shared" si="8"/>
        <v>0</v>
      </c>
      <c r="AG31" s="147"/>
      <c r="AH31" s="3">
        <f t="shared" si="13"/>
        <v>1011837.6336835651</v>
      </c>
      <c r="AI31" s="1">
        <f t="shared" si="9"/>
        <v>2.8909646676673288</v>
      </c>
    </row>
    <row r="32" spans="1:40" x14ac:dyDescent="0.3">
      <c r="A32" s="2">
        <v>44774</v>
      </c>
      <c r="B32" s="3">
        <v>1585.3960094193501</v>
      </c>
      <c r="C32" s="3">
        <v>827.95232258064505</v>
      </c>
      <c r="D32" s="3">
        <v>827.95232258064505</v>
      </c>
      <c r="E32" s="3">
        <v>757.44368683870903</v>
      </c>
      <c r="F32" s="3">
        <v>3464.6451612903202</v>
      </c>
      <c r="G32" s="3">
        <v>0</v>
      </c>
      <c r="H32" s="3">
        <v>25666.522000000001</v>
      </c>
      <c r="I32" s="10">
        <v>3.4341831489999898E-3</v>
      </c>
      <c r="J32" s="3">
        <v>107404</v>
      </c>
      <c r="K32" s="3">
        <v>23480.754292000001</v>
      </c>
      <c r="L32" s="3">
        <v>47.776308401086517</v>
      </c>
      <c r="M32" s="3">
        <v>26.320265722017183</v>
      </c>
      <c r="O32" s="1">
        <f t="shared" si="1"/>
        <v>912</v>
      </c>
      <c r="P32" s="1">
        <f t="shared" si="2"/>
        <v>0.91483973917463313</v>
      </c>
      <c r="Q32" s="1">
        <f t="shared" si="3"/>
        <v>-1.2574921928484437</v>
      </c>
      <c r="S32" s="1">
        <f t="shared" si="10"/>
        <v>-2.1683963318902007E-4</v>
      </c>
      <c r="W32" s="1">
        <f t="shared" si="4"/>
        <v>1065</v>
      </c>
      <c r="X32" s="1">
        <f t="shared" si="11"/>
        <v>912</v>
      </c>
      <c r="Y32" s="1">
        <f t="shared" si="5"/>
        <v>30.4</v>
      </c>
      <c r="Z32" s="1">
        <f t="shared" si="0"/>
        <v>-1.1621436063379452E-3</v>
      </c>
      <c r="AA32" s="1">
        <f t="shared" si="6"/>
        <v>529.28893875904407</v>
      </c>
      <c r="AB32" s="1">
        <f t="shared" si="7"/>
        <v>710.9811138349005</v>
      </c>
      <c r="AC32" s="144"/>
      <c r="AE32" s="1">
        <f t="shared" si="12"/>
        <v>0</v>
      </c>
      <c r="AF32" s="1">
        <f t="shared" si="8"/>
        <v>0</v>
      </c>
      <c r="AG32" s="147"/>
      <c r="AH32" s="3">
        <f t="shared" si="13"/>
        <v>1037504.1556835651</v>
      </c>
      <c r="AI32" s="1">
        <f t="shared" si="9"/>
        <v>2.9642975876673288</v>
      </c>
      <c r="AK32" s="117" t="s">
        <v>135</v>
      </c>
      <c r="AL32" s="117" t="s">
        <v>165</v>
      </c>
      <c r="AM32" s="117">
        <f>12*0.038</f>
        <v>0.45599999999999996</v>
      </c>
      <c r="AN32" s="117" t="s">
        <v>146</v>
      </c>
    </row>
    <row r="33" spans="1:39" x14ac:dyDescent="0.3">
      <c r="A33" s="2">
        <v>44805</v>
      </c>
      <c r="B33" s="3">
        <v>1463.65104086666</v>
      </c>
      <c r="C33" s="3">
        <v>822.18243333333305</v>
      </c>
      <c r="D33" s="3">
        <v>822.18243333333305</v>
      </c>
      <c r="E33" s="3">
        <v>641.46860753333306</v>
      </c>
      <c r="F33" s="3">
        <v>3479.86666666666</v>
      </c>
      <c r="G33" s="3">
        <v>0</v>
      </c>
      <c r="H33" s="3">
        <v>24665.473000000002</v>
      </c>
      <c r="I33" s="10">
        <v>3.3002426929999999E-3</v>
      </c>
      <c r="J33" s="3">
        <v>104396</v>
      </c>
      <c r="K33" s="3">
        <v>19244.058226000001</v>
      </c>
      <c r="L33" s="3">
        <v>43.826608229889459</v>
      </c>
      <c r="M33" s="3">
        <v>26.621421806912029</v>
      </c>
      <c r="O33" s="1">
        <f t="shared" si="1"/>
        <v>943</v>
      </c>
      <c r="P33" s="1">
        <f t="shared" si="2"/>
        <v>0.78020227813997312</v>
      </c>
      <c r="Q33" s="1">
        <f t="shared" si="3"/>
        <v>-0.43541897067202778</v>
      </c>
      <c r="S33" s="1">
        <f t="shared" si="10"/>
        <v>-1.3346752518605008E-3</v>
      </c>
      <c r="W33" s="1">
        <f t="shared" si="4"/>
        <v>1034</v>
      </c>
      <c r="X33" s="1">
        <f t="shared" si="11"/>
        <v>943</v>
      </c>
      <c r="Y33" s="1">
        <f t="shared" si="5"/>
        <v>31.433333333333334</v>
      </c>
      <c r="Z33" s="1">
        <f t="shared" si="0"/>
        <v>-1.1902221259575355E-3</v>
      </c>
      <c r="AA33" s="1">
        <f t="shared" si="6"/>
        <v>517.25270887495492</v>
      </c>
      <c r="AB33" s="1">
        <f t="shared" si="7"/>
        <v>692.13373800906925</v>
      </c>
      <c r="AC33" s="144"/>
      <c r="AE33" s="1">
        <f t="shared" si="12"/>
        <v>0</v>
      </c>
      <c r="AF33" s="1">
        <f t="shared" si="8"/>
        <v>0</v>
      </c>
      <c r="AG33" s="147"/>
      <c r="AH33" s="3">
        <f t="shared" si="13"/>
        <v>1062169.6286835652</v>
      </c>
      <c r="AI33" s="1">
        <f t="shared" si="9"/>
        <v>3.0347703676673294</v>
      </c>
      <c r="AL33" s="118" t="s">
        <v>167</v>
      </c>
      <c r="AM33" s="118" t="s">
        <v>166</v>
      </c>
    </row>
    <row r="34" spans="1:39" x14ac:dyDescent="0.3">
      <c r="A34" s="2">
        <v>44835</v>
      </c>
      <c r="B34" s="3">
        <v>1244.81016225806</v>
      </c>
      <c r="C34" s="3">
        <v>678.95358064516097</v>
      </c>
      <c r="D34" s="3">
        <v>678.95358064516097</v>
      </c>
      <c r="E34" s="3">
        <v>565.85658161290303</v>
      </c>
      <c r="F34" s="3">
        <v>2811.2903225806399</v>
      </c>
      <c r="G34" s="3">
        <v>0</v>
      </c>
      <c r="H34" s="3">
        <v>21047.561000000002</v>
      </c>
      <c r="I34" s="10">
        <v>2.81616571E-3</v>
      </c>
      <c r="J34" s="3">
        <v>87150</v>
      </c>
      <c r="K34" s="3">
        <v>17541.554029999999</v>
      </c>
      <c r="L34" s="3">
        <v>45.457259168454165</v>
      </c>
      <c r="M34" s="3">
        <v>26.043686011885175</v>
      </c>
      <c r="O34" s="1">
        <f t="shared" si="1"/>
        <v>973</v>
      </c>
      <c r="P34" s="1">
        <f t="shared" si="2"/>
        <v>0.83342454881114258</v>
      </c>
      <c r="Q34" s="1">
        <f t="shared" si="3"/>
        <v>3.3473163119293168</v>
      </c>
      <c r="S34" s="1">
        <f t="shared" si="10"/>
        <v>-4.4741810118031363E-4</v>
      </c>
      <c r="W34" s="1">
        <f t="shared" si="4"/>
        <v>1004</v>
      </c>
      <c r="X34" s="1">
        <f t="shared" si="11"/>
        <v>973</v>
      </c>
      <c r="Y34" s="1">
        <f t="shared" si="5"/>
        <v>32.43333333333333</v>
      </c>
      <c r="Z34" s="1">
        <f t="shared" ref="Z34:Z66" si="14">LN( $V$4 /C34 ) / W34</f>
        <v>-1.0351395720874282E-3</v>
      </c>
      <c r="AA34" s="1">
        <f t="shared" si="6"/>
        <v>505.86541542763035</v>
      </c>
      <c r="AB34" s="1">
        <f t="shared" si="7"/>
        <v>674.37018764430525</v>
      </c>
      <c r="AC34" s="144"/>
      <c r="AE34" s="1">
        <f t="shared" si="12"/>
        <v>0</v>
      </c>
      <c r="AF34" s="1">
        <f t="shared" si="8"/>
        <v>0</v>
      </c>
      <c r="AG34" s="147"/>
      <c r="AH34" s="3">
        <f t="shared" si="13"/>
        <v>1083217.1896835652</v>
      </c>
      <c r="AI34" s="1">
        <f t="shared" si="9"/>
        <v>3.0949062562387577</v>
      </c>
    </row>
    <row r="35" spans="1:39" x14ac:dyDescent="0.3">
      <c r="A35" s="2">
        <v>44866</v>
      </c>
      <c r="B35" s="3">
        <v>1083.0258381333333</v>
      </c>
      <c r="C35" s="3">
        <v>617.84460000000001</v>
      </c>
      <c r="D35" s="3">
        <v>617.84460000000001</v>
      </c>
      <c r="E35" s="3">
        <v>465.1812381333333</v>
      </c>
      <c r="F35" s="3">
        <v>2674.8</v>
      </c>
      <c r="G35" s="3">
        <v>0</v>
      </c>
      <c r="H35" s="3">
        <v>18535.338</v>
      </c>
      <c r="I35" s="10">
        <v>2.4800300320000001E-3</v>
      </c>
      <c r="J35" s="3">
        <v>80244</v>
      </c>
      <c r="K35" s="3">
        <v>13955.437144</v>
      </c>
      <c r="L35" s="3">
        <v>42.951998166092139</v>
      </c>
      <c r="M35" s="3">
        <v>27.230078631422852</v>
      </c>
      <c r="O35" s="1">
        <f t="shared" si="1"/>
        <v>1004</v>
      </c>
      <c r="P35" s="1">
        <f t="shared" si="2"/>
        <v>0.75290977396797398</v>
      </c>
      <c r="Q35" s="1">
        <f t="shared" si="3"/>
        <v>5.4232319949334995</v>
      </c>
      <c r="S35" s="1">
        <f t="shared" si="10"/>
        <v>3.3366692605227423E-3</v>
      </c>
      <c r="W35" s="1">
        <f t="shared" si="4"/>
        <v>973</v>
      </c>
      <c r="X35" s="1">
        <f t="shared" si="11"/>
        <v>1004</v>
      </c>
      <c r="Y35" s="1">
        <f t="shared" si="5"/>
        <v>33.466666666666669</v>
      </c>
      <c r="Z35" s="1">
        <f t="shared" si="14"/>
        <v>-9.7118637099017442E-4</v>
      </c>
      <c r="AA35" s="1">
        <f t="shared" si="6"/>
        <v>494.36184528922422</v>
      </c>
      <c r="AB35" s="1">
        <f t="shared" si="7"/>
        <v>656.49332970118405</v>
      </c>
      <c r="AC35" s="144"/>
      <c r="AE35" s="1">
        <f t="shared" si="12"/>
        <v>0</v>
      </c>
      <c r="AF35" s="1">
        <f t="shared" si="8"/>
        <v>0</v>
      </c>
      <c r="AG35" s="147"/>
      <c r="AH35" s="3">
        <f t="shared" si="13"/>
        <v>1101752.5276835652</v>
      </c>
      <c r="AI35" s="1">
        <f t="shared" si="9"/>
        <v>3.1478643648101863</v>
      </c>
    </row>
    <row r="36" spans="1:39" x14ac:dyDescent="0.3">
      <c r="A36" s="2">
        <v>44896</v>
      </c>
      <c r="B36" s="3">
        <v>1238.2489094193547</v>
      </c>
      <c r="C36" s="3">
        <v>607.89022580645167</v>
      </c>
      <c r="D36" s="3">
        <v>607.89022580645167</v>
      </c>
      <c r="E36" s="3">
        <v>630.35868361290318</v>
      </c>
      <c r="F36" s="3">
        <v>2456.7419354838707</v>
      </c>
      <c r="G36" s="3">
        <v>0</v>
      </c>
      <c r="H36" s="3">
        <v>18844.597000000002</v>
      </c>
      <c r="I36" s="10">
        <v>2.521408916E-3</v>
      </c>
      <c r="J36" s="3">
        <v>76159</v>
      </c>
      <c r="K36" s="3">
        <v>19541.119191999998</v>
      </c>
      <c r="L36" s="3">
        <v>50.907267417541583</v>
      </c>
      <c r="M36" s="3">
        <v>25.419746476934474</v>
      </c>
      <c r="O36" s="1">
        <f t="shared" si="1"/>
        <v>1034</v>
      </c>
      <c r="P36" s="1">
        <f t="shared" si="2"/>
        <v>1.0369613737030299</v>
      </c>
      <c r="Q36" s="1">
        <f t="shared" si="3"/>
        <v>2.8168202038085122</v>
      </c>
      <c r="S36" s="1">
        <f t="shared" si="10"/>
        <v>5.2438899707072384E-3</v>
      </c>
      <c r="W36" s="1">
        <f t="shared" si="4"/>
        <v>943</v>
      </c>
      <c r="X36" s="1">
        <f t="shared" si="11"/>
        <v>1034</v>
      </c>
      <c r="Y36" s="1">
        <f t="shared" si="5"/>
        <v>34.466666666666669</v>
      </c>
      <c r="Z36" s="1">
        <f t="shared" si="14"/>
        <v>-9.8485862720205865E-4</v>
      </c>
      <c r="AA36" s="1">
        <f t="shared" si="6"/>
        <v>483.4784931000911</v>
      </c>
      <c r="AB36" s="1">
        <f t="shared" si="7"/>
        <v>639.64448722194936</v>
      </c>
      <c r="AC36" s="144"/>
      <c r="AE36" s="1">
        <f t="shared" si="12"/>
        <v>0</v>
      </c>
      <c r="AF36" s="1">
        <f t="shared" si="8"/>
        <v>0</v>
      </c>
      <c r="AG36" s="147"/>
      <c r="AH36" s="3">
        <f t="shared" si="13"/>
        <v>1120597.1246835652</v>
      </c>
      <c r="AI36" s="1">
        <f t="shared" si="9"/>
        <v>3.2017060705244722</v>
      </c>
    </row>
    <row r="37" spans="1:39" x14ac:dyDescent="0.3">
      <c r="A37" s="2">
        <v>44927</v>
      </c>
      <c r="B37" s="3">
        <v>1296.82197451612</v>
      </c>
      <c r="C37" s="3">
        <v>625.64167741935398</v>
      </c>
      <c r="D37" s="3">
        <v>625.64167741935398</v>
      </c>
      <c r="E37" s="3">
        <v>671.18029709677398</v>
      </c>
      <c r="F37" s="3">
        <v>2460.2580645161202</v>
      </c>
      <c r="G37" s="3">
        <v>0</v>
      </c>
      <c r="H37" s="3">
        <v>19394.892</v>
      </c>
      <c r="I37" s="10">
        <v>2.595038441E-3</v>
      </c>
      <c r="J37" s="3">
        <v>76268</v>
      </c>
      <c r="K37" s="3">
        <v>20806.589209999998</v>
      </c>
      <c r="L37" s="3">
        <v>51.755777607578359</v>
      </c>
      <c r="M37" s="3">
        <v>24.733856027659243</v>
      </c>
      <c r="O37" s="1">
        <f t="shared" si="1"/>
        <v>1065</v>
      </c>
      <c r="P37" s="1">
        <f t="shared" si="2"/>
        <v>1.0727870621811155</v>
      </c>
      <c r="Q37" s="1">
        <f t="shared" si="3"/>
        <v>4.4839937247589514</v>
      </c>
      <c r="S37" s="1">
        <f t="shared" si="10"/>
        <v>2.6456489657473892E-3</v>
      </c>
      <c r="W37" s="1">
        <f t="shared" si="4"/>
        <v>912</v>
      </c>
      <c r="X37" s="1">
        <f t="shared" si="11"/>
        <v>1065</v>
      </c>
      <c r="Y37" s="1">
        <f t="shared" si="5"/>
        <v>35.5</v>
      </c>
      <c r="Z37" s="1">
        <f t="shared" si="14"/>
        <v>-1.0498960267267632E-3</v>
      </c>
      <c r="AA37" s="1">
        <f t="shared" si="6"/>
        <v>472.4840100099866</v>
      </c>
      <c r="AB37" s="1">
        <f t="shared" si="7"/>
        <v>622.68817177136407</v>
      </c>
      <c r="AC37" s="144"/>
      <c r="AE37" s="1">
        <f t="shared" si="12"/>
        <v>0</v>
      </c>
      <c r="AF37" s="1">
        <f t="shared" si="8"/>
        <v>0</v>
      </c>
      <c r="AG37" s="147"/>
      <c r="AH37" s="3">
        <f t="shared" si="13"/>
        <v>1139992.0166835652</v>
      </c>
      <c r="AI37" s="1">
        <f t="shared" si="9"/>
        <v>3.2571200476673292</v>
      </c>
    </row>
    <row r="38" spans="1:39" x14ac:dyDescent="0.3">
      <c r="A38" s="2">
        <v>44958</v>
      </c>
      <c r="B38" s="3">
        <v>1326.2061580357099</v>
      </c>
      <c r="C38" s="3">
        <v>602.54939285714295</v>
      </c>
      <c r="D38" s="3">
        <v>602.54939285714295</v>
      </c>
      <c r="E38" s="3">
        <v>723.65676517857105</v>
      </c>
      <c r="F38" s="3">
        <v>2464.75</v>
      </c>
      <c r="G38" s="3">
        <v>0</v>
      </c>
      <c r="H38" s="3">
        <v>16871.383000000002</v>
      </c>
      <c r="I38" s="10">
        <v>2.2573926869999998E-3</v>
      </c>
      <c r="J38" s="3">
        <v>69013</v>
      </c>
      <c r="K38" s="3">
        <v>20262.389425000001</v>
      </c>
      <c r="L38" s="3">
        <v>54.565933116341604</v>
      </c>
      <c r="M38" s="3">
        <v>25.728653507539953</v>
      </c>
      <c r="O38" s="1">
        <f t="shared" si="1"/>
        <v>1096</v>
      </c>
      <c r="P38" s="1">
        <f t="shared" si="2"/>
        <v>1.200991609579368</v>
      </c>
      <c r="Q38" s="1">
        <f t="shared" si="3"/>
        <v>0.37088198964473668</v>
      </c>
      <c r="S38" s="1">
        <f t="shared" si="10"/>
        <v>4.0978346407477195E-3</v>
      </c>
      <c r="W38" s="1">
        <f t="shared" si="4"/>
        <v>881</v>
      </c>
      <c r="X38" s="1">
        <f t="shared" si="11"/>
        <v>1096</v>
      </c>
      <c r="Y38" s="1">
        <f t="shared" si="5"/>
        <v>36.533333333333331</v>
      </c>
      <c r="Z38" s="1">
        <f t="shared" si="14"/>
        <v>-1.0441509776360886E-3</v>
      </c>
      <c r="AA38" s="1">
        <f t="shared" si="6"/>
        <v>461.7395456076701</v>
      </c>
      <c r="AB38" s="1">
        <f t="shared" si="7"/>
        <v>606.18135074995519</v>
      </c>
      <c r="AC38" s="144"/>
      <c r="AE38" s="1">
        <f t="shared" si="12"/>
        <v>0</v>
      </c>
      <c r="AF38" s="1">
        <f t="shared" si="8"/>
        <v>0</v>
      </c>
      <c r="AG38" s="147"/>
      <c r="AH38" s="3">
        <f t="shared" si="13"/>
        <v>1156863.3996835651</v>
      </c>
      <c r="AI38" s="1">
        <f t="shared" si="9"/>
        <v>3.3053239990959007</v>
      </c>
    </row>
    <row r="39" spans="1:39" x14ac:dyDescent="0.3">
      <c r="A39" s="2">
        <v>44986</v>
      </c>
      <c r="B39" s="3">
        <v>1431.01571309677</v>
      </c>
      <c r="C39" s="3">
        <v>618.26703225806398</v>
      </c>
      <c r="D39" s="3">
        <v>618.26703225806398</v>
      </c>
      <c r="E39" s="3">
        <v>812.74868083870899</v>
      </c>
      <c r="F39" s="3">
        <v>2423.16129032258</v>
      </c>
      <c r="G39" s="3">
        <v>0</v>
      </c>
      <c r="H39" s="3">
        <v>19166.277999999998</v>
      </c>
      <c r="I39" s="10">
        <v>2.5644498679999999E-3</v>
      </c>
      <c r="J39" s="3">
        <v>75118</v>
      </c>
      <c r="K39" s="3">
        <v>25195.209105999998</v>
      </c>
      <c r="L39" s="3">
        <v>56.795231065624677</v>
      </c>
      <c r="M39" s="3">
        <v>24.651484049224372</v>
      </c>
      <c r="O39" s="1">
        <f t="shared" si="1"/>
        <v>1124</v>
      </c>
      <c r="P39" s="1">
        <f t="shared" si="2"/>
        <v>1.314559305985231</v>
      </c>
      <c r="Q39" s="1">
        <f t="shared" si="3"/>
        <v>-1.7651757472829483</v>
      </c>
      <c r="S39" s="1">
        <f t="shared" si="10"/>
        <v>3.2960191552340611E-4</v>
      </c>
      <c r="W39" s="1">
        <f t="shared" si="4"/>
        <v>853</v>
      </c>
      <c r="X39" s="1">
        <f t="shared" si="11"/>
        <v>1124</v>
      </c>
      <c r="Y39" s="1">
        <f t="shared" si="5"/>
        <v>37.466666666666669</v>
      </c>
      <c r="Z39" s="1">
        <f t="shared" si="14"/>
        <v>-1.1086140968494447E-3</v>
      </c>
      <c r="AA39" s="1">
        <f t="shared" si="6"/>
        <v>452.24503267811167</v>
      </c>
      <c r="AB39" s="1">
        <f t="shared" si="7"/>
        <v>591.64839631498671</v>
      </c>
      <c r="AC39" s="144"/>
      <c r="AE39" s="1">
        <f t="shared" si="12"/>
        <v>0</v>
      </c>
      <c r="AF39" s="1">
        <f t="shared" si="8"/>
        <v>0</v>
      </c>
      <c r="AG39" s="147"/>
      <c r="AH39" s="3">
        <f t="shared" si="13"/>
        <v>1176029.6776835651</v>
      </c>
      <c r="AI39" s="1">
        <f t="shared" si="9"/>
        <v>3.3600847933816143</v>
      </c>
    </row>
    <row r="40" spans="1:39" s="68" customFormat="1" x14ac:dyDescent="0.3">
      <c r="A40" s="65">
        <v>45017</v>
      </c>
      <c r="B40" s="66">
        <v>1405.98060506666</v>
      </c>
      <c r="C40" s="66">
        <v>633.19963333333305</v>
      </c>
      <c r="D40" s="66">
        <v>633.19963333333305</v>
      </c>
      <c r="E40" s="66">
        <v>772.78097173333299</v>
      </c>
      <c r="F40" s="66">
        <v>2538</v>
      </c>
      <c r="G40" s="66">
        <v>0</v>
      </c>
      <c r="H40" s="66">
        <v>18995.989000000001</v>
      </c>
      <c r="I40" s="67">
        <v>2.541665178E-3</v>
      </c>
      <c r="J40" s="66">
        <v>76140</v>
      </c>
      <c r="K40" s="66">
        <v>23183.429152000001</v>
      </c>
      <c r="L40" s="66">
        <v>54.963842954056311</v>
      </c>
      <c r="M40" s="66">
        <v>25.210868041669215</v>
      </c>
      <c r="O40" s="68">
        <f t="shared" si="1"/>
        <v>1155</v>
      </c>
      <c r="P40" s="68">
        <f t="shared" si="2"/>
        <v>1.220438122595249</v>
      </c>
      <c r="Q40" s="68">
        <f t="shared" si="3"/>
        <v>8.4472568992763684</v>
      </c>
      <c r="S40" s="68">
        <f t="shared" si="10"/>
        <v>-1.5293084241187554E-3</v>
      </c>
      <c r="W40" s="68">
        <f t="shared" si="4"/>
        <v>822</v>
      </c>
      <c r="X40" s="68">
        <f t="shared" si="11"/>
        <v>1155</v>
      </c>
      <c r="Y40" s="68">
        <f t="shared" si="5"/>
        <v>38.5</v>
      </c>
      <c r="Z40" s="68">
        <f t="shared" si="14"/>
        <v>-1.1794563483993659E-3</v>
      </c>
      <c r="AA40" s="68">
        <f t="shared" si="6"/>
        <v>441.96081024562818</v>
      </c>
      <c r="AB40" s="1">
        <f t="shared" si="7"/>
        <v>575.9644077179446</v>
      </c>
      <c r="AC40" s="144"/>
      <c r="AD40" s="1"/>
      <c r="AE40" s="1">
        <f t="shared" si="12"/>
        <v>0</v>
      </c>
      <c r="AF40" s="1">
        <f t="shared" si="8"/>
        <v>0</v>
      </c>
      <c r="AG40" s="147"/>
      <c r="AH40" s="3">
        <f t="shared" si="13"/>
        <v>1195025.6666835651</v>
      </c>
      <c r="AI40" s="1">
        <f t="shared" si="9"/>
        <v>3.4143590476673289</v>
      </c>
    </row>
    <row r="41" spans="1:39" x14ac:dyDescent="0.3">
      <c r="A41" s="2">
        <v>45047</v>
      </c>
      <c r="B41" s="3">
        <v>1283.7033915161292</v>
      </c>
      <c r="C41" s="3">
        <v>577.91377419354842</v>
      </c>
      <c r="D41" s="3">
        <v>577.91377419354842</v>
      </c>
      <c r="E41" s="3">
        <v>705.78961732258063</v>
      </c>
      <c r="F41" s="3">
        <v>2316.2903225806454</v>
      </c>
      <c r="G41" s="3">
        <v>0</v>
      </c>
      <c r="H41" s="3">
        <v>17915.327000000001</v>
      </c>
      <c r="I41" s="10">
        <v>2.3970724970000003E-3</v>
      </c>
      <c r="J41" s="3">
        <v>71805</v>
      </c>
      <c r="K41" s="3">
        <v>21879.478136999998</v>
      </c>
      <c r="L41" s="3">
        <v>54.980739475105821</v>
      </c>
      <c r="M41" s="3">
        <v>25.209648085128446</v>
      </c>
      <c r="O41" s="1">
        <f t="shared" si="1"/>
        <v>1185</v>
      </c>
      <c r="P41" s="1">
        <f t="shared" si="2"/>
        <v>1.2212714921139869</v>
      </c>
      <c r="Q41" s="1">
        <f t="shared" si="3"/>
        <v>1.4095672723826016</v>
      </c>
      <c r="S41" s="1">
        <f t="shared" si="10"/>
        <v>7.1270530613233097E-3</v>
      </c>
      <c r="W41" s="1">
        <f t="shared" si="4"/>
        <v>792</v>
      </c>
      <c r="X41" s="1">
        <f t="shared" si="11"/>
        <v>1185</v>
      </c>
      <c r="Y41" s="1">
        <f t="shared" si="5"/>
        <v>39.5</v>
      </c>
      <c r="Z41" s="1">
        <f t="shared" si="14"/>
        <v>-1.1087778376198552E-3</v>
      </c>
      <c r="AA41" s="1">
        <f t="shared" si="6"/>
        <v>432.2310643165431</v>
      </c>
      <c r="AB41" s="1">
        <f t="shared" si="7"/>
        <v>561.18233280531376</v>
      </c>
      <c r="AC41" s="144"/>
      <c r="AE41" s="1">
        <f t="shared" si="12"/>
        <v>0</v>
      </c>
      <c r="AF41" s="1">
        <f t="shared" si="8"/>
        <v>0</v>
      </c>
      <c r="AG41" s="147"/>
      <c r="AH41" s="3">
        <f t="shared" si="13"/>
        <v>1212940.9936835652</v>
      </c>
      <c r="AI41" s="1">
        <f t="shared" si="9"/>
        <v>3.4655456962387574</v>
      </c>
    </row>
    <row r="42" spans="1:39" x14ac:dyDescent="0.3">
      <c r="A42" s="2">
        <v>45078</v>
      </c>
      <c r="B42" s="3">
        <v>1629.7288596333335</v>
      </c>
      <c r="C42" s="3">
        <v>613.7903</v>
      </c>
      <c r="D42" s="3">
        <v>613.7903</v>
      </c>
      <c r="E42" s="3">
        <v>1015.9385596333334</v>
      </c>
      <c r="F42" s="3">
        <v>2328.9333333333334</v>
      </c>
      <c r="G42" s="3">
        <v>0</v>
      </c>
      <c r="H42" s="3">
        <v>18413.708999999999</v>
      </c>
      <c r="I42" s="10">
        <v>2.4637560629999999E-3</v>
      </c>
      <c r="J42" s="3">
        <v>69868</v>
      </c>
      <c r="K42" s="3">
        <v>30478.156789000001</v>
      </c>
      <c r="L42" s="3">
        <v>62.33788851612443</v>
      </c>
      <c r="M42" s="3">
        <v>23.865683247193708</v>
      </c>
      <c r="O42" s="1">
        <f t="shared" si="1"/>
        <v>1216</v>
      </c>
      <c r="P42" s="1">
        <f t="shared" si="2"/>
        <v>1.6551883593359709</v>
      </c>
      <c r="Q42" s="1">
        <f t="shared" si="3"/>
        <v>-5.8450762932854445</v>
      </c>
      <c r="S42" s="1">
        <f t="shared" si="10"/>
        <v>1.1599039263117154E-3</v>
      </c>
      <c r="W42" s="1">
        <f t="shared" si="4"/>
        <v>761</v>
      </c>
      <c r="X42" s="1">
        <f t="shared" si="11"/>
        <v>1216</v>
      </c>
      <c r="Y42" s="1">
        <f t="shared" si="5"/>
        <v>40.533333333333331</v>
      </c>
      <c r="Z42" s="1">
        <f t="shared" si="14"/>
        <v>-1.2330889728178831E-3</v>
      </c>
      <c r="AA42" s="1">
        <f t="shared" si="6"/>
        <v>422.40196706513279</v>
      </c>
      <c r="AB42" s="1">
        <f t="shared" si="7"/>
        <v>546.30596812081603</v>
      </c>
      <c r="AC42" s="144"/>
      <c r="AE42" s="1">
        <f t="shared" si="12"/>
        <v>0</v>
      </c>
      <c r="AF42" s="1">
        <f t="shared" si="8"/>
        <v>0</v>
      </c>
      <c r="AG42" s="147"/>
      <c r="AH42" s="3">
        <f t="shared" si="13"/>
        <v>1231354.7026835652</v>
      </c>
      <c r="AI42" s="1">
        <f t="shared" si="9"/>
        <v>3.5181562933816148</v>
      </c>
    </row>
    <row r="43" spans="1:39" x14ac:dyDescent="0.3">
      <c r="A43" s="2">
        <v>45108</v>
      </c>
      <c r="B43" s="3">
        <v>1342.8530121612905</v>
      </c>
      <c r="C43" s="3">
        <v>585.88045161290324</v>
      </c>
      <c r="D43" s="3">
        <v>585.88045161290324</v>
      </c>
      <c r="E43" s="3">
        <v>756.97256054838715</v>
      </c>
      <c r="F43" s="3">
        <v>2229.3870967741937</v>
      </c>
      <c r="G43" s="3">
        <v>0</v>
      </c>
      <c r="H43" s="3">
        <v>18162.294000000002</v>
      </c>
      <c r="I43" s="10">
        <v>2.4301167080000002E-3</v>
      </c>
      <c r="J43" s="3">
        <v>69111</v>
      </c>
      <c r="K43" s="3">
        <v>23466.149377000002</v>
      </c>
      <c r="L43" s="3">
        <v>56.370470460505395</v>
      </c>
      <c r="M43" s="3">
        <v>23.933891159343634</v>
      </c>
      <c r="O43" s="1">
        <f t="shared" si="1"/>
        <v>1246</v>
      </c>
      <c r="P43" s="1">
        <f t="shared" si="2"/>
        <v>1.2920256316190015</v>
      </c>
      <c r="Q43" s="1">
        <f t="shared" si="3"/>
        <v>-4.1501256493161645</v>
      </c>
      <c r="S43" s="1">
        <f t="shared" si="10"/>
        <v>-4.6901269238811931E-3</v>
      </c>
      <c r="W43" s="1">
        <f t="shared" si="4"/>
        <v>731</v>
      </c>
      <c r="X43" s="1">
        <f t="shared" si="11"/>
        <v>1246</v>
      </c>
      <c r="Y43" s="1">
        <f t="shared" si="5"/>
        <v>41.533333333333331</v>
      </c>
      <c r="Z43" s="1">
        <f t="shared" si="14"/>
        <v>-1.2200316425786716E-3</v>
      </c>
      <c r="AA43" s="1">
        <f t="shared" si="6"/>
        <v>413.10280812566629</v>
      </c>
      <c r="AB43" s="1">
        <f t="shared" si="7"/>
        <v>532.28507440278986</v>
      </c>
      <c r="AC43" s="144"/>
      <c r="AE43" s="1">
        <f t="shared" si="12"/>
        <v>0</v>
      </c>
      <c r="AF43" s="1">
        <f t="shared" si="8"/>
        <v>0</v>
      </c>
      <c r="AG43" s="147"/>
      <c r="AH43" s="3">
        <f t="shared" si="13"/>
        <v>1249516.9966835652</v>
      </c>
      <c r="AI43" s="1">
        <f t="shared" si="9"/>
        <v>3.5700485619530435</v>
      </c>
    </row>
    <row r="44" spans="1:39" x14ac:dyDescent="0.3">
      <c r="A44" s="2">
        <v>45139</v>
      </c>
      <c r="B44" s="3">
        <v>1325.3196534193548</v>
      </c>
      <c r="C44" s="3">
        <v>559.42125806451611</v>
      </c>
      <c r="D44" s="3">
        <v>559.42125806451611</v>
      </c>
      <c r="E44" s="3">
        <v>765.89839535483873</v>
      </c>
      <c r="F44" s="3">
        <v>1924.8064516129032</v>
      </c>
      <c r="G44" s="3">
        <v>0</v>
      </c>
      <c r="H44" s="3">
        <v>17342.059000000001</v>
      </c>
      <c r="I44" s="10">
        <v>2.3203691880000002E-3</v>
      </c>
      <c r="J44" s="3">
        <v>59669</v>
      </c>
      <c r="K44" s="3">
        <v>23742.850256000002</v>
      </c>
      <c r="L44" s="3">
        <v>57.789710835329686</v>
      </c>
      <c r="M44" s="3">
        <v>21.641379273360791</v>
      </c>
      <c r="O44" s="1">
        <f t="shared" si="1"/>
        <v>1277</v>
      </c>
      <c r="P44" s="1">
        <f t="shared" si="2"/>
        <v>1.3690906169792181</v>
      </c>
      <c r="Q44" s="1">
        <f t="shared" si="3"/>
        <v>-2.0276765049739653</v>
      </c>
      <c r="S44" s="1">
        <f t="shared" si="10"/>
        <v>-3.2505412454010034E-3</v>
      </c>
      <c r="W44" s="1">
        <f t="shared" si="4"/>
        <v>700</v>
      </c>
      <c r="X44" s="1">
        <f t="shared" si="11"/>
        <v>1277</v>
      </c>
      <c r="Y44" s="1">
        <f t="shared" si="5"/>
        <v>42.56666666666667</v>
      </c>
      <c r="Z44" s="1">
        <f t="shared" si="14"/>
        <v>-1.2080430729116017E-3</v>
      </c>
      <c r="AA44" s="1">
        <f t="shared" si="6"/>
        <v>403.70869462686363</v>
      </c>
      <c r="AB44" s="1">
        <f t="shared" si="7"/>
        <v>518.17474622594386</v>
      </c>
      <c r="AC44" s="144"/>
      <c r="AE44" s="1">
        <f t="shared" si="12"/>
        <v>0</v>
      </c>
      <c r="AF44" s="1">
        <f t="shared" si="8"/>
        <v>0</v>
      </c>
      <c r="AG44" s="147"/>
      <c r="AH44" s="3">
        <f t="shared" si="13"/>
        <v>1266859.0556835651</v>
      </c>
      <c r="AI44" s="1">
        <f t="shared" si="9"/>
        <v>3.6195973019530432</v>
      </c>
    </row>
    <row r="45" spans="1:39" s="55" customFormat="1" x14ac:dyDescent="0.3">
      <c r="A45" s="59">
        <v>45170</v>
      </c>
      <c r="B45" s="58">
        <v>538.54148859999998</v>
      </c>
      <c r="C45" s="58">
        <v>257.61469999999997</v>
      </c>
      <c r="D45" s="58">
        <v>257.61469999999997</v>
      </c>
      <c r="E45" s="58">
        <v>280.92678860000001</v>
      </c>
      <c r="F45" s="58">
        <v>692.26666666666665</v>
      </c>
      <c r="G45" s="58">
        <v>0</v>
      </c>
      <c r="H45" s="58">
        <v>7728.4409999999998</v>
      </c>
      <c r="I45" s="60">
        <v>1.034066159E-3</v>
      </c>
      <c r="J45" s="58">
        <v>20768</v>
      </c>
      <c r="K45" s="58">
        <v>8427.8036580000007</v>
      </c>
      <c r="L45" s="58">
        <v>52.164372577923615</v>
      </c>
      <c r="M45" s="58">
        <v>16.902059082808552</v>
      </c>
      <c r="O45" s="55">
        <f t="shared" si="1"/>
        <v>1308</v>
      </c>
      <c r="P45" s="55">
        <f t="shared" si="2"/>
        <v>1.0904920744041393</v>
      </c>
      <c r="Q45" s="55">
        <f t="shared" si="3"/>
        <v>2.7321811543803589</v>
      </c>
      <c r="S45" s="55">
        <f t="shared" si="10"/>
        <v>-1.551085590693225E-3</v>
      </c>
      <c r="W45" s="55">
        <f t="shared" si="4"/>
        <v>669</v>
      </c>
      <c r="X45" s="1">
        <f t="shared" si="11"/>
        <v>1308</v>
      </c>
      <c r="Y45" s="1">
        <f t="shared" si="5"/>
        <v>43.6</v>
      </c>
      <c r="Z45" s="55">
        <f t="shared" si="14"/>
        <v>-1.0492141594364694E-4</v>
      </c>
      <c r="AA45" s="55">
        <f t="shared" si="6"/>
        <v>394.52820680838204</v>
      </c>
      <c r="AB45" s="1">
        <f t="shared" si="7"/>
        <v>504.43846829178358</v>
      </c>
      <c r="AC45" s="144"/>
      <c r="AD45" s="1"/>
      <c r="AE45" s="1">
        <f t="shared" si="12"/>
        <v>0</v>
      </c>
      <c r="AF45" s="1">
        <f t="shared" si="8"/>
        <v>0</v>
      </c>
      <c r="AG45" s="147"/>
      <c r="AH45" s="3">
        <f t="shared" si="13"/>
        <v>1274587.4966835652</v>
      </c>
      <c r="AI45" s="1">
        <f t="shared" si="9"/>
        <v>3.6416785619530434</v>
      </c>
    </row>
    <row r="46" spans="1:39" s="55" customFormat="1" x14ac:dyDescent="0.3">
      <c r="A46" s="59">
        <v>45200</v>
      </c>
      <c r="B46" s="58">
        <v>84.313591935483871</v>
      </c>
      <c r="C46" s="58">
        <v>37.069483870967744</v>
      </c>
      <c r="D46" s="58">
        <v>37.069483870967744</v>
      </c>
      <c r="E46" s="58">
        <v>47.244108064516134</v>
      </c>
      <c r="F46" s="58">
        <v>143.80645161290323</v>
      </c>
      <c r="G46" s="58">
        <v>0</v>
      </c>
      <c r="H46" s="58">
        <v>1149.154</v>
      </c>
      <c r="I46" s="60">
        <v>1.53756918E-4</v>
      </c>
      <c r="J46" s="58">
        <v>4458</v>
      </c>
      <c r="K46" s="58">
        <v>1464.56735</v>
      </c>
      <c r="L46" s="58">
        <v>56.033798323604778</v>
      </c>
      <c r="M46" s="58">
        <v>24.400496713234258</v>
      </c>
      <c r="O46" s="55">
        <f t="shared" si="1"/>
        <v>1338</v>
      </c>
      <c r="P46" s="55">
        <f t="shared" si="2"/>
        <v>1.2744743959469313</v>
      </c>
      <c r="Q46" s="55">
        <f t="shared" si="3"/>
        <v>-6.7365551971658055</v>
      </c>
      <c r="S46" s="55">
        <f t="shared" si="10"/>
        <v>2.0415795158711847E-3</v>
      </c>
      <c r="W46" s="55">
        <f t="shared" si="4"/>
        <v>639</v>
      </c>
      <c r="X46" s="1">
        <f t="shared" si="11"/>
        <v>1338</v>
      </c>
      <c r="Y46" s="1">
        <f t="shared" si="5"/>
        <v>44.6</v>
      </c>
      <c r="Z46" s="55">
        <f t="shared" si="14"/>
        <v>2.9240665674174294E-3</v>
      </c>
      <c r="AA46" s="55">
        <f t="shared" si="6"/>
        <v>385.84268735707661</v>
      </c>
      <c r="AB46" s="1">
        <f t="shared" si="7"/>
        <v>491.49210020517512</v>
      </c>
      <c r="AC46" s="144"/>
      <c r="AD46" s="1"/>
      <c r="AE46" s="1">
        <f t="shared" si="12"/>
        <v>0</v>
      </c>
      <c r="AF46" s="1">
        <f t="shared" si="8"/>
        <v>0</v>
      </c>
      <c r="AG46" s="147"/>
      <c r="AH46" s="3">
        <f t="shared" si="13"/>
        <v>1275736.6506835653</v>
      </c>
      <c r="AI46" s="1">
        <f t="shared" si="9"/>
        <v>3.644961859095901</v>
      </c>
    </row>
    <row r="47" spans="1:39" x14ac:dyDescent="0.3">
      <c r="A47" s="2">
        <v>45231</v>
      </c>
      <c r="B47" s="3">
        <v>1310.3987811666666</v>
      </c>
      <c r="C47" s="3">
        <v>591.59456666666665</v>
      </c>
      <c r="D47" s="3">
        <v>591.59456666666665</v>
      </c>
      <c r="E47" s="3">
        <v>718.80421449999994</v>
      </c>
      <c r="F47" s="3">
        <v>4284.5666666666666</v>
      </c>
      <c r="G47" s="3">
        <v>0</v>
      </c>
      <c r="H47" s="3">
        <v>17747.837</v>
      </c>
      <c r="I47" s="10">
        <v>2.3746623209999996E-3</v>
      </c>
      <c r="J47" s="3">
        <v>128537</v>
      </c>
      <c r="K47" s="3">
        <v>21564.126434999998</v>
      </c>
      <c r="L47" s="3">
        <v>54.853852493669017</v>
      </c>
      <c r="M47" s="3">
        <v>45.553270666166249</v>
      </c>
      <c r="O47" s="1">
        <f t="shared" si="1"/>
        <v>1369</v>
      </c>
      <c r="P47" s="1">
        <f t="shared" si="2"/>
        <v>1.2150284248722816</v>
      </c>
      <c r="Q47" s="1">
        <f t="shared" si="3"/>
        <v>5.1699472344594373</v>
      </c>
      <c r="S47" s="1">
        <f t="shared" si="10"/>
        <v>-4.9233985528442503E-3</v>
      </c>
      <c r="W47" s="1">
        <f t="shared" si="4"/>
        <v>608</v>
      </c>
      <c r="X47" s="1">
        <f t="shared" si="11"/>
        <v>1369</v>
      </c>
      <c r="Y47" s="1">
        <f t="shared" si="5"/>
        <v>45.633333333333333</v>
      </c>
      <c r="Z47" s="1">
        <f t="shared" si="14"/>
        <v>-1.4828107172827538E-3</v>
      </c>
      <c r="AA47" s="1">
        <f t="shared" si="6"/>
        <v>377.06847927516793</v>
      </c>
      <c r="AB47" s="1">
        <f t="shared" si="7"/>
        <v>478.46315168918818</v>
      </c>
      <c r="AC47" s="144"/>
      <c r="AE47" s="1">
        <f t="shared" si="12"/>
        <v>0</v>
      </c>
      <c r="AF47" s="1">
        <f t="shared" si="8"/>
        <v>0</v>
      </c>
      <c r="AG47" s="147"/>
      <c r="AH47" s="3">
        <f t="shared" si="13"/>
        <v>1293484.4876835654</v>
      </c>
      <c r="AI47" s="1">
        <f t="shared" si="9"/>
        <v>3.6956699648101865</v>
      </c>
    </row>
    <row r="48" spans="1:39" x14ac:dyDescent="0.3">
      <c r="A48" s="2">
        <v>45261</v>
      </c>
      <c r="B48" s="3">
        <v>1167.0192140322583</v>
      </c>
      <c r="C48" s="3">
        <v>591.15109677419355</v>
      </c>
      <c r="D48" s="3">
        <v>591.15109677419355</v>
      </c>
      <c r="E48" s="3">
        <v>575.86811725806456</v>
      </c>
      <c r="F48" s="3">
        <v>6359.9354838709678</v>
      </c>
      <c r="G48" s="3">
        <v>0</v>
      </c>
      <c r="H48" s="3">
        <v>18325.684000000001</v>
      </c>
      <c r="I48" s="10">
        <v>2.4519783069999997E-3</v>
      </c>
      <c r="J48" s="3">
        <v>197158</v>
      </c>
      <c r="K48" s="3">
        <v>17851.911635</v>
      </c>
      <c r="L48" s="3">
        <v>49.345213029384333</v>
      </c>
      <c r="M48" s="3">
        <v>67.669200691226578</v>
      </c>
      <c r="O48" s="1">
        <f t="shared" si="1"/>
        <v>1399</v>
      </c>
      <c r="P48" s="1">
        <f t="shared" si="2"/>
        <v>0.9741470842234321</v>
      </c>
      <c r="Q48" s="1">
        <f t="shared" si="3"/>
        <v>9.0898341294791969</v>
      </c>
      <c r="S48" s="1">
        <f t="shared" si="10"/>
        <v>3.6947238069846748E-3</v>
      </c>
      <c r="W48" s="1">
        <f t="shared" si="4"/>
        <v>578</v>
      </c>
      <c r="X48" s="1">
        <f t="shared" si="11"/>
        <v>1399</v>
      </c>
      <c r="Y48" s="1">
        <f t="shared" si="5"/>
        <v>46.633333333333333</v>
      </c>
      <c r="Z48" s="1">
        <f t="shared" si="14"/>
        <v>-1.5584758080921667E-3</v>
      </c>
      <c r="AA48" s="1">
        <f t="shared" si="6"/>
        <v>368.7673348837119</v>
      </c>
      <c r="AB48" s="1">
        <f t="shared" si="7"/>
        <v>466.18343777556981</v>
      </c>
      <c r="AC48" s="144"/>
      <c r="AE48" s="1">
        <f t="shared" si="12"/>
        <v>0</v>
      </c>
      <c r="AF48" s="1">
        <f t="shared" si="8"/>
        <v>0</v>
      </c>
      <c r="AG48" s="147"/>
      <c r="AH48" s="3">
        <f t="shared" si="13"/>
        <v>1311810.1716835652</v>
      </c>
      <c r="AI48" s="1">
        <f t="shared" si="9"/>
        <v>3.7480290619530434</v>
      </c>
    </row>
    <row r="49" spans="1:35" x14ac:dyDescent="0.3">
      <c r="A49" s="2">
        <v>45292</v>
      </c>
      <c r="B49" s="3">
        <v>1237.8791533870967</v>
      </c>
      <c r="C49" s="3">
        <v>507.24299999999999</v>
      </c>
      <c r="D49" s="3">
        <v>507.24299999999999</v>
      </c>
      <c r="E49" s="3">
        <v>730.63615338709667</v>
      </c>
      <c r="F49" s="3">
        <v>4691.4516129032254</v>
      </c>
      <c r="G49" s="3">
        <v>0</v>
      </c>
      <c r="H49" s="3">
        <v>15724.532999999999</v>
      </c>
      <c r="I49" s="10">
        <v>2.1039440500000002E-3</v>
      </c>
      <c r="J49" s="3">
        <v>145435</v>
      </c>
      <c r="K49" s="3">
        <v>22649.720754999998</v>
      </c>
      <c r="L49" s="3">
        <v>59.023221401533675</v>
      </c>
      <c r="M49" s="3">
        <v>58.173877914212149</v>
      </c>
      <c r="O49" s="1">
        <f t="shared" si="1"/>
        <v>1430</v>
      </c>
      <c r="P49" s="1">
        <f t="shared" si="2"/>
        <v>1.4404065770983467</v>
      </c>
      <c r="Q49" s="1">
        <f t="shared" si="3"/>
        <v>3.930242426922137</v>
      </c>
      <c r="S49" s="1">
        <f t="shared" si="10"/>
        <v>6.3575233933667579E-3</v>
      </c>
      <c r="W49" s="1">
        <f t="shared" si="4"/>
        <v>547</v>
      </c>
      <c r="X49" s="1">
        <f t="shared" si="11"/>
        <v>1430</v>
      </c>
      <c r="Y49" s="1">
        <f t="shared" si="5"/>
        <v>47.666666666666664</v>
      </c>
      <c r="Z49" s="1">
        <f t="shared" si="14"/>
        <v>-1.3669425011995299E-3</v>
      </c>
      <c r="AA49" s="1">
        <f t="shared" si="6"/>
        <v>360.38142675041559</v>
      </c>
      <c r="AB49" s="1">
        <f t="shared" si="7"/>
        <v>453.8253957902599</v>
      </c>
      <c r="AC49" s="144"/>
      <c r="AE49" s="1">
        <f t="shared" si="12"/>
        <v>0</v>
      </c>
      <c r="AF49" s="1">
        <f t="shared" si="8"/>
        <v>0</v>
      </c>
      <c r="AG49" s="147"/>
      <c r="AH49" s="3">
        <f t="shared" si="13"/>
        <v>1327534.7046835653</v>
      </c>
      <c r="AI49" s="1">
        <f t="shared" si="9"/>
        <v>3.7929562990959012</v>
      </c>
    </row>
    <row r="50" spans="1:35" x14ac:dyDescent="0.3">
      <c r="A50" s="2">
        <v>45323</v>
      </c>
      <c r="B50" s="3">
        <v>1225.8732218965517</v>
      </c>
      <c r="C50" s="3">
        <v>517.61441379310338</v>
      </c>
      <c r="D50" s="3">
        <v>517.61441379310338</v>
      </c>
      <c r="E50" s="3">
        <v>708.25880810344825</v>
      </c>
      <c r="F50" s="3">
        <v>4421.1034482758623</v>
      </c>
      <c r="G50" s="3">
        <v>0</v>
      </c>
      <c r="H50" s="3">
        <v>15010.817999999999</v>
      </c>
      <c r="I50" s="10">
        <v>2.0084489160000002E-3</v>
      </c>
      <c r="J50" s="3">
        <v>128212</v>
      </c>
      <c r="K50" s="3">
        <v>20539.505434999999</v>
      </c>
      <c r="L50" s="3">
        <v>57.775860949772536</v>
      </c>
      <c r="M50" s="3">
        <v>53.723110732539695</v>
      </c>
      <c r="O50" s="1">
        <f t="shared" si="1"/>
        <v>1461</v>
      </c>
      <c r="P50" s="1">
        <f t="shared" si="2"/>
        <v>1.3683135346121711</v>
      </c>
      <c r="Q50" s="1">
        <f t="shared" si="3"/>
        <v>9.6709621811754243</v>
      </c>
      <c r="S50" s="1">
        <f t="shared" si="10"/>
        <v>2.6923258266158562E-3</v>
      </c>
      <c r="W50" s="1">
        <f t="shared" si="4"/>
        <v>516</v>
      </c>
      <c r="X50" s="1">
        <f t="shared" si="11"/>
        <v>1461</v>
      </c>
      <c r="Y50" s="1">
        <f t="shared" si="5"/>
        <v>48.7</v>
      </c>
      <c r="Z50" s="1">
        <f t="shared" si="14"/>
        <v>-1.4882906193895195E-3</v>
      </c>
      <c r="AA50" s="1">
        <f t="shared" si="6"/>
        <v>352.1862173275739</v>
      </c>
      <c r="AB50" s="1">
        <f t="shared" si="7"/>
        <v>441.79495274848892</v>
      </c>
      <c r="AC50" s="144"/>
      <c r="AE50" s="1">
        <f t="shared" si="12"/>
        <v>0</v>
      </c>
      <c r="AF50" s="1">
        <f t="shared" si="8"/>
        <v>0</v>
      </c>
      <c r="AG50" s="147"/>
      <c r="AH50" s="3">
        <f t="shared" si="13"/>
        <v>1342545.5226835653</v>
      </c>
      <c r="AI50" s="1">
        <f t="shared" si="9"/>
        <v>3.8358443505244724</v>
      </c>
    </row>
    <row r="51" spans="1:35" x14ac:dyDescent="0.3">
      <c r="A51" s="2">
        <v>45352</v>
      </c>
      <c r="B51" s="3">
        <v>1275.1725012903228</v>
      </c>
      <c r="C51" s="3">
        <v>490.08412903225809</v>
      </c>
      <c r="D51" s="3">
        <v>490.08412903225809</v>
      </c>
      <c r="E51" s="3">
        <v>785.08837225806451</v>
      </c>
      <c r="F51" s="3">
        <v>3331.516129032258</v>
      </c>
      <c r="G51" s="3">
        <v>0</v>
      </c>
      <c r="H51" s="3">
        <v>15192.608</v>
      </c>
      <c r="I51" s="10">
        <v>2.032772431E-3</v>
      </c>
      <c r="J51" s="3">
        <v>103277</v>
      </c>
      <c r="K51" s="3">
        <v>24337.739539999999</v>
      </c>
      <c r="L51" s="3">
        <v>61.567228862263626</v>
      </c>
      <c r="M51" s="3">
        <v>42.757087828501852</v>
      </c>
      <c r="O51" s="1">
        <f t="shared" si="1"/>
        <v>1490</v>
      </c>
      <c r="P51" s="1">
        <f t="shared" si="2"/>
        <v>1.6019461266952981</v>
      </c>
      <c r="Q51" s="1">
        <f t="shared" si="3"/>
        <v>-3.8119471317379312</v>
      </c>
      <c r="S51" s="1">
        <f t="shared" si="10"/>
        <v>6.4871009884814755E-3</v>
      </c>
      <c r="W51" s="1">
        <f t="shared" si="4"/>
        <v>487</v>
      </c>
      <c r="X51" s="1">
        <f t="shared" si="11"/>
        <v>1490</v>
      </c>
      <c r="Y51" s="1">
        <f t="shared" si="5"/>
        <v>49.666666666666664</v>
      </c>
      <c r="Z51" s="1">
        <f t="shared" si="14"/>
        <v>-1.4646908372006971E-3</v>
      </c>
      <c r="AA51" s="1">
        <f t="shared" si="6"/>
        <v>344.68852905942981</v>
      </c>
      <c r="AB51" s="1">
        <f t="shared" si="7"/>
        <v>430.82954873009322</v>
      </c>
      <c r="AC51" s="144"/>
      <c r="AE51" s="1">
        <f t="shared" si="12"/>
        <v>0</v>
      </c>
      <c r="AF51" s="1">
        <f t="shared" si="8"/>
        <v>0</v>
      </c>
      <c r="AG51" s="147"/>
      <c r="AH51" s="3">
        <f t="shared" si="13"/>
        <v>1357738.1306835653</v>
      </c>
      <c r="AI51" s="1">
        <f t="shared" si="9"/>
        <v>3.8792518019530431</v>
      </c>
    </row>
    <row r="52" spans="1:35" x14ac:dyDescent="0.3">
      <c r="A52" s="2">
        <v>45383</v>
      </c>
      <c r="B52" s="3">
        <v>1257.4697665333333</v>
      </c>
      <c r="C52" s="3">
        <v>456.01149999999996</v>
      </c>
      <c r="D52" s="3">
        <v>456.01149999999996</v>
      </c>
      <c r="E52" s="3">
        <v>801.45826653333324</v>
      </c>
      <c r="F52" s="3">
        <v>2358.1666666666665</v>
      </c>
      <c r="G52" s="3">
        <v>0</v>
      </c>
      <c r="H52" s="3">
        <v>13680.344999999999</v>
      </c>
      <c r="I52" s="10">
        <v>1.830431495E-3</v>
      </c>
      <c r="J52" s="3">
        <v>70745</v>
      </c>
      <c r="K52" s="3">
        <v>24043.747995999998</v>
      </c>
      <c r="L52" s="3">
        <v>63.735788156787308</v>
      </c>
      <c r="M52" s="3">
        <v>32.526365453502812</v>
      </c>
      <c r="O52" s="1">
        <f t="shared" si="1"/>
        <v>1521</v>
      </c>
      <c r="P52" s="1">
        <f t="shared" si="2"/>
        <v>1.7575395939210596</v>
      </c>
      <c r="Q52" s="1">
        <f t="shared" si="3"/>
        <v>4.4691406490904004</v>
      </c>
      <c r="S52" s="1">
        <f t="shared" si="10"/>
        <v>-2.5073716065227999E-3</v>
      </c>
      <c r="W52" s="1">
        <f t="shared" si="4"/>
        <v>456</v>
      </c>
      <c r="X52" s="1">
        <f t="shared" si="11"/>
        <v>1521</v>
      </c>
      <c r="Y52" s="1">
        <f t="shared" si="5"/>
        <v>50.7</v>
      </c>
      <c r="Z52" s="1">
        <f t="shared" si="14"/>
        <v>-1.4062399077664431E-3</v>
      </c>
      <c r="AA52" s="1">
        <f t="shared" si="6"/>
        <v>336.8501820425908</v>
      </c>
      <c r="AB52" s="1">
        <f t="shared" si="7"/>
        <v>419.40870186963087</v>
      </c>
      <c r="AC52" s="144"/>
      <c r="AE52" s="1">
        <f t="shared" si="12"/>
        <v>0</v>
      </c>
      <c r="AF52" s="1">
        <f t="shared" si="8"/>
        <v>0</v>
      </c>
      <c r="AG52" s="147"/>
      <c r="AH52" s="3">
        <f t="shared" si="13"/>
        <v>1371418.4756835653</v>
      </c>
      <c r="AI52" s="1">
        <f t="shared" si="9"/>
        <v>3.9183385019530435</v>
      </c>
    </row>
    <row r="53" spans="1:35" x14ac:dyDescent="0.3">
      <c r="A53" s="2">
        <v>45413</v>
      </c>
      <c r="B53" s="3">
        <v>1084.3096140645162</v>
      </c>
      <c r="C53" s="3">
        <v>442.75670967741939</v>
      </c>
      <c r="D53" s="3">
        <v>442.75670967741939</v>
      </c>
      <c r="E53" s="3">
        <v>641.55290438709676</v>
      </c>
      <c r="F53" s="3">
        <v>2437.8064516129034</v>
      </c>
      <c r="G53" s="3">
        <v>0</v>
      </c>
      <c r="H53" s="3">
        <v>13725.458000000001</v>
      </c>
      <c r="I53" s="10">
        <v>1.8364676239999999E-3</v>
      </c>
      <c r="J53" s="3">
        <v>75572</v>
      </c>
      <c r="K53" s="3">
        <v>19888.140036000001</v>
      </c>
      <c r="L53" s="3">
        <v>59.166947896205272</v>
      </c>
      <c r="M53" s="3">
        <v>34.63146844353026</v>
      </c>
      <c r="O53" s="1">
        <f t="shared" si="1"/>
        <v>1551</v>
      </c>
      <c r="P53" s="1">
        <f t="shared" si="2"/>
        <v>1.4489964586974073</v>
      </c>
      <c r="Q53" s="1">
        <f t="shared" si="3"/>
        <v>31.399678680557976</v>
      </c>
      <c r="S53" s="1">
        <f t="shared" si="10"/>
        <v>2.8809000877467084E-3</v>
      </c>
      <c r="W53" s="1">
        <f t="shared" si="4"/>
        <v>426</v>
      </c>
      <c r="X53" s="1">
        <f t="shared" si="11"/>
        <v>1551</v>
      </c>
      <c r="Y53" s="1">
        <f t="shared" si="5"/>
        <v>51.7</v>
      </c>
      <c r="Z53" s="1">
        <f t="shared" si="14"/>
        <v>-1.4360277008119728E-3</v>
      </c>
      <c r="AA53" s="1">
        <f t="shared" si="6"/>
        <v>329.43444152564558</v>
      </c>
      <c r="AB53" s="1">
        <f t="shared" si="7"/>
        <v>408.64461511883604</v>
      </c>
      <c r="AC53" s="144"/>
      <c r="AE53" s="1">
        <f t="shared" si="12"/>
        <v>0</v>
      </c>
      <c r="AF53" s="1">
        <f t="shared" si="8"/>
        <v>0</v>
      </c>
      <c r="AG53" s="147"/>
      <c r="AH53" s="3">
        <f t="shared" si="13"/>
        <v>1385143.9336835654</v>
      </c>
      <c r="AI53" s="1">
        <f t="shared" si="9"/>
        <v>3.9575540962387579</v>
      </c>
    </row>
    <row r="54" spans="1:35" x14ac:dyDescent="0.3">
      <c r="A54" s="2">
        <v>45444</v>
      </c>
      <c r="B54" s="3">
        <v>1262.0558241333333</v>
      </c>
      <c r="C54" s="3">
        <v>430.25493333333333</v>
      </c>
      <c r="D54" s="3">
        <v>430.25493333333333</v>
      </c>
      <c r="E54" s="3">
        <v>831.80089079999993</v>
      </c>
      <c r="F54" s="3">
        <v>2576</v>
      </c>
      <c r="G54" s="3">
        <v>0</v>
      </c>
      <c r="H54" s="3">
        <v>12907.647999999999</v>
      </c>
      <c r="I54" s="10">
        <v>1.727044565E-3</v>
      </c>
      <c r="J54" s="3">
        <v>77280</v>
      </c>
      <c r="K54" s="3">
        <v>24954.026723999999</v>
      </c>
      <c r="L54" s="3">
        <v>65.90840713176901</v>
      </c>
      <c r="M54" s="3">
        <v>37.657964022570184</v>
      </c>
      <c r="O54" s="1">
        <f t="shared" si="1"/>
        <v>1582</v>
      </c>
      <c r="P54" s="1">
        <f t="shared" si="2"/>
        <v>1.9332744992736088</v>
      </c>
      <c r="Q54" s="1">
        <f t="shared" si="3"/>
        <v>15.632242252715017</v>
      </c>
      <c r="S54" s="1">
        <f t="shared" si="10"/>
        <v>1.9856827301728396E-2</v>
      </c>
      <c r="W54" s="1">
        <f t="shared" si="4"/>
        <v>395</v>
      </c>
      <c r="X54" s="1">
        <f t="shared" si="11"/>
        <v>1582</v>
      </c>
      <c r="Y54" s="1">
        <f t="shared" si="5"/>
        <v>52.733333333333334</v>
      </c>
      <c r="Z54" s="1">
        <f t="shared" si="14"/>
        <v>-1.4762158751255711E-3</v>
      </c>
      <c r="AA54" s="1">
        <f t="shared" si="6"/>
        <v>321.94297820650695</v>
      </c>
      <c r="AB54" s="1">
        <f t="shared" si="7"/>
        <v>397.81186796075144</v>
      </c>
      <c r="AC54" s="144"/>
      <c r="AE54" s="1">
        <f t="shared" si="12"/>
        <v>0</v>
      </c>
      <c r="AF54" s="1">
        <f t="shared" si="8"/>
        <v>0</v>
      </c>
      <c r="AG54" s="147"/>
      <c r="AH54" s="3">
        <f t="shared" si="13"/>
        <v>1398051.5816835654</v>
      </c>
      <c r="AI54" s="1">
        <f t="shared" si="9"/>
        <v>3.9944330905244727</v>
      </c>
    </row>
    <row r="55" spans="1:35" x14ac:dyDescent="0.3">
      <c r="A55" s="2">
        <v>45474</v>
      </c>
      <c r="B55" s="3">
        <v>1599.2053560967743</v>
      </c>
      <c r="C55" s="3">
        <v>436.90996774193553</v>
      </c>
      <c r="D55" s="3">
        <v>436.90996774193553</v>
      </c>
      <c r="E55" s="3">
        <v>1162.2953883548387</v>
      </c>
      <c r="F55" s="3">
        <v>2635.8064516129034</v>
      </c>
      <c r="G55" s="3">
        <v>0</v>
      </c>
      <c r="H55" s="3">
        <v>13544.209000000001</v>
      </c>
      <c r="I55" s="10">
        <v>1.812216486E-3</v>
      </c>
      <c r="J55" s="3">
        <v>81710</v>
      </c>
      <c r="K55" s="3">
        <v>36031.157038999998</v>
      </c>
      <c r="L55" s="3">
        <v>72.679558252086267</v>
      </c>
      <c r="M55" s="3">
        <v>37.945335751980792</v>
      </c>
      <c r="O55" s="1">
        <f t="shared" si="1"/>
        <v>1612</v>
      </c>
      <c r="P55" s="1">
        <f t="shared" si="2"/>
        <v>2.6602629241028395</v>
      </c>
      <c r="Q55" s="1">
        <f t="shared" si="3"/>
        <v>-6.8845521236344744</v>
      </c>
      <c r="S55" s="1">
        <f t="shared" si="10"/>
        <v>9.6955701620234109E-3</v>
      </c>
      <c r="W55" s="1">
        <f t="shared" si="4"/>
        <v>365</v>
      </c>
      <c r="X55" s="1">
        <f t="shared" si="11"/>
        <v>1612</v>
      </c>
      <c r="Y55" s="1">
        <f t="shared" si="5"/>
        <v>53.733333333333334</v>
      </c>
      <c r="Z55" s="1">
        <f t="shared" si="14"/>
        <v>-1.639601424227054E-3</v>
      </c>
      <c r="AA55" s="1">
        <f t="shared" si="6"/>
        <v>314.85541906328484</v>
      </c>
      <c r="AB55" s="1">
        <f t="shared" si="7"/>
        <v>387.60206201696275</v>
      </c>
      <c r="AC55" s="144"/>
      <c r="AE55" s="1">
        <f t="shared" si="12"/>
        <v>0</v>
      </c>
      <c r="AF55" s="1">
        <f t="shared" si="8"/>
        <v>0</v>
      </c>
      <c r="AG55" s="147"/>
      <c r="AH55" s="3">
        <f t="shared" si="13"/>
        <v>1411595.7906835654</v>
      </c>
      <c r="AI55" s="1">
        <f t="shared" si="9"/>
        <v>4.0331308305244731</v>
      </c>
    </row>
    <row r="56" spans="1:35" x14ac:dyDescent="0.3">
      <c r="A56" s="2">
        <v>45505</v>
      </c>
      <c r="B56" s="3">
        <v>1585.6083449032258</v>
      </c>
      <c r="C56" s="3">
        <v>449.85570967741938</v>
      </c>
      <c r="D56" s="3">
        <v>449.85570967741938</v>
      </c>
      <c r="E56" s="3">
        <v>1135.7526352258064</v>
      </c>
      <c r="F56" s="3">
        <v>2569.7741935483873</v>
      </c>
      <c r="G56" s="3">
        <v>0</v>
      </c>
      <c r="H56" s="3">
        <v>13945.527</v>
      </c>
      <c r="I56" s="10">
        <v>1.8659128749999999E-3</v>
      </c>
      <c r="J56" s="3">
        <v>79663</v>
      </c>
      <c r="K56" s="3">
        <v>35208.331692</v>
      </c>
      <c r="L56" s="3">
        <v>71.628825546773001</v>
      </c>
      <c r="M56" s="3">
        <v>35.930111310960136</v>
      </c>
      <c r="O56" s="1">
        <f t="shared" si="1"/>
        <v>1643</v>
      </c>
      <c r="P56" s="1">
        <f t="shared" si="2"/>
        <v>2.5247042791570369</v>
      </c>
      <c r="Q56" s="1">
        <f t="shared" si="3"/>
        <v>-1.185473163933797</v>
      </c>
      <c r="S56" s="1">
        <f t="shared" si="10"/>
        <v>-4.1907299219511914E-3</v>
      </c>
      <c r="W56" s="1">
        <f t="shared" si="4"/>
        <v>334</v>
      </c>
      <c r="X56" s="1">
        <f t="shared" si="11"/>
        <v>1643</v>
      </c>
      <c r="Y56" s="1">
        <f t="shared" si="5"/>
        <v>54.766666666666666</v>
      </c>
      <c r="Z56" s="1">
        <f t="shared" si="14"/>
        <v>-1.8792043581805134E-3</v>
      </c>
      <c r="AA56" s="1">
        <f t="shared" si="6"/>
        <v>307.6954882077826</v>
      </c>
      <c r="AB56" s="1">
        <f t="shared" si="7"/>
        <v>377.3271312325183</v>
      </c>
      <c r="AC56" s="144"/>
      <c r="AE56" s="1">
        <f t="shared" si="12"/>
        <v>0</v>
      </c>
      <c r="AF56" s="1">
        <f t="shared" si="8"/>
        <v>0</v>
      </c>
      <c r="AG56" s="147"/>
      <c r="AH56" s="3">
        <f t="shared" si="13"/>
        <v>1425541.3176835654</v>
      </c>
      <c r="AI56" s="1">
        <f t="shared" si="9"/>
        <v>4.0729751933816152</v>
      </c>
    </row>
    <row r="57" spans="1:35" x14ac:dyDescent="0.3">
      <c r="A57" s="2">
        <v>45536</v>
      </c>
      <c r="B57" s="3">
        <v>1211.5292421000001</v>
      </c>
      <c r="C57" s="3">
        <v>356.28626666666668</v>
      </c>
      <c r="D57" s="3">
        <v>356.28626666666668</v>
      </c>
      <c r="E57" s="3">
        <v>855.2429754333333</v>
      </c>
      <c r="F57" s="3">
        <v>2013.5666666666666</v>
      </c>
      <c r="G57" s="3">
        <v>0</v>
      </c>
      <c r="H57" s="3">
        <v>10688.588</v>
      </c>
      <c r="I57" s="10">
        <v>1.430134115E-3</v>
      </c>
      <c r="J57" s="3">
        <v>60407</v>
      </c>
      <c r="K57" s="3">
        <v>25657.289262999999</v>
      </c>
      <c r="L57" s="3">
        <v>70.592020870325896</v>
      </c>
      <c r="M57" s="3">
        <v>35.547066516175946</v>
      </c>
      <c r="O57" s="1">
        <f t="shared" si="1"/>
        <v>1674</v>
      </c>
      <c r="P57" s="1">
        <f t="shared" si="2"/>
        <v>2.4004376689418656</v>
      </c>
      <c r="Q57" s="1">
        <f t="shared" si="3"/>
        <v>2.6123747869096268</v>
      </c>
      <c r="S57" s="1">
        <f t="shared" si="10"/>
        <v>-7.0845798981990845E-4</v>
      </c>
      <c r="W57" s="1">
        <f t="shared" si="4"/>
        <v>303</v>
      </c>
      <c r="X57" s="1">
        <f t="shared" si="11"/>
        <v>1674</v>
      </c>
      <c r="Y57" s="1">
        <f t="shared" si="5"/>
        <v>55.8</v>
      </c>
      <c r="Z57" s="1">
        <f t="shared" si="14"/>
        <v>-1.301854445603733E-3</v>
      </c>
      <c r="AA57" s="1">
        <f t="shared" si="6"/>
        <v>300.69837687753449</v>
      </c>
      <c r="AB57" s="1">
        <f t="shared" si="7"/>
        <v>367.32457826277317</v>
      </c>
      <c r="AC57" s="144"/>
      <c r="AE57" s="1">
        <f t="shared" si="12"/>
        <v>0</v>
      </c>
      <c r="AF57" s="1">
        <f t="shared" si="8"/>
        <v>0</v>
      </c>
      <c r="AG57" s="147"/>
      <c r="AH57" s="3">
        <f t="shared" si="13"/>
        <v>1436229.9056835654</v>
      </c>
      <c r="AI57" s="1">
        <f t="shared" si="9"/>
        <v>4.1035140162387584</v>
      </c>
    </row>
    <row r="58" spans="1:35" x14ac:dyDescent="0.3">
      <c r="A58" s="2">
        <v>45566</v>
      </c>
      <c r="B58" s="3">
        <v>1149.9882708387097</v>
      </c>
      <c r="C58" s="3">
        <v>330.31512903225808</v>
      </c>
      <c r="D58" s="3">
        <v>330.31512903225808</v>
      </c>
      <c r="E58" s="3">
        <v>819.67314180645167</v>
      </c>
      <c r="F58" s="3">
        <v>2113.0967741935483</v>
      </c>
      <c r="G58" s="3">
        <v>0</v>
      </c>
      <c r="H58" s="3">
        <v>10239.769</v>
      </c>
      <c r="I58" s="10">
        <v>1.3700820920000002E-3</v>
      </c>
      <c r="J58" s="3">
        <v>65506</v>
      </c>
      <c r="K58" s="3">
        <v>25409.867396000001</v>
      </c>
      <c r="L58" s="3">
        <v>71.276652344344996</v>
      </c>
      <c r="M58" s="3">
        <v>40.237200546223256</v>
      </c>
      <c r="O58" s="1">
        <f t="shared" si="1"/>
        <v>1704</v>
      </c>
      <c r="P58" s="1">
        <f t="shared" si="2"/>
        <v>2.4814883417780225</v>
      </c>
      <c r="Q58" s="1">
        <f t="shared" si="3"/>
        <v>-4.8303373825437408</v>
      </c>
      <c r="S58" s="1">
        <f t="shared" si="10"/>
        <v>1.5327976872404523E-3</v>
      </c>
      <c r="W58" s="1">
        <f t="shared" si="4"/>
        <v>273</v>
      </c>
      <c r="X58" s="1">
        <f t="shared" si="11"/>
        <v>1704</v>
      </c>
      <c r="Y58" s="1">
        <f t="shared" si="5"/>
        <v>56.8</v>
      </c>
      <c r="Z58" s="1">
        <f t="shared" si="14"/>
        <v>-1.1676721784139971E-3</v>
      </c>
      <c r="AA58" s="1">
        <f t="shared" si="6"/>
        <v>294.07851660829328</v>
      </c>
      <c r="AB58" s="1">
        <f t="shared" si="7"/>
        <v>357.89722587715517</v>
      </c>
      <c r="AC58" s="144"/>
      <c r="AE58" s="1">
        <f t="shared" si="12"/>
        <v>0</v>
      </c>
      <c r="AF58" s="1">
        <f t="shared" si="8"/>
        <v>0</v>
      </c>
      <c r="AG58" s="147"/>
      <c r="AH58" s="3">
        <f t="shared" si="13"/>
        <v>1446469.6746835655</v>
      </c>
      <c r="AI58" s="1">
        <f t="shared" si="9"/>
        <v>4.1327704990959013</v>
      </c>
    </row>
    <row r="59" spans="1:35" x14ac:dyDescent="0.3">
      <c r="A59" s="2">
        <v>45597</v>
      </c>
      <c r="B59" s="3">
        <v>1160.7495527999999</v>
      </c>
      <c r="C59" s="3">
        <v>332.21809999999999</v>
      </c>
      <c r="D59" s="3">
        <v>332.21809999999999</v>
      </c>
      <c r="E59" s="3">
        <v>828.53145280000001</v>
      </c>
      <c r="F59" s="3">
        <v>2026.7</v>
      </c>
      <c r="G59" s="3">
        <v>0</v>
      </c>
      <c r="H59" s="3">
        <v>9966.5429999999997</v>
      </c>
      <c r="I59" s="10">
        <v>1.333524424E-3</v>
      </c>
      <c r="J59" s="3">
        <v>60801</v>
      </c>
      <c r="K59" s="3">
        <v>24855.943584000001</v>
      </c>
      <c r="L59" s="3">
        <v>71.379002542054664</v>
      </c>
      <c r="M59" s="3">
        <v>38.370990803932713</v>
      </c>
      <c r="O59" s="1">
        <f t="shared" si="1"/>
        <v>1735</v>
      </c>
      <c r="P59" s="1">
        <f t="shared" si="2"/>
        <v>2.4939383278635332</v>
      </c>
      <c r="Q59" s="1">
        <f t="shared" si="3"/>
        <v>8.1543413027725062</v>
      </c>
      <c r="S59" s="1">
        <f t="shared" si="10"/>
        <v>-2.7851457682231723E-3</v>
      </c>
      <c r="W59" s="1">
        <f t="shared" si="4"/>
        <v>242</v>
      </c>
      <c r="X59" s="1">
        <f t="shared" si="11"/>
        <v>1735</v>
      </c>
      <c r="Y59" s="1">
        <f t="shared" si="5"/>
        <v>57.833333333333336</v>
      </c>
      <c r="Z59" s="1">
        <f t="shared" si="14"/>
        <v>-1.3409878115357198E-3</v>
      </c>
      <c r="AA59" s="1">
        <f t="shared" si="6"/>
        <v>287.3910603425943</v>
      </c>
      <c r="AB59" s="1">
        <f t="shared" si="7"/>
        <v>348.40973965301959</v>
      </c>
      <c r="AC59" s="144"/>
      <c r="AE59" s="1">
        <f t="shared" si="12"/>
        <v>0</v>
      </c>
      <c r="AF59" s="1">
        <f t="shared" si="8"/>
        <v>0</v>
      </c>
      <c r="AG59" s="147"/>
      <c r="AH59" s="3">
        <f t="shared" si="13"/>
        <v>1456436.2176835656</v>
      </c>
      <c r="AI59" s="1">
        <f t="shared" si="9"/>
        <v>4.1612463362387588</v>
      </c>
    </row>
    <row r="60" spans="1:35" x14ac:dyDescent="0.3">
      <c r="A60" s="2">
        <v>45627</v>
      </c>
      <c r="B60" s="3">
        <v>1109.8457342580646</v>
      </c>
      <c r="C60" s="3">
        <v>335.13938709677421</v>
      </c>
      <c r="D60" s="3">
        <v>335.13938709677421</v>
      </c>
      <c r="E60" s="3">
        <v>774.7063471612903</v>
      </c>
      <c r="F60" s="3">
        <v>1701.258064516129</v>
      </c>
      <c r="G60" s="3">
        <v>0</v>
      </c>
      <c r="H60" s="3">
        <v>10389.321</v>
      </c>
      <c r="I60" s="10">
        <v>1.3900921619999999E-3</v>
      </c>
      <c r="J60" s="3">
        <v>52739</v>
      </c>
      <c r="K60" s="3">
        <v>24015.896762</v>
      </c>
      <c r="L60" s="3">
        <v>69.803065709774884</v>
      </c>
      <c r="M60" s="3">
        <v>31.92872394644462</v>
      </c>
      <c r="O60" s="1">
        <f t="shared" si="1"/>
        <v>1765</v>
      </c>
      <c r="P60" s="1">
        <f t="shared" si="2"/>
        <v>2.3115944499164089</v>
      </c>
      <c r="Q60" s="1">
        <f t="shared" si="3"/>
        <v>15.746276768974454</v>
      </c>
      <c r="S60" s="1">
        <f t="shared" si="10"/>
        <v>4.619174542844536E-3</v>
      </c>
      <c r="W60" s="1">
        <f t="shared" si="4"/>
        <v>212</v>
      </c>
      <c r="X60" s="1">
        <f t="shared" si="11"/>
        <v>1765</v>
      </c>
      <c r="Y60" s="1">
        <f t="shared" si="5"/>
        <v>58.833333333333336</v>
      </c>
      <c r="Z60" s="1">
        <f t="shared" si="14"/>
        <v>-1.5720466774536742E-3</v>
      </c>
      <c r="AA60" s="1">
        <f t="shared" si="6"/>
        <v>281.06416000527764</v>
      </c>
      <c r="AB60" s="1">
        <f t="shared" si="7"/>
        <v>339.46783490538587</v>
      </c>
      <c r="AC60" s="144"/>
      <c r="AE60" s="1">
        <f t="shared" si="12"/>
        <v>0</v>
      </c>
      <c r="AF60" s="1">
        <f t="shared" si="8"/>
        <v>0</v>
      </c>
      <c r="AG60" s="147"/>
      <c r="AH60" s="3">
        <f t="shared" si="13"/>
        <v>1466825.5386835656</v>
      </c>
      <c r="AI60" s="1">
        <f t="shared" si="9"/>
        <v>4.190930110524473</v>
      </c>
    </row>
    <row r="61" spans="1:35" x14ac:dyDescent="0.3">
      <c r="A61" s="2">
        <v>45658</v>
      </c>
      <c r="B61" s="3">
        <v>1119.2713592903226</v>
      </c>
      <c r="C61" s="3">
        <v>296.44012903225808</v>
      </c>
      <c r="D61" s="3">
        <v>296.44012903225808</v>
      </c>
      <c r="E61" s="3">
        <v>822.83123025806447</v>
      </c>
      <c r="F61" s="3">
        <v>1408.741935483871</v>
      </c>
      <c r="G61" s="3">
        <v>0</v>
      </c>
      <c r="H61" s="3">
        <v>9189.6440000000002</v>
      </c>
      <c r="I61" s="10">
        <v>1.2295752609999999E-3</v>
      </c>
      <c r="J61" s="3">
        <v>43671</v>
      </c>
      <c r="K61" s="3">
        <v>25507.768137999999</v>
      </c>
      <c r="L61" s="3">
        <v>73.514900870847185</v>
      </c>
      <c r="M61" s="3">
        <v>29.890369616059118</v>
      </c>
      <c r="O61" s="1">
        <f t="shared" si="1"/>
        <v>1796</v>
      </c>
      <c r="P61" s="1">
        <f t="shared" si="2"/>
        <v>2.7757079749770499</v>
      </c>
      <c r="Q61" s="1">
        <f t="shared" si="3"/>
        <v>5.9437254340746266</v>
      </c>
      <c r="S61" s="1">
        <f t="shared" si="10"/>
        <v>8.7682855226386015E-3</v>
      </c>
      <c r="W61" s="1">
        <f t="shared" si="4"/>
        <v>181</v>
      </c>
      <c r="X61" s="1">
        <f t="shared" si="11"/>
        <v>1796</v>
      </c>
      <c r="Y61" s="1">
        <f t="shared" si="5"/>
        <v>59.866666666666667</v>
      </c>
      <c r="Z61" s="1">
        <f t="shared" si="14"/>
        <v>-1.1633847613408549E-3</v>
      </c>
      <c r="AA61" s="1">
        <f t="shared" si="6"/>
        <v>274.67265511206472</v>
      </c>
      <c r="AB61" s="1">
        <f t="shared" si="7"/>
        <v>330.46889282275731</v>
      </c>
      <c r="AC61" s="144"/>
      <c r="AE61" s="1">
        <f t="shared" si="12"/>
        <v>0</v>
      </c>
      <c r="AF61" s="1">
        <f t="shared" si="8"/>
        <v>0</v>
      </c>
      <c r="AG61" s="147"/>
      <c r="AH61" s="3">
        <f t="shared" si="13"/>
        <v>1476015.1826835657</v>
      </c>
      <c r="AI61" s="1">
        <f t="shared" si="9"/>
        <v>4.2171862362387591</v>
      </c>
    </row>
    <row r="62" spans="1:35" x14ac:dyDescent="0.3">
      <c r="A62" s="2">
        <v>45689</v>
      </c>
      <c r="B62" s="3">
        <v>1191.2142796071428</v>
      </c>
      <c r="C62" s="3">
        <v>308.9867142857143</v>
      </c>
      <c r="D62" s="3">
        <v>308.9867142857143</v>
      </c>
      <c r="E62" s="3">
        <v>882.22756532142853</v>
      </c>
      <c r="F62" s="3">
        <v>1558.3928571428571</v>
      </c>
      <c r="G62" s="3">
        <v>0</v>
      </c>
      <c r="H62" s="3">
        <v>8651.6280000000006</v>
      </c>
      <c r="I62" s="10">
        <v>1.1575886729999999E-3</v>
      </c>
      <c r="J62" s="3">
        <v>43635</v>
      </c>
      <c r="K62" s="3">
        <v>24702.371829</v>
      </c>
      <c r="L62" s="3">
        <v>74.06119792422092</v>
      </c>
      <c r="M62" s="3">
        <v>31.722980114262885</v>
      </c>
      <c r="O62" s="1">
        <f t="shared" si="1"/>
        <v>1827</v>
      </c>
      <c r="P62" s="1">
        <f t="shared" si="2"/>
        <v>2.8552281523200023</v>
      </c>
      <c r="Q62" s="1">
        <f t="shared" si="3"/>
        <v>1.1963215528910218</v>
      </c>
      <c r="S62" s="1">
        <f t="shared" si="10"/>
        <v>3.2562272828995076E-3</v>
      </c>
      <c r="W62" s="1">
        <f t="shared" si="4"/>
        <v>150</v>
      </c>
      <c r="X62" s="1">
        <f t="shared" si="11"/>
        <v>1827</v>
      </c>
      <c r="Y62" s="1">
        <f t="shared" si="5"/>
        <v>60.9</v>
      </c>
      <c r="Z62" s="1">
        <f t="shared" si="14"/>
        <v>-1.6801709972076881E-3</v>
      </c>
      <c r="AA62" s="1">
        <f t="shared" si="6"/>
        <v>268.4264954482087</v>
      </c>
      <c r="AB62" s="1">
        <f t="shared" si="7"/>
        <v>321.70850341074947</v>
      </c>
      <c r="AC62" s="144"/>
      <c r="AE62" s="1">
        <f t="shared" si="12"/>
        <v>0</v>
      </c>
      <c r="AF62" s="1">
        <f t="shared" si="8"/>
        <v>0</v>
      </c>
      <c r="AG62" s="147"/>
      <c r="AH62" s="3">
        <f t="shared" si="13"/>
        <v>1484666.8106835657</v>
      </c>
      <c r="AI62" s="1">
        <f t="shared" si="9"/>
        <v>4.2419051733816167</v>
      </c>
    </row>
    <row r="63" spans="1:35" x14ac:dyDescent="0.3">
      <c r="A63" s="2">
        <v>45717</v>
      </c>
      <c r="B63" s="3">
        <v>1336.7485966129034</v>
      </c>
      <c r="C63" s="3">
        <v>336.89703225806454</v>
      </c>
      <c r="D63" s="3">
        <v>336.89703225806454</v>
      </c>
      <c r="E63" s="3">
        <v>999.85156435483873</v>
      </c>
      <c r="F63" s="3">
        <v>1726.4193548387098</v>
      </c>
      <c r="G63" s="3">
        <v>0</v>
      </c>
      <c r="H63" s="3">
        <v>10443.808000000001</v>
      </c>
      <c r="I63" s="10">
        <v>1.397382528E-3</v>
      </c>
      <c r="J63" s="3">
        <v>53519</v>
      </c>
      <c r="K63" s="3">
        <v>30995.398495000001</v>
      </c>
      <c r="L63" s="3">
        <v>74.797278028815199</v>
      </c>
      <c r="M63" s="3">
        <v>32.231902980215636</v>
      </c>
      <c r="O63" s="1">
        <f t="shared" si="1"/>
        <v>1855</v>
      </c>
      <c r="P63" s="1">
        <f t="shared" si="2"/>
        <v>2.9678253846681208</v>
      </c>
      <c r="Q63" s="1">
        <f t="shared" si="3"/>
        <v>-1.1754506491932413</v>
      </c>
      <c r="S63" s="1">
        <f t="shared" si="10"/>
        <v>6.4445044808112003E-4</v>
      </c>
      <c r="W63" s="1">
        <f t="shared" si="4"/>
        <v>122</v>
      </c>
      <c r="X63" s="1">
        <f t="shared" si="11"/>
        <v>1855</v>
      </c>
      <c r="Y63" s="1">
        <f t="shared" si="5"/>
        <v>61.833333333333336</v>
      </c>
      <c r="Z63" s="1">
        <f t="shared" si="14"/>
        <v>-2.7746287774651343E-3</v>
      </c>
      <c r="AA63" s="1">
        <f t="shared" si="6"/>
        <v>262.90697940087722</v>
      </c>
      <c r="AB63" s="1">
        <f t="shared" si="7"/>
        <v>313.99567124323715</v>
      </c>
      <c r="AC63" s="144"/>
      <c r="AE63" s="1">
        <f t="shared" si="12"/>
        <v>0</v>
      </c>
      <c r="AF63" s="1">
        <f t="shared" si="8"/>
        <v>0</v>
      </c>
      <c r="AG63" s="147"/>
      <c r="AH63" s="3">
        <f t="shared" si="13"/>
        <v>1495110.6186835656</v>
      </c>
      <c r="AI63" s="1">
        <f t="shared" si="9"/>
        <v>4.2717446248101876</v>
      </c>
    </row>
    <row r="64" spans="1:35" x14ac:dyDescent="0.3">
      <c r="A64" s="2">
        <v>45748</v>
      </c>
      <c r="B64" s="3">
        <v>1197.2135315999999</v>
      </c>
      <c r="C64" s="3">
        <v>307.51</v>
      </c>
      <c r="D64" s="3">
        <v>307.51</v>
      </c>
      <c r="E64" s="3">
        <v>889.70353160000002</v>
      </c>
      <c r="F64" s="3">
        <v>1789.1666666666667</v>
      </c>
      <c r="G64" s="3">
        <v>0</v>
      </c>
      <c r="H64" s="3">
        <v>9225.2999999999993</v>
      </c>
      <c r="I64" s="10">
        <v>1.2343460449999999E-3</v>
      </c>
      <c r="J64" s="3">
        <v>53675</v>
      </c>
      <c r="K64" s="3">
        <v>26691.105948</v>
      </c>
      <c r="L64" s="3">
        <v>74.314523526222402</v>
      </c>
      <c r="M64" s="3">
        <v>36.595559494000199</v>
      </c>
      <c r="O64" s="1">
        <f t="shared" si="1"/>
        <v>1886</v>
      </c>
      <c r="P64" s="1">
        <f t="shared" si="2"/>
        <v>2.8932507287567883</v>
      </c>
      <c r="Q64" s="1">
        <f t="shared" si="3"/>
        <v>20.796071854769661</v>
      </c>
      <c r="S64" s="1">
        <f t="shared" si="10"/>
        <v>-6.2347026798523447E-4</v>
      </c>
      <c r="W64" s="1">
        <f t="shared" si="4"/>
        <v>91</v>
      </c>
      <c r="X64" s="1">
        <f t="shared" si="11"/>
        <v>1886</v>
      </c>
      <c r="Y64" s="1">
        <f t="shared" si="5"/>
        <v>62.866666666666667</v>
      </c>
      <c r="Z64" s="1">
        <f t="shared" si="14"/>
        <v>-2.7168678735150441E-3</v>
      </c>
      <c r="AA64" s="1">
        <f t="shared" si="6"/>
        <v>256.92837563556975</v>
      </c>
      <c r="AB64" s="1">
        <f t="shared" si="7"/>
        <v>305.67196994028012</v>
      </c>
      <c r="AC64" s="144"/>
      <c r="AE64" s="1">
        <f t="shared" si="12"/>
        <v>0</v>
      </c>
      <c r="AF64" s="1">
        <f t="shared" si="8"/>
        <v>0</v>
      </c>
      <c r="AG64" s="147"/>
      <c r="AH64" s="3">
        <f t="shared" si="13"/>
        <v>1504335.9186835657</v>
      </c>
      <c r="AI64" s="1">
        <f t="shared" si="9"/>
        <v>4.2981026248101877</v>
      </c>
    </row>
    <row r="65" spans="1:36" x14ac:dyDescent="0.3">
      <c r="A65" s="2">
        <v>45778</v>
      </c>
      <c r="B65" s="3">
        <v>1200.856724</v>
      </c>
      <c r="C65" s="3">
        <v>305.57754838709678</v>
      </c>
      <c r="D65" s="3">
        <v>305.57754838709678</v>
      </c>
      <c r="E65" s="3">
        <v>895.27917561290326</v>
      </c>
      <c r="F65" s="3">
        <v>1544.3870967741937</v>
      </c>
      <c r="G65" s="3">
        <v>0</v>
      </c>
      <c r="H65" s="3">
        <v>9472.9040000000005</v>
      </c>
      <c r="I65" s="10">
        <v>1.2674754840000001E-3</v>
      </c>
      <c r="J65" s="3">
        <v>47876</v>
      </c>
      <c r="K65" s="3">
        <v>27753.654444</v>
      </c>
      <c r="L65" s="3">
        <v>74.553371582145815</v>
      </c>
      <c r="M65" s="3">
        <v>31.788611475425064</v>
      </c>
      <c r="O65" s="1">
        <f t="shared" si="1"/>
        <v>1916</v>
      </c>
      <c r="P65" s="1">
        <f t="shared" si="2"/>
        <v>2.9297936983210215</v>
      </c>
      <c r="Q65" s="1">
        <f t="shared" si="3"/>
        <v>24.218476613457959</v>
      </c>
      <c r="S65" s="1">
        <f t="shared" si="10"/>
        <v>1.0851984236039058E-2</v>
      </c>
      <c r="W65" s="1">
        <f t="shared" si="4"/>
        <v>61</v>
      </c>
      <c r="X65" s="1">
        <f t="shared" si="11"/>
        <v>1916</v>
      </c>
      <c r="Y65" s="1">
        <f t="shared" si="5"/>
        <v>63.866666666666667</v>
      </c>
      <c r="Z65" s="1">
        <f t="shared" si="14"/>
        <v>-3.9496878150929136E-3</v>
      </c>
      <c r="AA65" s="1">
        <f t="shared" si="6"/>
        <v>251.27210983336593</v>
      </c>
      <c r="AB65" s="1">
        <f t="shared" si="7"/>
        <v>297.82692622264574</v>
      </c>
      <c r="AC65" s="144"/>
      <c r="AE65" s="1">
        <f t="shared" si="12"/>
        <v>0</v>
      </c>
      <c r="AF65" s="1">
        <f t="shared" si="8"/>
        <v>0</v>
      </c>
      <c r="AG65" s="147"/>
      <c r="AH65" s="3">
        <f t="shared" si="13"/>
        <v>1513808.8226835658</v>
      </c>
      <c r="AI65" s="1">
        <f t="shared" si="9"/>
        <v>4.325168064810188</v>
      </c>
    </row>
    <row r="66" spans="1:36" x14ac:dyDescent="0.3">
      <c r="A66" s="2">
        <v>45809</v>
      </c>
      <c r="B66" s="3">
        <v>1267.0807904333333</v>
      </c>
      <c r="C66" s="3">
        <v>278.16006666666664</v>
      </c>
      <c r="D66" s="3">
        <v>278.16006666666664</v>
      </c>
      <c r="E66" s="3">
        <v>988.9207237666667</v>
      </c>
      <c r="F66" s="3">
        <v>1141.0666666666666</v>
      </c>
      <c r="G66" s="3">
        <v>0</v>
      </c>
      <c r="H66" s="3">
        <v>8344.8019999999997</v>
      </c>
      <c r="I66" s="10">
        <v>1.1165353239999999E-3</v>
      </c>
      <c r="J66" s="3">
        <v>34232</v>
      </c>
      <c r="K66" s="3">
        <v>29667.621713</v>
      </c>
      <c r="L66" s="3">
        <v>78.047171990387625</v>
      </c>
      <c r="M66" s="3">
        <v>25.801982311863121</v>
      </c>
      <c r="O66" s="1">
        <f t="shared" si="1"/>
        <v>1947</v>
      </c>
      <c r="P66" s="1">
        <f t="shared" si="2"/>
        <v>3.5552217671551709</v>
      </c>
      <c r="Q66" s="1" t="str">
        <f t="shared" si="3"/>
        <v xml:space="preserve"> </v>
      </c>
      <c r="S66" s="1">
        <f t="shared" si="10"/>
        <v>1.2443081923357788E-2</v>
      </c>
      <c r="W66" s="1">
        <f t="shared" si="4"/>
        <v>30</v>
      </c>
      <c r="X66" s="1">
        <f t="shared" si="11"/>
        <v>1947</v>
      </c>
      <c r="Y66" s="1">
        <f t="shared" si="5"/>
        <v>64.900000000000006</v>
      </c>
      <c r="Z66" s="1">
        <f t="shared" si="14"/>
        <v>-4.8974698938886174E-3</v>
      </c>
      <c r="AA66" s="1">
        <f t="shared" si="6"/>
        <v>245.55808738561683</v>
      </c>
      <c r="AB66" s="1">
        <f t="shared" si="7"/>
        <v>289.9318416692833</v>
      </c>
      <c r="AC66" s="144"/>
      <c r="AE66" s="1">
        <f t="shared" si="12"/>
        <v>0</v>
      </c>
      <c r="AF66" s="1">
        <f t="shared" si="8"/>
        <v>0</v>
      </c>
      <c r="AG66" s="148"/>
      <c r="AH66" s="3">
        <f t="shared" si="13"/>
        <v>1522153.6246835657</v>
      </c>
      <c r="AI66" s="1">
        <f t="shared" si="9"/>
        <v>4.3490103562387592</v>
      </c>
    </row>
    <row r="67" spans="1:36" s="72" customFormat="1" x14ac:dyDescent="0.3">
      <c r="A67" s="69">
        <v>45839</v>
      </c>
      <c r="B67" s="70">
        <v>1272.0585707419355</v>
      </c>
      <c r="C67" s="70">
        <v>271.29599999999999</v>
      </c>
      <c r="D67" s="70">
        <v>271.29599999999999</v>
      </c>
      <c r="E67" s="70">
        <v>1000.7625707419355</v>
      </c>
      <c r="F67" s="70">
        <v>1314.483870967742</v>
      </c>
      <c r="G67" s="70">
        <v>0</v>
      </c>
      <c r="H67" s="70">
        <v>8410.1759999999995</v>
      </c>
      <c r="I67" s="71">
        <v>1.1252823659999999E-3</v>
      </c>
      <c r="J67" s="70">
        <v>40749</v>
      </c>
      <c r="K67" s="70">
        <v>31023.639693000001</v>
      </c>
      <c r="L67" s="70">
        <v>78.67268015483242</v>
      </c>
      <c r="M67" s="70">
        <v>30.475350361276625</v>
      </c>
      <c r="O67" s="72">
        <f>A67 -$A$2</f>
        <v>1977</v>
      </c>
      <c r="P67" s="72">
        <f>E67/C67</f>
        <v>3.6888216956458466</v>
      </c>
      <c r="Q67" s="72" t="str">
        <f>IF(OR(O69&lt;=0, O67&lt;=0)," ", (P69 - P67) / (LN(O69) - LN(O67)))</f>
        <v xml:space="preserve"> </v>
      </c>
      <c r="S67" s="72">
        <f>(P67-P66)/(O67-O66)</f>
        <v>4.4533309496891903E-3</v>
      </c>
      <c r="W67" s="72">
        <f>_xlfn.DAYS($A$67,A67)</f>
        <v>0</v>
      </c>
      <c r="X67" s="72">
        <f t="shared" si="11"/>
        <v>1977</v>
      </c>
      <c r="Y67" s="72">
        <f>X67/30</f>
        <v>65.900000000000006</v>
      </c>
      <c r="Z67" s="72" t="e">
        <f>LN( $V$4 /C67 ) / W67</f>
        <v>#DIV/0!</v>
      </c>
      <c r="AA67" s="72">
        <f xml:space="preserve"> $V$4 * EXP(-$Z$3 * W67)</f>
        <v>240.1521379310345</v>
      </c>
      <c r="AB67" s="1">
        <f t="shared" ref="AB67:AB130" si="15">1567.2*EXP(-0.026*Y67)</f>
        <v>282.49076693327089</v>
      </c>
      <c r="AC67" s="145"/>
      <c r="AD67" s="1"/>
      <c r="AE67" s="1">
        <f t="shared" si="12"/>
        <v>0</v>
      </c>
      <c r="AF67" s="1">
        <f t="shared" ref="AF67:AF130" si="16">(AE67*100)/(35*10^6)</f>
        <v>0</v>
      </c>
      <c r="AG67" s="120"/>
      <c r="AH67" s="3">
        <f t="shared" si="13"/>
        <v>1530563.8006835657</v>
      </c>
      <c r="AI67" s="1">
        <f t="shared" ref="AI67:AI130" si="17">(AH67*100)/(35*10^6)</f>
        <v>4.3730394305244733</v>
      </c>
    </row>
    <row r="68" spans="1:36" x14ac:dyDescent="0.3">
      <c r="A68" s="2">
        <v>45870</v>
      </c>
      <c r="D68" s="1" t="e" cm="1">
        <f t="array" ref="D68">TREND(D2:D67,Z2:Z67)</f>
        <v>#VALUE!</v>
      </c>
      <c r="Y68" s="1">
        <f>Y67+1</f>
        <v>66.900000000000006</v>
      </c>
      <c r="AB68" s="1">
        <f t="shared" si="15"/>
        <v>275.24066671357281</v>
      </c>
      <c r="AD68" s="1">
        <f t="shared" ref="AD68:AD130" si="18" xml:space="preserve"> 96383*EXP(-0.038*Y68)</f>
        <v>7584.6755564179775</v>
      </c>
      <c r="AE68" s="1">
        <f t="shared" ref="AE68:AE131" si="19">AE67+AD68</f>
        <v>7584.6755564179775</v>
      </c>
      <c r="AF68" s="1">
        <f t="shared" si="16"/>
        <v>2.1670501589765648E-2</v>
      </c>
      <c r="AH68" s="3"/>
      <c r="AI68" s="1">
        <f t="shared" si="17"/>
        <v>0</v>
      </c>
      <c r="AJ68" s="3"/>
    </row>
    <row r="69" spans="1:36" x14ac:dyDescent="0.3">
      <c r="Y69" s="1">
        <f t="shared" ref="Y69:Y134" si="20">Y68+1</f>
        <v>67.900000000000006</v>
      </c>
      <c r="AB69" s="1">
        <f t="shared" si="15"/>
        <v>268.17663966634086</v>
      </c>
      <c r="AD69" s="1">
        <f t="shared" si="18"/>
        <v>7301.8653106247484</v>
      </c>
      <c r="AE69" s="1">
        <f t="shared" si="19"/>
        <v>14886.540867042726</v>
      </c>
      <c r="AF69" s="1">
        <f t="shared" si="16"/>
        <v>4.2532973905836359E-2</v>
      </c>
      <c r="AH69" s="3"/>
      <c r="AI69" s="1">
        <f t="shared" si="17"/>
        <v>0</v>
      </c>
      <c r="AJ69" s="3"/>
    </row>
    <row r="70" spans="1:36" x14ac:dyDescent="0.3">
      <c r="Y70" s="1">
        <f t="shared" si="20"/>
        <v>68.900000000000006</v>
      </c>
      <c r="AB70" s="1">
        <f t="shared" si="15"/>
        <v>261.29391024027746</v>
      </c>
      <c r="AD70" s="1">
        <f t="shared" si="18"/>
        <v>7029.6002271829821</v>
      </c>
      <c r="AE70" s="1">
        <f t="shared" si="19"/>
        <v>21916.141094225706</v>
      </c>
      <c r="AF70" s="1">
        <f t="shared" si="16"/>
        <v>6.2617545983502013E-2</v>
      </c>
      <c r="AH70" s="3"/>
      <c r="AI70" s="1">
        <f t="shared" si="17"/>
        <v>0</v>
      </c>
      <c r="AJ70" s="3"/>
    </row>
    <row r="71" spans="1:36" x14ac:dyDescent="0.3">
      <c r="Y71" s="1">
        <f t="shared" si="20"/>
        <v>69.900000000000006</v>
      </c>
      <c r="AB71" s="1">
        <f t="shared" si="15"/>
        <v>254.58782544818126</v>
      </c>
      <c r="AD71" s="1">
        <f t="shared" si="18"/>
        <v>6767.4871080007733</v>
      </c>
      <c r="AE71" s="1">
        <f t="shared" si="19"/>
        <v>28683.628202226479</v>
      </c>
      <c r="AF71" s="1">
        <f t="shared" si="16"/>
        <v>8.195322343493279E-2</v>
      </c>
      <c r="AH71" s="3"/>
      <c r="AI71" s="1">
        <f t="shared" si="17"/>
        <v>0</v>
      </c>
      <c r="AJ71" s="3"/>
    </row>
    <row r="72" spans="1:36" x14ac:dyDescent="0.3">
      <c r="Y72" s="1">
        <f t="shared" si="20"/>
        <v>70.900000000000006</v>
      </c>
      <c r="AB72" s="1">
        <f t="shared" si="15"/>
        <v>248.05385172135036</v>
      </c>
      <c r="AD72" s="1">
        <f t="shared" si="18"/>
        <v>6515.1474161867054</v>
      </c>
      <c r="AE72" s="1">
        <f t="shared" si="19"/>
        <v>35198.775618413187</v>
      </c>
      <c r="AF72" s="1">
        <f t="shared" si="16"/>
        <v>0.1005679303383234</v>
      </c>
      <c r="AH72" s="3"/>
      <c r="AI72" s="1">
        <f t="shared" si="17"/>
        <v>0</v>
      </c>
      <c r="AJ72" s="3"/>
    </row>
    <row r="73" spans="1:36" x14ac:dyDescent="0.3">
      <c r="Y73" s="1">
        <f t="shared" si="20"/>
        <v>71.900000000000006</v>
      </c>
      <c r="AB73" s="1">
        <f t="shared" si="15"/>
        <v>241.6875718447173</v>
      </c>
      <c r="AD73" s="1">
        <f t="shared" si="18"/>
        <v>6272.2167293768016</v>
      </c>
      <c r="AE73" s="1">
        <f t="shared" si="19"/>
        <v>41470.992347789987</v>
      </c>
      <c r="AF73" s="1">
        <f t="shared" si="16"/>
        <v>0.11848854956511425</v>
      </c>
      <c r="AH73" s="3"/>
      <c r="AI73" s="1">
        <f t="shared" si="17"/>
        <v>0</v>
      </c>
      <c r="AJ73" s="3"/>
    </row>
    <row r="74" spans="1:36" x14ac:dyDescent="0.3">
      <c r="Y74" s="1">
        <f t="shared" si="20"/>
        <v>72.900000000000006</v>
      </c>
      <c r="AB74" s="1">
        <f t="shared" si="15"/>
        <v>235.48468197064369</v>
      </c>
      <c r="AD74" s="1">
        <f t="shared" si="18"/>
        <v>6038.3442134453217</v>
      </c>
      <c r="AE74" s="1">
        <f t="shared" si="19"/>
        <v>47509.336561235308</v>
      </c>
      <c r="AF74" s="1">
        <f t="shared" si="16"/>
        <v>0.13574096160352947</v>
      </c>
      <c r="AH74" s="3"/>
      <c r="AI74" s="1">
        <f t="shared" si="17"/>
        <v>0</v>
      </c>
      <c r="AJ74" s="3"/>
    </row>
    <row r="75" spans="1:36" x14ac:dyDescent="0.3">
      <c r="Y75" s="1">
        <f t="shared" si="20"/>
        <v>73.900000000000006</v>
      </c>
      <c r="AB75" s="1">
        <f t="shared" si="15"/>
        <v>229.44098870935497</v>
      </c>
      <c r="AD75" s="1">
        <f t="shared" si="18"/>
        <v>5813.1921158393025</v>
      </c>
      <c r="AE75" s="1">
        <f t="shared" si="19"/>
        <v>53322.52867707461</v>
      </c>
      <c r="AF75" s="1">
        <f t="shared" si="16"/>
        <v>0.15235008193449889</v>
      </c>
      <c r="AH75" s="3"/>
      <c r="AI75" s="1">
        <f t="shared" si="17"/>
        <v>0</v>
      </c>
      <c r="AJ75" s="3"/>
    </row>
    <row r="76" spans="1:36" x14ac:dyDescent="0.3">
      <c r="Y76" s="1">
        <f t="shared" si="20"/>
        <v>74.900000000000006</v>
      </c>
      <c r="AB76" s="1">
        <f t="shared" si="15"/>
        <v>223.55240629404938</v>
      </c>
      <c r="AD76" s="1">
        <f t="shared" si="18"/>
        <v>5596.4352778051898</v>
      </c>
      <c r="AE76" s="1">
        <f t="shared" si="19"/>
        <v>58918.9639548798</v>
      </c>
      <c r="AF76" s="1">
        <f t="shared" si="16"/>
        <v>0.16833989701394228</v>
      </c>
      <c r="AH76" s="3"/>
      <c r="AI76" s="1">
        <f t="shared" si="17"/>
        <v>0</v>
      </c>
      <c r="AJ76" s="3"/>
    </row>
    <row r="77" spans="1:36" x14ac:dyDescent="0.3">
      <c r="Y77" s="1">
        <f t="shared" si="20"/>
        <v>75.900000000000006</v>
      </c>
      <c r="AB77" s="1">
        <f t="shared" si="15"/>
        <v>217.81495381876417</v>
      </c>
      <c r="AD77" s="1">
        <f t="shared" si="18"/>
        <v>5387.7606648030896</v>
      </c>
      <c r="AE77" s="1">
        <f t="shared" si="19"/>
        <v>64306.724619682893</v>
      </c>
      <c r="AF77" s="1">
        <f t="shared" si="16"/>
        <v>0.1837334989133797</v>
      </c>
      <c r="AH77" s="3"/>
      <c r="AI77" s="1">
        <f t="shared" si="17"/>
        <v>0</v>
      </c>
      <c r="AJ77" s="3"/>
    </row>
    <row r="78" spans="1:36" x14ac:dyDescent="0.3">
      <c r="Y78" s="1">
        <f t="shared" si="20"/>
        <v>76.900000000000006</v>
      </c>
      <c r="AB78" s="1">
        <f t="shared" si="15"/>
        <v>212.22475254713117</v>
      </c>
      <c r="AD78" s="1">
        <f t="shared" si="18"/>
        <v>5186.8669144305086</v>
      </c>
      <c r="AE78" s="1">
        <f t="shared" si="19"/>
        <v>69493.591534113395</v>
      </c>
      <c r="AF78" s="1">
        <f t="shared" si="16"/>
        <v>0.19855311866889544</v>
      </c>
      <c r="AH78" s="3"/>
      <c r="AI78" s="1">
        <f t="shared" si="17"/>
        <v>0</v>
      </c>
      <c r="AJ78" s="3"/>
    </row>
    <row r="79" spans="1:36" x14ac:dyDescent="0.3">
      <c r="Y79" s="1">
        <f t="shared" si="20"/>
        <v>77.900000000000006</v>
      </c>
      <c r="AB79" s="1">
        <f t="shared" si="15"/>
        <v>206.77802329020375</v>
      </c>
      <c r="AD79" s="1">
        <f t="shared" si="18"/>
        <v>4993.4639012026573</v>
      </c>
      <c r="AE79" s="1">
        <f t="shared" si="19"/>
        <v>74487.055435316055</v>
      </c>
      <c r="AF79" s="1">
        <f t="shared" si="16"/>
        <v>0.2128201583866173</v>
      </c>
      <c r="AH79" s="3"/>
      <c r="AI79" s="1">
        <f t="shared" si="17"/>
        <v>0</v>
      </c>
      <c r="AJ79" s="3"/>
    </row>
    <row r="80" spans="1:36" x14ac:dyDescent="0.3">
      <c r="Y80" s="1">
        <f t="shared" si="20"/>
        <v>78.900000000000006</v>
      </c>
      <c r="AB80" s="1">
        <f t="shared" si="15"/>
        <v>201.47108385158066</v>
      </c>
      <c r="AD80" s="1">
        <f t="shared" si="18"/>
        <v>4807.2723175608517</v>
      </c>
      <c r="AE80" s="1">
        <f t="shared" si="19"/>
        <v>79294.32775287691</v>
      </c>
      <c r="AF80" s="1">
        <f t="shared" si="16"/>
        <v>0.2265552221510769</v>
      </c>
      <c r="AH80" s="3"/>
      <c r="AI80" s="1">
        <f t="shared" si="17"/>
        <v>0</v>
      </c>
      <c r="AJ80" s="3"/>
    </row>
    <row r="81" spans="25:36" x14ac:dyDescent="0.3">
      <c r="Y81" s="1">
        <f t="shared" si="20"/>
        <v>79.900000000000006</v>
      </c>
      <c r="AB81" s="1">
        <f t="shared" si="15"/>
        <v>196.30034653810173</v>
      </c>
      <c r="AD81" s="1">
        <f t="shared" si="18"/>
        <v>4628.0232705038597</v>
      </c>
      <c r="AE81" s="1">
        <f t="shared" si="19"/>
        <v>83922.351023380776</v>
      </c>
      <c r="AF81" s="1">
        <f t="shared" si="16"/>
        <v>0.23977814578108794</v>
      </c>
      <c r="AH81" s="3"/>
      <c r="AI81" s="1">
        <f t="shared" si="17"/>
        <v>0</v>
      </c>
      <c r="AJ81" s="3"/>
    </row>
    <row r="82" spans="25:36" x14ac:dyDescent="0.3">
      <c r="Y82" s="1">
        <f t="shared" si="20"/>
        <v>80.900000000000006</v>
      </c>
      <c r="AB82" s="1">
        <f t="shared" si="15"/>
        <v>191.26231573442985</v>
      </c>
      <c r="AD82" s="1">
        <f t="shared" si="18"/>
        <v>4455.4578932596778</v>
      </c>
      <c r="AE82" s="1">
        <f t="shared" si="19"/>
        <v>88377.808916640453</v>
      </c>
      <c r="AF82" s="1">
        <f t="shared" si="16"/>
        <v>0.25250802547611556</v>
      </c>
      <c r="AH82" s="3"/>
      <c r="AI82" s="1">
        <f t="shared" si="17"/>
        <v>0</v>
      </c>
      <c r="AJ82" s="3"/>
    </row>
    <row r="83" spans="25:36" x14ac:dyDescent="0.3">
      <c r="Y83" s="1">
        <f t="shared" si="20"/>
        <v>81.900000000000006</v>
      </c>
      <c r="AB83" s="1">
        <f t="shared" si="15"/>
        <v>186.35358553988266</v>
      </c>
      <c r="AD83" s="1">
        <f t="shared" si="18"/>
        <v>4289.3269714369335</v>
      </c>
      <c r="AE83" s="1">
        <f t="shared" si="19"/>
        <v>92667.135888077391</v>
      </c>
      <c r="AF83" s="1">
        <f t="shared" si="16"/>
        <v>0.26476324539450685</v>
      </c>
      <c r="AH83" s="3"/>
      <c r="AI83" s="1">
        <f t="shared" si="17"/>
        <v>0</v>
      </c>
      <c r="AJ83" s="3"/>
    </row>
    <row r="84" spans="25:36" x14ac:dyDescent="0.3">
      <c r="Y84" s="1">
        <f t="shared" si="20"/>
        <v>82.9</v>
      </c>
      <c r="AB84" s="1">
        <f t="shared" si="15"/>
        <v>181.57083746591326</v>
      </c>
      <c r="AD84" s="1">
        <f t="shared" si="18"/>
        <v>4129.3905831159918</v>
      </c>
      <c r="AE84" s="1">
        <f t="shared" si="19"/>
        <v>96796.526471193385</v>
      </c>
      <c r="AF84" s="1">
        <f t="shared" si="16"/>
        <v>0.27656150420340964</v>
      </c>
      <c r="AH84" s="3"/>
      <c r="AI84" s="1">
        <f t="shared" si="17"/>
        <v>0</v>
      </c>
      <c r="AJ84" s="3"/>
    </row>
    <row r="85" spans="25:36" x14ac:dyDescent="0.3">
      <c r="Y85" s="1">
        <f t="shared" si="20"/>
        <v>83.9</v>
      </c>
      <c r="AB85" s="1">
        <f t="shared" si="15"/>
        <v>176.9108381926863</v>
      </c>
      <c r="AD85" s="1">
        <f t="shared" si="18"/>
        <v>3975.417752360022</v>
      </c>
      <c r="AE85" s="1">
        <f t="shared" si="19"/>
        <v>100771.94422355341</v>
      </c>
      <c r="AF85" s="1">
        <f t="shared" si="16"/>
        <v>0.287919840638724</v>
      </c>
      <c r="AH85" s="3"/>
      <c r="AI85" s="1">
        <f t="shared" si="17"/>
        <v>0</v>
      </c>
      <c r="AJ85" s="3"/>
    </row>
    <row r="86" spans="25:36" x14ac:dyDescent="0.3">
      <c r="Y86" s="1">
        <f t="shared" si="20"/>
        <v>84.9</v>
      </c>
      <c r="AB86" s="1">
        <f t="shared" si="15"/>
        <v>172.37043738322993</v>
      </c>
      <c r="AD86" s="1">
        <f t="shared" si="18"/>
        <v>3827.1861156455998</v>
      </c>
      <c r="AE86" s="1">
        <f t="shared" si="19"/>
        <v>104599.13033919901</v>
      </c>
      <c r="AF86" s="1">
        <f t="shared" si="16"/>
        <v>0.29885465811199718</v>
      </c>
      <c r="AH86" s="3"/>
      <c r="AI86" s="1">
        <f t="shared" si="17"/>
        <v>0</v>
      </c>
      <c r="AJ86" s="3"/>
    </row>
    <row r="87" spans="25:36" x14ac:dyDescent="0.3">
      <c r="Y87" s="1">
        <f t="shared" si="20"/>
        <v>85.9</v>
      </c>
      <c r="AB87" s="1">
        <f t="shared" si="15"/>
        <v>167.94656555368866</v>
      </c>
      <c r="AD87" s="1">
        <f t="shared" si="18"/>
        <v>3684.4816007311406</v>
      </c>
      <c r="AE87" s="1">
        <f t="shared" si="19"/>
        <v>108283.61193993015</v>
      </c>
      <c r="AF87" s="1">
        <f t="shared" si="16"/>
        <v>0.30938174839980043</v>
      </c>
      <c r="AH87" s="3"/>
      <c r="AI87" s="1">
        <f t="shared" si="17"/>
        <v>0</v>
      </c>
      <c r="AJ87" s="3"/>
    </row>
    <row r="88" spans="25:36" x14ac:dyDescent="0.3">
      <c r="Y88" s="1">
        <f t="shared" si="20"/>
        <v>86.9</v>
      </c>
      <c r="AB88" s="1">
        <f t="shared" si="15"/>
        <v>163.63623199823496</v>
      </c>
      <c r="AD88" s="1">
        <f t="shared" si="18"/>
        <v>3547.0981174993922</v>
      </c>
      <c r="AE88" s="1">
        <f t="shared" si="19"/>
        <v>111830.71005742955</v>
      </c>
      <c r="AF88" s="1">
        <f t="shared" si="16"/>
        <v>0.31951631444979867</v>
      </c>
      <c r="AH88" s="3"/>
      <c r="AI88" s="1">
        <f t="shared" si="17"/>
        <v>0</v>
      </c>
      <c r="AJ88" s="3"/>
    </row>
    <row r="89" spans="25:36" x14ac:dyDescent="0.3">
      <c r="Y89" s="1">
        <f t="shared" si="20"/>
        <v>87.9</v>
      </c>
      <c r="AB89" s="1">
        <f t="shared" si="15"/>
        <v>159.43652276723833</v>
      </c>
      <c r="AD89" s="1">
        <f t="shared" si="18"/>
        <v>3414.8372603274765</v>
      </c>
      <c r="AE89" s="1">
        <f t="shared" si="19"/>
        <v>115245.54731775702</v>
      </c>
      <c r="AF89" s="1">
        <f t="shared" si="16"/>
        <v>0.32927299233644863</v>
      </c>
      <c r="AH89" s="3"/>
      <c r="AI89" s="1">
        <f t="shared" si="17"/>
        <v>0</v>
      </c>
      <c r="AJ89" s="3"/>
    </row>
    <row r="90" spans="25:36" x14ac:dyDescent="0.3">
      <c r="Y90" s="1">
        <f t="shared" si="20"/>
        <v>88.9</v>
      </c>
      <c r="AB90" s="1">
        <f t="shared" si="15"/>
        <v>155.34459869732459</v>
      </c>
      <c r="AD90" s="1">
        <f t="shared" si="18"/>
        <v>3287.5080215547118</v>
      </c>
      <c r="AE90" s="1">
        <f t="shared" si="19"/>
        <v>118533.05533931173</v>
      </c>
      <c r="AF90" s="1">
        <f t="shared" si="16"/>
        <v>0.33866587239803353</v>
      </c>
      <c r="AH90" s="3"/>
      <c r="AI90" s="1">
        <f t="shared" si="17"/>
        <v>0</v>
      </c>
      <c r="AJ90" s="3"/>
    </row>
    <row r="91" spans="25:36" x14ac:dyDescent="0.3">
      <c r="Y91" s="1">
        <f t="shared" si="20"/>
        <v>89.9</v>
      </c>
      <c r="AB91" s="1">
        <f t="shared" si="15"/>
        <v>151.3576934919929</v>
      </c>
      <c r="AD91" s="1">
        <f t="shared" si="18"/>
        <v>3164.9265156343449</v>
      </c>
      <c r="AE91" s="1">
        <f t="shared" si="19"/>
        <v>121697.98185494608</v>
      </c>
      <c r="AF91" s="1">
        <f t="shared" si="16"/>
        <v>0.34770851958556021</v>
      </c>
      <c r="AH91" s="3"/>
      <c r="AI91" s="1">
        <f t="shared" si="17"/>
        <v>0</v>
      </c>
      <c r="AJ91" s="3"/>
    </row>
    <row r="92" spans="25:36" x14ac:dyDescent="0.3">
      <c r="Y92" s="1">
        <f t="shared" si="20"/>
        <v>90.9</v>
      </c>
      <c r="AB92" s="1">
        <f t="shared" si="15"/>
        <v>147.47311185149456</v>
      </c>
      <c r="AD92" s="1">
        <f t="shared" si="18"/>
        <v>3046.9157135708779</v>
      </c>
      <c r="AE92" s="1">
        <f t="shared" si="19"/>
        <v>124744.89756851696</v>
      </c>
      <c r="AF92" s="1">
        <f t="shared" si="16"/>
        <v>0.35641399305290561</v>
      </c>
      <c r="AH92" s="3"/>
      <c r="AI92" s="1">
        <f t="shared" si="17"/>
        <v>0</v>
      </c>
      <c r="AJ92" s="3"/>
    </row>
    <row r="93" spans="25:36" x14ac:dyDescent="0.3">
      <c r="Y93" s="1">
        <f t="shared" si="20"/>
        <v>91.9</v>
      </c>
      <c r="AB93" s="1">
        <f t="shared" si="15"/>
        <v>143.68822765070703</v>
      </c>
      <c r="AD93" s="1">
        <f t="shared" si="18"/>
        <v>2933.3051872594283</v>
      </c>
      <c r="AE93" s="1">
        <f t="shared" si="19"/>
        <v>127678.20275577638</v>
      </c>
      <c r="AF93" s="1">
        <f t="shared" si="16"/>
        <v>0.36479486501650393</v>
      </c>
      <c r="AH93" s="3"/>
      <c r="AI93" s="1">
        <f t="shared" si="17"/>
        <v>0</v>
      </c>
      <c r="AJ93" s="3"/>
    </row>
    <row r="94" spans="25:36" x14ac:dyDescent="0.3">
      <c r="Y94" s="1">
        <f t="shared" si="20"/>
        <v>92.9</v>
      </c>
      <c r="AB94" s="1">
        <f t="shared" si="15"/>
        <v>140.00048216377405</v>
      </c>
      <c r="AD94" s="1">
        <f t="shared" si="18"/>
        <v>2823.930863357934</v>
      </c>
      <c r="AE94" s="1">
        <f t="shared" si="19"/>
        <v>130502.13361913431</v>
      </c>
      <c r="AF94" s="1">
        <f t="shared" si="16"/>
        <v>0.37286323891181233</v>
      </c>
      <c r="AH94" s="3"/>
      <c r="AI94" s="1">
        <f t="shared" si="17"/>
        <v>0</v>
      </c>
      <c r="AJ94" s="3"/>
    </row>
    <row r="95" spans="25:36" x14ac:dyDescent="0.3">
      <c r="Y95" s="1">
        <f t="shared" si="20"/>
        <v>93.9</v>
      </c>
      <c r="AB95" s="1">
        <f t="shared" si="15"/>
        <v>136.40738233430886</v>
      </c>
      <c r="AD95" s="1">
        <f t="shared" si="18"/>
        <v>2718.6347863367414</v>
      </c>
      <c r="AE95" s="1">
        <f t="shared" si="19"/>
        <v>133220.76840547106</v>
      </c>
      <c r="AF95" s="1">
        <f t="shared" si="16"/>
        <v>0.38063076687277442</v>
      </c>
      <c r="AH95" s="3"/>
      <c r="AI95" s="1">
        <f t="shared" si="17"/>
        <v>0</v>
      </c>
      <c r="AJ95" s="3"/>
    </row>
    <row r="96" spans="25:36" x14ac:dyDescent="0.3">
      <c r="Y96" s="1">
        <f t="shared" si="20"/>
        <v>94.9</v>
      </c>
      <c r="AB96" s="1">
        <f t="shared" si="15"/>
        <v>132.90649908999379</v>
      </c>
      <c r="AD96" s="1">
        <f t="shared" si="18"/>
        <v>2617.2648903633612</v>
      </c>
      <c r="AE96" s="1">
        <f t="shared" si="19"/>
        <v>135838.03329583441</v>
      </c>
      <c r="AF96" s="1">
        <f t="shared" si="16"/>
        <v>0.38810866655952686</v>
      </c>
      <c r="AH96" s="3"/>
      <c r="AI96" s="1">
        <f t="shared" si="17"/>
        <v>0</v>
      </c>
      <c r="AJ96" s="3"/>
    </row>
    <row r="97" spans="25:36" x14ac:dyDescent="0.3">
      <c r="Y97" s="1">
        <f t="shared" si="20"/>
        <v>95.9</v>
      </c>
      <c r="AB97" s="1">
        <f t="shared" si="15"/>
        <v>129.49546570043427</v>
      </c>
      <c r="AD97" s="1">
        <f t="shared" si="18"/>
        <v>2519.6747796929953</v>
      </c>
      <c r="AE97" s="1">
        <f t="shared" si="19"/>
        <v>138357.70807552739</v>
      </c>
      <c r="AF97" s="1">
        <f t="shared" si="16"/>
        <v>0.39530773735864971</v>
      </c>
      <c r="AH97" s="3"/>
      <c r="AI97" s="1">
        <f t="shared" si="17"/>
        <v>0</v>
      </c>
      <c r="AJ97" s="3"/>
    </row>
    <row r="98" spans="25:36" x14ac:dyDescent="0.3">
      <c r="Y98" s="1">
        <f t="shared" si="20"/>
        <v>96.9</v>
      </c>
      <c r="AB98" s="1">
        <f t="shared" si="15"/>
        <v>126.17197617715931</v>
      </c>
      <c r="AD98" s="1">
        <f t="shared" si="18"/>
        <v>2425.7235172476289</v>
      </c>
      <c r="AE98" s="1">
        <f t="shared" si="19"/>
        <v>140783.43159277501</v>
      </c>
      <c r="AF98" s="1">
        <f t="shared" si="16"/>
        <v>0.40223837597935713</v>
      </c>
      <c r="AH98" s="3"/>
      <c r="AI98" s="1">
        <f t="shared" si="17"/>
        <v>0</v>
      </c>
      <c r="AJ98" s="3"/>
    </row>
    <row r="99" spans="25:36" x14ac:dyDescent="0.3">
      <c r="Y99" s="1">
        <f t="shared" si="20"/>
        <v>97.9</v>
      </c>
      <c r="AB99" s="1">
        <f t="shared" si="15"/>
        <v>122.93378371468555</v>
      </c>
      <c r="AD99" s="1">
        <f t="shared" si="18"/>
        <v>2335.2754210784087</v>
      </c>
      <c r="AE99" s="1">
        <f t="shared" si="19"/>
        <v>143118.70701385342</v>
      </c>
      <c r="AF99" s="1">
        <f t="shared" si="16"/>
        <v>0.40891059146815262</v>
      </c>
      <c r="AH99" s="3"/>
      <c r="AI99" s="1">
        <f t="shared" si="17"/>
        <v>0</v>
      </c>
      <c r="AJ99" s="3"/>
    </row>
    <row r="100" spans="25:36" x14ac:dyDescent="0.3">
      <c r="Y100" s="1">
        <f t="shared" si="20"/>
        <v>98.9</v>
      </c>
      <c r="AB100" s="1">
        <f t="shared" si="15"/>
        <v>119.7786991715907</v>
      </c>
      <c r="AD100" s="1">
        <f t="shared" si="18"/>
        <v>2248.1998684173295</v>
      </c>
      <c r="AE100" s="1">
        <f t="shared" si="19"/>
        <v>145366.90688227073</v>
      </c>
      <c r="AF100" s="1">
        <f t="shared" si="16"/>
        <v>0.4153340196636307</v>
      </c>
      <c r="AH100" s="3"/>
      <c r="AI100" s="1">
        <f t="shared" si="17"/>
        <v>0</v>
      </c>
      <c r="AJ100" s="3"/>
    </row>
    <row r="101" spans="25:36" x14ac:dyDescent="0.3">
      <c r="Y101" s="1">
        <f t="shared" si="20"/>
        <v>99.9</v>
      </c>
      <c r="AB101" s="1">
        <f t="shared" si="15"/>
        <v>116.70458959057127</v>
      </c>
      <c r="AD101" s="1">
        <f t="shared" si="18"/>
        <v>2164.3711070352547</v>
      </c>
      <c r="AE101" s="1">
        <f t="shared" si="19"/>
        <v>147531.27798930599</v>
      </c>
      <c r="AF101" s="1">
        <f t="shared" si="16"/>
        <v>0.42151793711230279</v>
      </c>
      <c r="AH101" s="3"/>
      <c r="AI101" s="1">
        <f t="shared" si="17"/>
        <v>0</v>
      </c>
      <c r="AJ101" s="3"/>
    </row>
    <row r="102" spans="25:36" x14ac:dyDescent="0.3">
      <c r="Y102" s="1">
        <f t="shared" si="20"/>
        <v>100.9</v>
      </c>
      <c r="AB102" s="1">
        <f t="shared" si="15"/>
        <v>113.70937675648156</v>
      </c>
      <c r="AD102" s="1">
        <f t="shared" si="18"/>
        <v>2083.6680736338512</v>
      </c>
      <c r="AE102" s="1">
        <f t="shared" si="19"/>
        <v>149614.94606293985</v>
      </c>
      <c r="AF102" s="1">
        <f t="shared" si="16"/>
        <v>0.42747127446554245</v>
      </c>
      <c r="AH102" s="3"/>
      <c r="AI102" s="1">
        <f t="shared" si="17"/>
        <v>0</v>
      </c>
      <c r="AJ102" s="3"/>
    </row>
    <row r="103" spans="25:36" x14ac:dyDescent="0.3">
      <c r="Y103" s="1">
        <f t="shared" si="20"/>
        <v>101.9</v>
      </c>
      <c r="AB103" s="1">
        <f t="shared" si="15"/>
        <v>110.79103579138152</v>
      </c>
      <c r="AD103" s="1">
        <f t="shared" si="18"/>
        <v>2005.9742190091451</v>
      </c>
      <c r="AE103" s="1">
        <f t="shared" si="19"/>
        <v>151620.92028194899</v>
      </c>
      <c r="AF103" s="1">
        <f t="shared" si="16"/>
        <v>0.43320262937699711</v>
      </c>
      <c r="AH103" s="3"/>
      <c r="AI103" s="1">
        <f t="shared" si="17"/>
        <v>0</v>
      </c>
      <c r="AJ103" s="3"/>
    </row>
    <row r="104" spans="25:36" x14ac:dyDescent="0.3">
      <c r="Y104" s="1">
        <f t="shared" si="20"/>
        <v>102.9</v>
      </c>
      <c r="AB104" s="1">
        <f t="shared" si="15"/>
        <v>107.94759378564184</v>
      </c>
      <c r="AD104" s="1">
        <f t="shared" si="18"/>
        <v>1931.1773397342215</v>
      </c>
      <c r="AE104" s="1">
        <f t="shared" si="19"/>
        <v>153552.09762168321</v>
      </c>
      <c r="AF104" s="1">
        <f t="shared" si="16"/>
        <v>0.43872027891909487</v>
      </c>
      <c r="AH104" s="3"/>
      <c r="AI104" s="1">
        <f t="shared" si="17"/>
        <v>0</v>
      </c>
      <c r="AJ104" s="3"/>
    </row>
    <row r="105" spans="25:36" x14ac:dyDescent="0.3">
      <c r="Y105" s="1">
        <f t="shared" si="20"/>
        <v>103.9</v>
      </c>
      <c r="AB105" s="1">
        <f t="shared" si="15"/>
        <v>105.17712846418225</v>
      </c>
      <c r="AD105" s="1">
        <f t="shared" si="18"/>
        <v>1859.1694161179762</v>
      </c>
      <c r="AE105" s="1">
        <f t="shared" si="19"/>
        <v>155411.26703780118</v>
      </c>
      <c r="AF105" s="1">
        <f t="shared" si="16"/>
        <v>0.44403219153657481</v>
      </c>
      <c r="AH105" s="3"/>
      <c r="AI105" s="1">
        <f t="shared" si="17"/>
        <v>0</v>
      </c>
      <c r="AJ105" s="3"/>
    </row>
    <row r="106" spans="25:36" x14ac:dyDescent="0.3">
      <c r="Y106" s="1">
        <f t="shared" si="20"/>
        <v>104.9</v>
      </c>
      <c r="AB106" s="1">
        <f t="shared" si="15"/>
        <v>102.47776688693996</v>
      </c>
      <c r="AD106" s="1">
        <f t="shared" si="18"/>
        <v>1789.8464562059107</v>
      </c>
      <c r="AE106" s="1">
        <f t="shared" si="19"/>
        <v>157201.11349400709</v>
      </c>
      <c r="AF106" s="1">
        <f t="shared" si="16"/>
        <v>0.44914603855430596</v>
      </c>
      <c r="AH106" s="3"/>
      <c r="AI106" s="1">
        <f t="shared" si="17"/>
        <v>0</v>
      </c>
      <c r="AJ106" s="3"/>
    </row>
    <row r="107" spans="25:36" x14ac:dyDescent="0.3">
      <c r="Y107" s="1">
        <f t="shared" si="20"/>
        <v>105.9</v>
      </c>
      <c r="AB107" s="1">
        <f t="shared" si="15"/>
        <v>99.847684182691154</v>
      </c>
      <c r="AD107" s="1">
        <f t="shared" si="18"/>
        <v>1723.1083455976834</v>
      </c>
      <c r="AE107" s="1">
        <f t="shared" si="19"/>
        <v>158924.22183960478</v>
      </c>
      <c r="AF107" s="1">
        <f t="shared" si="16"/>
        <v>0.45406920525601369</v>
      </c>
      <c r="AH107" s="3"/>
      <c r="AI107" s="1">
        <f t="shared" si="17"/>
        <v>0</v>
      </c>
      <c r="AJ107" s="3"/>
    </row>
    <row r="108" spans="25:36" x14ac:dyDescent="0.3">
      <c r="Y108" s="1">
        <f t="shared" si="20"/>
        <v>106.9</v>
      </c>
      <c r="AB108" s="1">
        <f t="shared" si="15"/>
        <v>97.285102315368491</v>
      </c>
      <c r="AD108" s="1">
        <f t="shared" si="18"/>
        <v>1658.8587028645163</v>
      </c>
      <c r="AE108" s="1">
        <f t="shared" si="19"/>
        <v>160583.08054246931</v>
      </c>
      <c r="AF108" s="1">
        <f t="shared" si="16"/>
        <v>0.45880880154991227</v>
      </c>
      <c r="AH108" s="3"/>
      <c r="AI108" s="1">
        <f t="shared" si="17"/>
        <v>0</v>
      </c>
      <c r="AJ108" s="3"/>
    </row>
    <row r="109" spans="25:36" x14ac:dyDescent="0.3">
      <c r="Y109" s="1">
        <f t="shared" si="20"/>
        <v>107.9</v>
      </c>
      <c r="AB109" s="1">
        <f t="shared" si="15"/>
        <v>94.788288882040888</v>
      </c>
      <c r="AD109" s="1">
        <f t="shared" si="18"/>
        <v>1597.0047403576584</v>
      </c>
      <c r="AE109" s="1">
        <f t="shared" si="19"/>
        <v>162180.08528282697</v>
      </c>
      <c r="AF109" s="1">
        <f t="shared" si="16"/>
        <v>0.46337167223664849</v>
      </c>
      <c r="AH109" s="3"/>
      <c r="AI109" s="1">
        <f t="shared" si="17"/>
        <v>0</v>
      </c>
      <c r="AJ109" s="3"/>
    </row>
    <row r="110" spans="25:36" x14ac:dyDescent="0.3">
      <c r="Y110" s="1">
        <f t="shared" si="20"/>
        <v>108.9</v>
      </c>
      <c r="AB110" s="1">
        <f t="shared" si="15"/>
        <v>92.355555941743347</v>
      </c>
      <c r="AD110" s="1">
        <f t="shared" si="18"/>
        <v>1537.4571302069076</v>
      </c>
      <c r="AE110" s="1">
        <f t="shared" si="19"/>
        <v>163717.54241303387</v>
      </c>
      <c r="AF110" s="1">
        <f t="shared" si="16"/>
        <v>0.46776440689438248</v>
      </c>
      <c r="AH110" s="3"/>
      <c r="AI110" s="1">
        <f t="shared" si="17"/>
        <v>0</v>
      </c>
      <c r="AJ110" s="3"/>
    </row>
    <row r="111" spans="25:36" x14ac:dyDescent="0.3">
      <c r="Y111" s="1">
        <f t="shared" si="20"/>
        <v>109.9</v>
      </c>
      <c r="AB111" s="1">
        <f t="shared" si="15"/>
        <v>89.985258874364334</v>
      </c>
      <c r="AD111" s="1">
        <f t="shared" si="18"/>
        <v>1480.1298753156366</v>
      </c>
      <c r="AE111" s="1">
        <f t="shared" si="19"/>
        <v>165197.67228834951</v>
      </c>
      <c r="AF111" s="1">
        <f t="shared" si="16"/>
        <v>0.47199334939528431</v>
      </c>
      <c r="AH111" s="3"/>
      <c r="AI111" s="1">
        <f t="shared" si="17"/>
        <v>0</v>
      </c>
      <c r="AJ111" s="3"/>
    </row>
    <row r="112" spans="25:36" x14ac:dyDescent="0.3">
      <c r="Y112" s="1">
        <f t="shared" si="20"/>
        <v>110.9</v>
      </c>
      <c r="AB112" s="1">
        <f t="shared" si="15"/>
        <v>87.675795268820309</v>
      </c>
      <c r="AD112" s="1">
        <f t="shared" si="18"/>
        <v>1424.9401851660407</v>
      </c>
      <c r="AE112" s="1">
        <f t="shared" si="19"/>
        <v>166622.61247351556</v>
      </c>
      <c r="AF112" s="1">
        <f t="shared" si="16"/>
        <v>0.47606460706718734</v>
      </c>
      <c r="AH112" s="3"/>
      <c r="AI112" s="1">
        <f t="shared" si="17"/>
        <v>0</v>
      </c>
      <c r="AJ112" s="3"/>
    </row>
    <row r="113" spans="25:36" x14ac:dyDescent="0.3">
      <c r="Y113" s="1">
        <f t="shared" si="20"/>
        <v>111.9</v>
      </c>
      <c r="AB113" s="1">
        <f t="shared" si="15"/>
        <v>85.425603839764378</v>
      </c>
      <c r="AD113" s="1">
        <f t="shared" si="18"/>
        <v>1371.8083562552492</v>
      </c>
      <c r="AE113" s="1">
        <f t="shared" si="19"/>
        <v>167994.4208297708</v>
      </c>
      <c r="AF113" s="1">
        <f t="shared" si="16"/>
        <v>0.47998405951363082</v>
      </c>
      <c r="AH113" s="3"/>
      <c r="AI113" s="1">
        <f t="shared" si="17"/>
        <v>0</v>
      </c>
      <c r="AJ113" s="3"/>
    </row>
    <row r="114" spans="25:36" x14ac:dyDescent="0.3">
      <c r="Y114" s="1">
        <f t="shared" si="20"/>
        <v>112.9</v>
      </c>
      <c r="AB114" s="1">
        <f t="shared" si="15"/>
        <v>83.23316337209836</v>
      </c>
      <c r="AD114" s="1">
        <f t="shared" si="18"/>
        <v>1320.6576569896129</v>
      </c>
      <c r="AE114" s="1">
        <f t="shared" si="19"/>
        <v>169315.07848676041</v>
      </c>
      <c r="AF114" s="1">
        <f t="shared" si="16"/>
        <v>0.48375736710502976</v>
      </c>
      <c r="AH114" s="3"/>
      <c r="AI114" s="1">
        <f t="shared" si="17"/>
        <v>0</v>
      </c>
      <c r="AJ114" s="3"/>
    </row>
    <row r="115" spans="25:36" x14ac:dyDescent="0.3">
      <c r="Y115" s="1">
        <f t="shared" si="20"/>
        <v>113.9</v>
      </c>
      <c r="AB115" s="1">
        <f t="shared" si="15"/>
        <v>81.096991692573141</v>
      </c>
      <c r="AD115" s="1">
        <f t="shared" si="18"/>
        <v>1271.414216870952</v>
      </c>
      <c r="AE115" s="1">
        <f t="shared" si="19"/>
        <v>170586.49270363137</v>
      </c>
      <c r="AF115" s="1">
        <f t="shared" si="16"/>
        <v>0.48738997915323251</v>
      </c>
      <c r="AH115" s="3"/>
      <c r="AI115" s="1">
        <f t="shared" si="17"/>
        <v>0</v>
      </c>
      <c r="AJ115" s="3"/>
    </row>
    <row r="116" spans="25:36" x14ac:dyDescent="0.3">
      <c r="Y116" s="1">
        <f t="shared" si="20"/>
        <v>114.9</v>
      </c>
      <c r="AB116" s="1">
        <f t="shared" si="15"/>
        <v>79.015644667783235</v>
      </c>
      <c r="AD116" s="1">
        <f t="shared" si="18"/>
        <v>1224.0069198147153</v>
      </c>
      <c r="AE116" s="1">
        <f t="shared" si="19"/>
        <v>171810.49962344609</v>
      </c>
      <c r="AF116" s="1">
        <f t="shared" si="16"/>
        <v>0.49088714178127457</v>
      </c>
      <c r="AH116" s="3"/>
      <c r="AI116" s="1">
        <f t="shared" si="17"/>
        <v>0</v>
      </c>
      <c r="AJ116" s="3"/>
    </row>
    <row r="117" spans="25:36" x14ac:dyDescent="0.3">
      <c r="Y117" s="1">
        <f t="shared" si="20"/>
        <v>115.9</v>
      </c>
      <c r="AB117" s="1">
        <f t="shared" si="15"/>
        <v>76.987715227877686</v>
      </c>
      <c r="AD117" s="1">
        <f t="shared" si="18"/>
        <v>1178.367301446003</v>
      </c>
      <c r="AE117" s="1">
        <f t="shared" si="19"/>
        <v>172988.86692489209</v>
      </c>
      <c r="AF117" s="1">
        <f t="shared" si="16"/>
        <v>0.49425390549969173</v>
      </c>
      <c r="AH117" s="3"/>
      <c r="AI117" s="1">
        <f t="shared" si="17"/>
        <v>0</v>
      </c>
      <c r="AJ117" s="3"/>
    </row>
    <row r="118" spans="25:36" x14ac:dyDescent="0.3">
      <c r="Y118" s="1">
        <f t="shared" si="20"/>
        <v>116.9</v>
      </c>
      <c r="AB118" s="1">
        <f t="shared" si="15"/>
        <v>75.011832415327063</v>
      </c>
      <c r="AD118" s="1">
        <f t="shared" si="18"/>
        <v>1134.4294502251089</v>
      </c>
      <c r="AE118" s="1">
        <f t="shared" si="19"/>
        <v>174123.29637511721</v>
      </c>
      <c r="AF118" s="1">
        <f t="shared" si="16"/>
        <v>0.49749513250033484</v>
      </c>
      <c r="AH118" s="3"/>
      <c r="AI118" s="1">
        <f t="shared" si="17"/>
        <v>0</v>
      </c>
      <c r="AJ118" s="3"/>
    </row>
    <row r="119" spans="25:36" x14ac:dyDescent="0.3">
      <c r="Y119" s="1">
        <f t="shared" si="20"/>
        <v>117.9</v>
      </c>
      <c r="AB119" s="1">
        <f t="shared" si="15"/>
        <v>73.086660458104191</v>
      </c>
      <c r="AD119" s="1">
        <f t="shared" si="18"/>
        <v>1092.1299122598009</v>
      </c>
      <c r="AE119" s="1">
        <f t="shared" si="19"/>
        <v>175215.42628737702</v>
      </c>
      <c r="AF119" s="1">
        <f t="shared" si="16"/>
        <v>0.50061550367822005</v>
      </c>
      <c r="AH119" s="3"/>
      <c r="AI119" s="1">
        <f t="shared" si="17"/>
        <v>0</v>
      </c>
      <c r="AJ119" s="3"/>
    </row>
    <row r="120" spans="25:36" x14ac:dyDescent="0.3">
      <c r="Y120" s="1">
        <f t="shared" si="20"/>
        <v>118.9</v>
      </c>
      <c r="AB120" s="1">
        <f t="shared" si="15"/>
        <v>71.210897866651166</v>
      </c>
      <c r="AD120" s="1">
        <f t="shared" si="18"/>
        <v>1051.4075996668803</v>
      </c>
      <c r="AE120" s="1">
        <f t="shared" si="19"/>
        <v>176266.8338870439</v>
      </c>
      <c r="AF120" s="1">
        <f t="shared" si="16"/>
        <v>0.50361952539155397</v>
      </c>
      <c r="AH120" s="3"/>
      <c r="AI120" s="1">
        <f t="shared" si="17"/>
        <v>0</v>
      </c>
      <c r="AJ120" s="3"/>
    </row>
    <row r="121" spans="25:36" x14ac:dyDescent="0.3">
      <c r="Y121" s="1">
        <f t="shared" si="20"/>
        <v>119.9</v>
      </c>
      <c r="AB121" s="1">
        <f t="shared" si="15"/>
        <v>69.38327655402307</v>
      </c>
      <c r="AD121" s="1">
        <f t="shared" si="18"/>
        <v>1012.203702350659</v>
      </c>
      <c r="AE121" s="1">
        <f t="shared" si="19"/>
        <v>177279.03758939457</v>
      </c>
      <c r="AF121" s="1">
        <f t="shared" si="16"/>
        <v>0.50651153596969878</v>
      </c>
      <c r="AH121" s="3"/>
      <c r="AI121" s="1">
        <f t="shared" si="17"/>
        <v>0</v>
      </c>
      <c r="AJ121" s="3"/>
    </row>
    <row r="122" spans="25:36" x14ac:dyDescent="0.3">
      <c r="Y122" s="1">
        <f t="shared" si="20"/>
        <v>120.9</v>
      </c>
      <c r="AB122" s="1">
        <f t="shared" si="15"/>
        <v>67.602560978612701</v>
      </c>
      <c r="AD122" s="1">
        <f t="shared" si="18"/>
        <v>974.46160307096397</v>
      </c>
      <c r="AE122" s="1">
        <f t="shared" si="19"/>
        <v>178253.49919246553</v>
      </c>
      <c r="AF122" s="1">
        <f t="shared" si="16"/>
        <v>0.50929571197847301</v>
      </c>
      <c r="AH122" s="3"/>
      <c r="AI122" s="1">
        <f t="shared" si="17"/>
        <v>0</v>
      </c>
      <c r="AJ122" s="3"/>
    </row>
    <row r="123" spans="25:36" x14ac:dyDescent="0.3">
      <c r="Y123" s="1">
        <f t="shared" si="20"/>
        <v>121.9</v>
      </c>
      <c r="AB123" s="1">
        <f t="shared" si="15"/>
        <v>65.867547308877548</v>
      </c>
      <c r="AD123" s="1">
        <f t="shared" si="18"/>
        <v>938.12679567800024</v>
      </c>
      <c r="AE123" s="1">
        <f t="shared" si="19"/>
        <v>179191.62598814353</v>
      </c>
      <c r="AF123" s="1">
        <f t="shared" si="16"/>
        <v>0.51197607425183866</v>
      </c>
      <c r="AH123" s="3"/>
      <c r="AI123" s="1">
        <f t="shared" si="17"/>
        <v>0</v>
      </c>
      <c r="AJ123" s="3"/>
    </row>
    <row r="124" spans="25:36" x14ac:dyDescent="0.3">
      <c r="Y124" s="1">
        <f t="shared" si="20"/>
        <v>122.9</v>
      </c>
      <c r="AB124" s="1">
        <f t="shared" si="15"/>
        <v>64.177062609503764</v>
      </c>
      <c r="AD124" s="1">
        <f t="shared" si="18"/>
        <v>903.14680639600476</v>
      </c>
      <c r="AE124" s="1">
        <f t="shared" si="19"/>
        <v>180094.77279453952</v>
      </c>
      <c r="AF124" s="1">
        <f t="shared" si="16"/>
        <v>0.51455649369868439</v>
      </c>
      <c r="AH124" s="3"/>
      <c r="AI124" s="1">
        <f t="shared" si="17"/>
        <v>0</v>
      </c>
      <c r="AJ124" s="3"/>
    </row>
    <row r="125" spans="25:36" x14ac:dyDescent="0.3">
      <c r="Y125" s="1">
        <f t="shared" si="20"/>
        <v>123.9</v>
      </c>
      <c r="AB125" s="1">
        <f t="shared" si="15"/>
        <v>62.529964048457138</v>
      </c>
      <c r="AD125" s="1">
        <f t="shared" si="18"/>
        <v>869.47111804199324</v>
      </c>
      <c r="AE125" s="1">
        <f t="shared" si="19"/>
        <v>180964.2439125815</v>
      </c>
      <c r="AF125" s="1">
        <f t="shared" si="16"/>
        <v>0.51704069689308996</v>
      </c>
      <c r="AH125" s="3"/>
      <c r="AI125" s="1">
        <f t="shared" si="17"/>
        <v>0</v>
      </c>
      <c r="AJ125" s="3"/>
    </row>
    <row r="126" spans="25:36" x14ac:dyDescent="0.3">
      <c r="Y126" s="1">
        <f t="shared" si="20"/>
        <v>124.9</v>
      </c>
      <c r="AB126" s="1">
        <f t="shared" si="15"/>
        <v>60.925138124385384</v>
      </c>
      <c r="AD126" s="1">
        <f t="shared" si="18"/>
        <v>837.05109707016629</v>
      </c>
      <c r="AE126" s="1">
        <f t="shared" si="19"/>
        <v>181801.29500965166</v>
      </c>
      <c r="AF126" s="1">
        <f t="shared" si="16"/>
        <v>0.51943227145614768</v>
      </c>
      <c r="AH126" s="3"/>
      <c r="AI126" s="1">
        <f t="shared" si="17"/>
        <v>0</v>
      </c>
      <c r="AJ126" s="3"/>
    </row>
    <row r="127" spans="25:36" x14ac:dyDescent="0.3">
      <c r="Y127" s="1">
        <f t="shared" si="20"/>
        <v>125.9</v>
      </c>
      <c r="AB127" s="1">
        <f t="shared" si="15"/>
        <v>59.361499913848441</v>
      </c>
      <c r="AD127" s="1">
        <f t="shared" si="18"/>
        <v>805.83992333662468</v>
      </c>
      <c r="AE127" s="1">
        <f t="shared" si="19"/>
        <v>182607.13493298829</v>
      </c>
      <c r="AF127" s="1">
        <f t="shared" si="16"/>
        <v>0.52173467123710937</v>
      </c>
      <c r="AH127" s="3"/>
      <c r="AI127" s="1">
        <f t="shared" si="17"/>
        <v>0</v>
      </c>
      <c r="AJ127" s="3"/>
    </row>
    <row r="128" spans="25:36" x14ac:dyDescent="0.3">
      <c r="Y128" s="1">
        <f t="shared" si="20"/>
        <v>126.9</v>
      </c>
      <c r="AB128" s="1">
        <f t="shared" si="15"/>
        <v>57.837992337869295</v>
      </c>
      <c r="AD128" s="1">
        <f t="shared" si="18"/>
        <v>775.7925224829404</v>
      </c>
      <c r="AE128" s="1">
        <f t="shared" si="19"/>
        <v>183382.92745547125</v>
      </c>
      <c r="AF128" s="1">
        <f t="shared" si="16"/>
        <v>0.52395122130134641</v>
      </c>
      <c r="AH128" s="3"/>
      <c r="AI128" s="1">
        <f t="shared" si="17"/>
        <v>0</v>
      </c>
      <c r="AJ128" s="3"/>
    </row>
    <row r="129" spans="25:36" x14ac:dyDescent="0.3">
      <c r="Y129" s="1">
        <f t="shared" si="20"/>
        <v>127.9</v>
      </c>
      <c r="AB129" s="1">
        <f t="shared" si="15"/>
        <v>56.353585447308035</v>
      </c>
      <c r="AD129" s="1">
        <f t="shared" si="18"/>
        <v>746.86550084095416</v>
      </c>
      <c r="AE129" s="1">
        <f t="shared" si="19"/>
        <v>184129.79295631219</v>
      </c>
      <c r="AF129" s="1">
        <f t="shared" si="16"/>
        <v>0.52608512273232055</v>
      </c>
      <c r="AH129" s="3"/>
      <c r="AI129" s="1">
        <f t="shared" si="17"/>
        <v>0</v>
      </c>
      <c r="AJ129" s="3"/>
    </row>
    <row r="130" spans="25:36" x14ac:dyDescent="0.3">
      <c r="Y130" s="1">
        <f t="shared" si="20"/>
        <v>128.9</v>
      </c>
      <c r="AB130" s="1">
        <f t="shared" si="15"/>
        <v>54.907275726577197</v>
      </c>
      <c r="AD130" s="1">
        <f t="shared" si="18"/>
        <v>719.01708276477336</v>
      </c>
      <c r="AE130" s="1">
        <f t="shared" si="19"/>
        <v>184848.81003907695</v>
      </c>
      <c r="AF130" s="1">
        <f t="shared" si="16"/>
        <v>0.52813945725450562</v>
      </c>
      <c r="AH130" s="3"/>
      <c r="AI130" s="1">
        <f t="shared" si="17"/>
        <v>0</v>
      </c>
      <c r="AJ130" s="3"/>
    </row>
    <row r="131" spans="25:36" x14ac:dyDescent="0.3">
      <c r="Y131" s="1">
        <f t="shared" si="20"/>
        <v>129.9</v>
      </c>
      <c r="AB131" s="1">
        <f t="shared" ref="AB131:AB154" si="21">1567.2*EXP(-0.026*Y131)</f>
        <v>53.498085415226882</v>
      </c>
      <c r="AD131" s="1">
        <f t="shared" ref="AD131:AD160" si="22" xml:space="preserve"> 96383*EXP(-0.038*Y131)</f>
        <v>692.20705029948579</v>
      </c>
      <c r="AE131" s="1">
        <f t="shared" si="19"/>
        <v>185541.01708937643</v>
      </c>
      <c r="AF131" s="1">
        <f t="shared" ref="AF131:AF157" si="23">(AE131*100)/(35*10^6)</f>
        <v>0.53011719168393256</v>
      </c>
      <c r="AH131" s="3"/>
      <c r="AI131" s="1">
        <f t="shared" ref="AI131:AI157" si="24">(AH131*100)/(35*10^6)</f>
        <v>0</v>
      </c>
      <c r="AJ131" s="3"/>
    </row>
    <row r="132" spans="25:36" x14ac:dyDescent="0.3">
      <c r="Y132" s="1">
        <f t="shared" si="20"/>
        <v>130.9</v>
      </c>
      <c r="AB132" s="1">
        <f t="shared" si="21"/>
        <v>52.125061846941627</v>
      </c>
      <c r="AD132" s="1">
        <f t="shared" si="22"/>
        <v>666.3966850994409</v>
      </c>
      <c r="AE132" s="1">
        <f t="shared" ref="AE132:AE157" si="25">AE131+AD132</f>
        <v>186207.41377447586</v>
      </c>
      <c r="AF132" s="1">
        <f t="shared" si="23"/>
        <v>0.53202118221278816</v>
      </c>
      <c r="AH132" s="3"/>
      <c r="AI132" s="1">
        <f t="shared" si="24"/>
        <v>0</v>
      </c>
      <c r="AJ132" s="3"/>
    </row>
    <row r="133" spans="25:36" x14ac:dyDescent="0.3">
      <c r="Y133" s="1">
        <f>Y132+1</f>
        <v>131.9</v>
      </c>
      <c r="AB133" s="1">
        <f t="shared" si="21"/>
        <v>50.78727680550147</v>
      </c>
      <c r="AD133" s="1">
        <f t="shared" si="22"/>
        <v>641.54871251222914</v>
      </c>
      <c r="AE133" s="1">
        <f t="shared" si="25"/>
        <v>186848.96248698808</v>
      </c>
      <c r="AF133" s="1">
        <f t="shared" si="23"/>
        <v>0.53385417853425166</v>
      </c>
      <c r="AH133" s="3"/>
      <c r="AI133" s="1">
        <f t="shared" si="24"/>
        <v>0</v>
      </c>
      <c r="AJ133" s="3"/>
    </row>
    <row r="134" spans="25:36" x14ac:dyDescent="0.3">
      <c r="Y134" s="1">
        <f t="shared" si="20"/>
        <v>132.9</v>
      </c>
      <c r="AB134" s="1">
        <f t="shared" si="21"/>
        <v>49.483825897272624</v>
      </c>
      <c r="AD134" s="1">
        <f t="shared" si="22"/>
        <v>617.62724774761068</v>
      </c>
      <c r="AE134" s="1">
        <f t="shared" si="25"/>
        <v>187466.58973473569</v>
      </c>
      <c r="AF134" s="1">
        <f t="shared" si="23"/>
        <v>0.53561882781353065</v>
      </c>
      <c r="AH134" s="3"/>
      <c r="AI134" s="1">
        <f t="shared" si="24"/>
        <v>0</v>
      </c>
      <c r="AJ134" s="3"/>
    </row>
    <row r="135" spans="25:36" x14ac:dyDescent="0.3">
      <c r="Y135" s="1">
        <f t="shared" ref="Y135:Y160" si="26">Y134+1</f>
        <v>133.9</v>
      </c>
      <c r="AB135" s="1">
        <f t="shared" si="21"/>
        <v>48.213827939802876</v>
      </c>
      <c r="AD135" s="1">
        <f t="shared" si="22"/>
        <v>594.59774405363964</v>
      </c>
      <c r="AE135" s="1">
        <f t="shared" si="25"/>
        <v>188061.18747878933</v>
      </c>
      <c r="AF135" s="1">
        <f t="shared" si="23"/>
        <v>0.53731767851082657</v>
      </c>
      <c r="AH135" s="3"/>
      <c r="AI135" s="1">
        <f t="shared" si="24"/>
        <v>0</v>
      </c>
      <c r="AJ135" s="3"/>
    </row>
    <row r="136" spans="25:36" x14ac:dyDescent="0.3">
      <c r="Y136" s="1">
        <f t="shared" si="26"/>
        <v>134.9</v>
      </c>
      <c r="AB136" s="1">
        <f t="shared" si="21"/>
        <v>46.976424366108645</v>
      </c>
      <c r="AD136" s="1">
        <f t="shared" si="22"/>
        <v>572.42694282515242</v>
      </c>
      <c r="AE136" s="1">
        <f t="shared" si="25"/>
        <v>188633.61442161447</v>
      </c>
      <c r="AF136" s="1">
        <f t="shared" si="23"/>
        <v>0.53895318406175563</v>
      </c>
      <c r="AH136" s="3"/>
      <c r="AI136" s="1">
        <f t="shared" si="24"/>
        <v>0</v>
      </c>
      <c r="AJ136" s="3"/>
    </row>
    <row r="137" spans="25:36" x14ac:dyDescent="0.3">
      <c r="Y137" s="1">
        <f t="shared" si="26"/>
        <v>135.9</v>
      </c>
      <c r="AB137" s="1">
        <f t="shared" si="21"/>
        <v>45.770778644251116</v>
      </c>
      <c r="AD137" s="1">
        <f t="shared" si="22"/>
        <v>551.08282557256098</v>
      </c>
      <c r="AE137" s="1">
        <f t="shared" si="25"/>
        <v>189184.69724718702</v>
      </c>
      <c r="AF137" s="1">
        <f t="shared" si="23"/>
        <v>0.54052770642053427</v>
      </c>
      <c r="AH137" s="3"/>
      <c r="AI137" s="1">
        <f t="shared" si="24"/>
        <v>0</v>
      </c>
      <c r="AJ137" s="3"/>
    </row>
    <row r="138" spans="25:36" x14ac:dyDescent="0.3">
      <c r="Y138" s="1">
        <f t="shared" si="26"/>
        <v>136.9</v>
      </c>
      <c r="AB138" s="1">
        <f t="shared" si="21"/>
        <v>44.596075711808631</v>
      </c>
      <c r="AD138" s="1">
        <f t="shared" si="22"/>
        <v>530.53456768159197</v>
      </c>
      <c r="AE138" s="1">
        <f t="shared" si="25"/>
        <v>189715.2318148686</v>
      </c>
      <c r="AF138" s="1">
        <f t="shared" si="23"/>
        <v>0.54204351947105311</v>
      </c>
      <c r="AH138" s="3"/>
      <c r="AI138" s="1">
        <f t="shared" si="24"/>
        <v>0</v>
      </c>
      <c r="AJ138" s="3"/>
    </row>
    <row r="139" spans="25:36" x14ac:dyDescent="0.3">
      <c r="Y139" s="1">
        <f t="shared" si="26"/>
        <v>137.9</v>
      </c>
      <c r="AB139" s="1">
        <f t="shared" si="21"/>
        <v>43.451521424863643</v>
      </c>
      <c r="AD139" s="1">
        <f t="shared" si="22"/>
        <v>510.75249389718681</v>
      </c>
      <c r="AE139" s="1">
        <f t="shared" si="25"/>
        <v>190225.98430876579</v>
      </c>
      <c r="AF139" s="1">
        <f t="shared" si="23"/>
        <v>0.54350281231075936</v>
      </c>
      <c r="AH139" s="3"/>
      <c r="AI139" s="1">
        <f t="shared" si="24"/>
        <v>0</v>
      </c>
      <c r="AJ139" s="3"/>
    </row>
    <row r="140" spans="25:36" x14ac:dyDescent="0.3">
      <c r="Y140" s="1">
        <f t="shared" si="26"/>
        <v>138.9</v>
      </c>
      <c r="AB140" s="1">
        <f t="shared" si="21"/>
        <v>42.336342021130996</v>
      </c>
      <c r="AD140" s="1">
        <f t="shared" si="22"/>
        <v>491.70803546727507</v>
      </c>
      <c r="AE140" s="1">
        <f t="shared" si="25"/>
        <v>190717.69234423307</v>
      </c>
      <c r="AF140" s="1">
        <f t="shared" si="23"/>
        <v>0.54490769241209447</v>
      </c>
      <c r="AH140" s="3"/>
      <c r="AI140" s="1">
        <f t="shared" si="24"/>
        <v>0</v>
      </c>
      <c r="AJ140" s="3"/>
    </row>
    <row r="141" spans="25:36" x14ac:dyDescent="0.3">
      <c r="Y141" s="1">
        <f t="shared" si="26"/>
        <v>139.9</v>
      </c>
      <c r="AB141" s="1">
        <f t="shared" si="21"/>
        <v>41.249783596865335</v>
      </c>
      <c r="AD141" s="1">
        <f t="shared" si="22"/>
        <v>473.37368888453449</v>
      </c>
      <c r="AE141" s="1">
        <f t="shared" si="25"/>
        <v>191191.06603311762</v>
      </c>
      <c r="AF141" s="1">
        <f t="shared" si="23"/>
        <v>0.54626018866605031</v>
      </c>
      <c r="AH141" s="3"/>
      <c r="AI141" s="1">
        <f t="shared" si="24"/>
        <v>0</v>
      </c>
      <c r="AJ141" s="3"/>
    </row>
    <row r="142" spans="25:36" x14ac:dyDescent="0.3">
      <c r="Y142" s="1">
        <f t="shared" si="26"/>
        <v>140.9</v>
      </c>
      <c r="AB142" s="1">
        <f t="shared" si="21"/>
        <v>40.191111597193313</v>
      </c>
      <c r="AD142" s="1">
        <f t="shared" si="22"/>
        <v>455.72297616654583</v>
      </c>
      <c r="AE142" s="1">
        <f t="shared" si="25"/>
        <v>191646.78900928417</v>
      </c>
      <c r="AF142" s="1">
        <f t="shared" si="23"/>
        <v>0.54756225431224048</v>
      </c>
      <c r="AH142" s="3"/>
      <c r="AI142" s="1">
        <f t="shared" si="24"/>
        <v>0</v>
      </c>
      <c r="AJ142" s="3"/>
    </row>
    <row r="143" spans="25:36" x14ac:dyDescent="0.3">
      <c r="Y143" s="1">
        <f t="shared" si="26"/>
        <v>141.9</v>
      </c>
      <c r="AB143" s="1">
        <f t="shared" si="21"/>
        <v>39.159610319526585</v>
      </c>
      <c r="AD143" s="1">
        <f t="shared" si="22"/>
        <v>438.73040661698559</v>
      </c>
      <c r="AE143" s="1">
        <f t="shared" si="25"/>
        <v>192085.51941590116</v>
      </c>
      <c r="AF143" s="1">
        <f t="shared" si="23"/>
        <v>0.54881576975971758</v>
      </c>
      <c r="AH143" s="3"/>
      <c r="AI143" s="1">
        <f t="shared" si="24"/>
        <v>0</v>
      </c>
      <c r="AJ143" s="3"/>
    </row>
    <row r="144" spans="25:36" x14ac:dyDescent="0.3">
      <c r="Y144" s="1">
        <f t="shared" si="26"/>
        <v>142.9</v>
      </c>
      <c r="AB144" s="1">
        <f t="shared" si="21"/>
        <v>38.154582429719646</v>
      </c>
      <c r="AD144" s="1">
        <f t="shared" si="22"/>
        <v>422.37144001262988</v>
      </c>
      <c r="AE144" s="1">
        <f t="shared" si="25"/>
        <v>192507.89085591378</v>
      </c>
      <c r="AF144" s="1">
        <f t="shared" si="23"/>
        <v>0.55002254530261085</v>
      </c>
      <c r="AH144" s="3"/>
      <c r="AI144" s="1">
        <f t="shared" si="24"/>
        <v>0</v>
      </c>
      <c r="AJ144" s="3"/>
    </row>
    <row r="145" spans="25:36" x14ac:dyDescent="0.3">
      <c r="Y145" s="1">
        <f t="shared" si="26"/>
        <v>143.9</v>
      </c>
      <c r="AB145" s="1">
        <f t="shared" si="21"/>
        <v>37.175348490645298</v>
      </c>
      <c r="AD145" s="1">
        <f t="shared" si="22"/>
        <v>406.62245116300977</v>
      </c>
      <c r="AE145" s="1">
        <f t="shared" si="25"/>
        <v>192914.51330707679</v>
      </c>
      <c r="AF145" s="1">
        <f t="shared" si="23"/>
        <v>0.55118432373450521</v>
      </c>
      <c r="AH145" s="3"/>
      <c r="AI145" s="1">
        <f t="shared" si="24"/>
        <v>0</v>
      </c>
      <c r="AJ145" s="3"/>
    </row>
    <row r="146" spans="25:36" x14ac:dyDescent="0.3">
      <c r="Y146" s="1">
        <f t="shared" si="26"/>
        <v>144.9</v>
      </c>
      <c r="AB146" s="1">
        <f t="shared" si="21"/>
        <v>36.22124650286937</v>
      </c>
      <c r="AD146" s="1">
        <f t="shared" si="22"/>
        <v>391.46069579152947</v>
      </c>
      <c r="AE146" s="1">
        <f t="shared" si="25"/>
        <v>193305.97400286832</v>
      </c>
      <c r="AF146" s="1">
        <f t="shared" si="23"/>
        <v>0.55230278286533807</v>
      </c>
      <c r="AH146" s="3"/>
      <c r="AI146" s="1">
        <f t="shared" si="24"/>
        <v>0</v>
      </c>
      <c r="AJ146" s="3"/>
    </row>
    <row r="147" spans="25:36" x14ac:dyDescent="0.3">
      <c r="Y147" s="1">
        <f t="shared" si="26"/>
        <v>145.9</v>
      </c>
      <c r="AB147" s="1">
        <f t="shared" si="21"/>
        <v>35.291631457113816</v>
      </c>
      <c r="AD147" s="1">
        <f t="shared" si="22"/>
        <v>376.86427768877843</v>
      </c>
      <c r="AE147" s="1">
        <f t="shared" si="25"/>
        <v>193682.8382805571</v>
      </c>
      <c r="AF147" s="1">
        <f t="shared" si="23"/>
        <v>0.55337953794444883</v>
      </c>
      <c r="AH147" s="3"/>
      <c r="AI147" s="1">
        <f t="shared" si="24"/>
        <v>0</v>
      </c>
      <c r="AJ147" s="3"/>
    </row>
    <row r="148" spans="25:36" x14ac:dyDescent="0.3">
      <c r="Y148" s="1">
        <f t="shared" si="26"/>
        <v>146.9</v>
      </c>
      <c r="AB148" s="1">
        <f t="shared" si="21"/>
        <v>34.385874898205962</v>
      </c>
      <c r="AD148" s="1">
        <f t="shared" si="22"/>
        <v>362.81211709060148</v>
      </c>
      <c r="AE148" s="1">
        <f t="shared" si="25"/>
        <v>194045.6503976477</v>
      </c>
      <c r="AF148" s="1">
        <f t="shared" si="23"/>
        <v>0.5544161439932791</v>
      </c>
      <c r="AH148" s="3"/>
      <c r="AI148" s="1">
        <f t="shared" si="24"/>
        <v>0</v>
      </c>
      <c r="AJ148" s="3"/>
    </row>
    <row r="149" spans="25:36" x14ac:dyDescent="0.3">
      <c r="Y149" s="1">
        <f t="shared" si="26"/>
        <v>147.9</v>
      </c>
      <c r="AB149" s="1">
        <f t="shared" si="21"/>
        <v>33.503364500218737</v>
      </c>
      <c r="AD149" s="1">
        <f t="shared" si="22"/>
        <v>349.28392023525544</v>
      </c>
      <c r="AE149" s="1">
        <f t="shared" si="25"/>
        <v>194394.93431788296</v>
      </c>
      <c r="AF149" s="1">
        <f t="shared" si="23"/>
        <v>0.55541409805109421</v>
      </c>
      <c r="AH149" s="3"/>
      <c r="AI149" s="1">
        <f t="shared" si="24"/>
        <v>0</v>
      </c>
      <c r="AJ149" s="3"/>
    </row>
    <row r="150" spans="25:36" x14ac:dyDescent="0.3">
      <c r="Y150" s="1">
        <f t="shared" si="26"/>
        <v>148.9</v>
      </c>
      <c r="AB150" s="1">
        <f t="shared" si="21"/>
        <v>32.643503652515221</v>
      </c>
      <c r="AD150" s="1">
        <f t="shared" si="22"/>
        <v>336.26015005568985</v>
      </c>
      <c r="AE150" s="1">
        <f t="shared" si="25"/>
        <v>194731.19446793865</v>
      </c>
      <c r="AF150" s="1">
        <f t="shared" si="23"/>
        <v>0.55637484133696757</v>
      </c>
      <c r="AH150" s="3"/>
      <c r="AI150" s="1">
        <f t="shared" si="24"/>
        <v>0</v>
      </c>
      <c r="AJ150" s="3"/>
    </row>
    <row r="151" spans="25:36" x14ac:dyDescent="0.3">
      <c r="Y151" s="1">
        <f t="shared" si="26"/>
        <v>149.9</v>
      </c>
      <c r="AB151" s="1">
        <f t="shared" si="21"/>
        <v>31.805711056416961</v>
      </c>
      <c r="AD151" s="1">
        <f t="shared" si="22"/>
        <v>323.72199796462911</v>
      </c>
      <c r="AE151" s="1">
        <f t="shared" si="25"/>
        <v>195054.91646590328</v>
      </c>
      <c r="AF151" s="1">
        <f t="shared" si="23"/>
        <v>0.55729976133115233</v>
      </c>
      <c r="AH151" s="3"/>
      <c r="AI151" s="1">
        <f t="shared" si="24"/>
        <v>0</v>
      </c>
      <c r="AJ151" s="3"/>
    </row>
    <row r="152" spans="25:36" x14ac:dyDescent="0.3">
      <c r="Y152" s="1">
        <f t="shared" si="26"/>
        <v>150.9</v>
      </c>
      <c r="AB152" s="1">
        <f t="shared" si="21"/>
        <v>30.989420332224</v>
      </c>
      <c r="AD152" s="1">
        <f t="shared" si="22"/>
        <v>311.65135669170292</v>
      </c>
      <c r="AE152" s="1">
        <f t="shared" si="25"/>
        <v>195366.56782259498</v>
      </c>
      <c r="AF152" s="1">
        <f t="shared" si="23"/>
        <v>0.55819019377884282</v>
      </c>
      <c r="AH152" s="3"/>
      <c r="AI152" s="1">
        <f t="shared" si="24"/>
        <v>0</v>
      </c>
      <c r="AJ152" s="3"/>
    </row>
    <row r="153" spans="25:36" x14ac:dyDescent="0.3">
      <c r="Y153" s="1">
        <f t="shared" si="26"/>
        <v>151.9</v>
      </c>
      <c r="AB153" s="1">
        <f t="shared" si="21"/>
        <v>30.194079636320676</v>
      </c>
      <c r="AD153" s="1">
        <f t="shared" si="22"/>
        <v>300.03079413340174</v>
      </c>
      <c r="AE153" s="1">
        <f t="shared" si="25"/>
        <v>195666.59861672838</v>
      </c>
      <c r="AF153" s="1">
        <f t="shared" si="23"/>
        <v>0.55904742461922396</v>
      </c>
      <c r="AH153" s="3"/>
      <c r="AI153" s="1">
        <f t="shared" si="24"/>
        <v>0</v>
      </c>
      <c r="AJ153" s="3"/>
    </row>
    <row r="154" spans="25:36" x14ac:dyDescent="0.3">
      <c r="Y154" s="1">
        <f t="shared" si="26"/>
        <v>152.9</v>
      </c>
      <c r="AB154" s="1">
        <f t="shared" si="21"/>
        <v>29.41915128810821</v>
      </c>
      <c r="AD154" s="1">
        <f t="shared" si="22"/>
        <v>288.84352817808917</v>
      </c>
      <c r="AE154" s="1">
        <f t="shared" si="25"/>
        <v>195955.44214490647</v>
      </c>
      <c r="AF154" s="1">
        <f t="shared" si="23"/>
        <v>0.55987269184258992</v>
      </c>
      <c r="AH154" s="3"/>
      <c r="AI154" s="1">
        <f t="shared" si="24"/>
        <v>0</v>
      </c>
      <c r="AJ154" s="3"/>
    </row>
    <row r="155" spans="25:36" x14ac:dyDescent="0.3">
      <c r="Y155" s="1">
        <f t="shared" si="26"/>
        <v>153.9</v>
      </c>
      <c r="AD155" s="1">
        <f t="shared" si="22"/>
        <v>278.07340246971819</v>
      </c>
      <c r="AE155" s="1">
        <f t="shared" si="25"/>
        <v>196233.51554737618</v>
      </c>
      <c r="AF155" s="1">
        <f t="shared" si="23"/>
        <v>0.56066718727821774</v>
      </c>
      <c r="AH155" s="3"/>
      <c r="AI155" s="1">
        <f t="shared" si="24"/>
        <v>0</v>
      </c>
    </row>
    <row r="156" spans="25:36" x14ac:dyDescent="0.3">
      <c r="Y156" s="1">
        <f t="shared" si="26"/>
        <v>154.9</v>
      </c>
      <c r="AD156" s="1">
        <f t="shared" si="22"/>
        <v>267.70486307524476</v>
      </c>
      <c r="AE156" s="1">
        <f t="shared" si="25"/>
        <v>196501.22041045144</v>
      </c>
      <c r="AF156" s="1">
        <f t="shared" si="23"/>
        <v>0.56143205831557552</v>
      </c>
      <c r="AH156" s="3"/>
      <c r="AI156" s="1">
        <f t="shared" si="24"/>
        <v>0</v>
      </c>
    </row>
    <row r="157" spans="25:36" x14ac:dyDescent="0.3">
      <c r="Y157" s="1">
        <f t="shared" si="26"/>
        <v>155.9</v>
      </c>
      <c r="AD157" s="1">
        <f t="shared" si="22"/>
        <v>257.72293602204468</v>
      </c>
      <c r="AE157" s="1">
        <f t="shared" si="25"/>
        <v>196758.94334647348</v>
      </c>
      <c r="AF157" s="1">
        <f t="shared" si="23"/>
        <v>0.56216840956135272</v>
      </c>
      <c r="AH157" s="3"/>
      <c r="AI157" s="1">
        <f t="shared" si="24"/>
        <v>0</v>
      </c>
    </row>
  </sheetData>
  <mergeCells count="5">
    <mergeCell ref="T6:U6"/>
    <mergeCell ref="T12:U13"/>
    <mergeCell ref="V12:V13"/>
    <mergeCell ref="AC1:AC67"/>
    <mergeCell ref="AG1:AG6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55C3-D5C1-4AFB-9040-DD988360E5CC}">
  <dimension ref="A1:AL193"/>
  <sheetViews>
    <sheetView topLeftCell="Y1" zoomScale="48" zoomScaleNormal="71" workbookViewId="0">
      <selection activeCell="AF2" sqref="AF2"/>
    </sheetView>
  </sheetViews>
  <sheetFormatPr defaultColWidth="8.77734375" defaultRowHeight="14.4" x14ac:dyDescent="0.3"/>
  <cols>
    <col min="1" max="7" width="8.77734375" style="1"/>
    <col min="8" max="8" width="18.5546875" style="1" bestFit="1" customWidth="1"/>
    <col min="9" max="14" width="8.77734375" style="1"/>
    <col min="15" max="16" width="8.88671875" style="1" bestFit="1" customWidth="1"/>
    <col min="17" max="17" width="8.77734375" style="1"/>
    <col min="18" max="18" width="12.6640625" style="1" bestFit="1" customWidth="1"/>
    <col min="19" max="19" width="8.77734375" style="1"/>
    <col min="20" max="20" width="12.21875" style="1" customWidth="1"/>
    <col min="21" max="21" width="9" style="1" bestFit="1" customWidth="1"/>
    <col min="22" max="22" width="9.88671875" style="1" bestFit="1" customWidth="1"/>
    <col min="23" max="23" width="11.88671875" style="1" customWidth="1"/>
    <col min="24" max="24" width="20.88671875" style="1" customWidth="1"/>
    <col min="25" max="25" width="20.109375" style="1" customWidth="1"/>
    <col min="26" max="26" width="11.77734375" style="120" customWidth="1"/>
    <col min="27" max="29" width="32" style="1" customWidth="1"/>
    <col min="30" max="30" width="12.109375" style="125" customWidth="1"/>
    <col min="31" max="33" width="32.77734375" style="1" customWidth="1"/>
    <col min="34" max="35" width="8.77734375" style="1"/>
    <col min="36" max="36" width="16" style="1" customWidth="1"/>
    <col min="37" max="37" width="14.109375" style="1" customWidth="1"/>
    <col min="38" max="16384" width="8.77734375" style="1"/>
  </cols>
  <sheetData>
    <row r="1" spans="1:33" ht="53.4" customHeight="1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  <c r="V1" s="55" t="s">
        <v>122</v>
      </c>
      <c r="W1" s="55" t="s">
        <v>140</v>
      </c>
      <c r="X1" s="55" t="s">
        <v>116</v>
      </c>
      <c r="Y1" s="55" t="s">
        <v>121</v>
      </c>
      <c r="Z1" s="128" t="s">
        <v>176</v>
      </c>
      <c r="AA1" s="55" t="s">
        <v>163</v>
      </c>
      <c r="AB1" s="126" t="s">
        <v>151</v>
      </c>
      <c r="AC1" s="126" t="s">
        <v>177</v>
      </c>
      <c r="AD1" s="132" t="s">
        <v>175</v>
      </c>
      <c r="AE1" s="55" t="s">
        <v>151</v>
      </c>
      <c r="AF1" s="55" t="s">
        <v>178</v>
      </c>
      <c r="AG1" s="55"/>
    </row>
    <row r="2" spans="1:33" x14ac:dyDescent="0.3">
      <c r="A2" s="4">
        <v>44256</v>
      </c>
      <c r="B2" s="5">
        <v>617.61432983870975</v>
      </c>
      <c r="C2" s="5">
        <v>509.03919354838712</v>
      </c>
      <c r="D2" s="5">
        <v>108.57513629032258</v>
      </c>
      <c r="E2" s="5">
        <v>3250.2903225806454</v>
      </c>
      <c r="F2" s="5">
        <v>0</v>
      </c>
      <c r="G2" s="5">
        <v>15780.215</v>
      </c>
      <c r="H2" s="9">
        <v>2.1123973430000002E-3</v>
      </c>
      <c r="I2" s="5">
        <v>100759</v>
      </c>
      <c r="J2" s="5">
        <v>3365.829225</v>
      </c>
      <c r="K2" s="5">
        <v>17.579763137729824</v>
      </c>
      <c r="L2" s="5">
        <v>40.161300603318772</v>
      </c>
      <c r="N2" s="1">
        <f>A2 -$A$2</f>
        <v>0</v>
      </c>
      <c r="O2" s="1">
        <f>D2/C2</f>
        <v>0.21329425644707628</v>
      </c>
      <c r="R2" s="1">
        <f>(O3-O2) / (N3-N2)</f>
        <v>-6.1662897977387485E-3</v>
      </c>
      <c r="V2" s="1">
        <f>_xlfn.DAYS($A$54,A2)</f>
        <v>1583</v>
      </c>
      <c r="W2" s="1">
        <v>0</v>
      </c>
      <c r="X2" s="1" t="e">
        <f>LN( $U$4 /C2 ) / W2</f>
        <v>#DIV/0!</v>
      </c>
      <c r="Y2" s="1">
        <f xml:space="preserve"> $U$4 * EXP(-$X$4 *W2)</f>
        <v>509</v>
      </c>
      <c r="Z2" s="129"/>
      <c r="AA2" s="1">
        <f xml:space="preserve"> 60989*EXP(-0.029*W2)</f>
        <v>60989</v>
      </c>
      <c r="AB2" s="127"/>
      <c r="AC2" s="127">
        <f>(AB2*100)/(35*10^6)</f>
        <v>0</v>
      </c>
      <c r="AD2" s="133"/>
      <c r="AE2" s="3">
        <f>G2</f>
        <v>15780.215</v>
      </c>
      <c r="AF2" s="122">
        <f>(AE2/(35*10^6))*100</f>
        <v>4.5086328571428566E-2</v>
      </c>
      <c r="AG2" s="3"/>
    </row>
    <row r="3" spans="1:33" x14ac:dyDescent="0.3">
      <c r="A3" s="2">
        <v>44287</v>
      </c>
      <c r="B3" s="3">
        <v>945.99797179999996</v>
      </c>
      <c r="C3" s="3">
        <v>925.50790000000006</v>
      </c>
      <c r="D3" s="3">
        <v>20.490071799999999</v>
      </c>
      <c r="E3" s="3">
        <v>5190.5666666666666</v>
      </c>
      <c r="F3" s="3">
        <v>0</v>
      </c>
      <c r="G3" s="3">
        <v>27765.237000000001</v>
      </c>
      <c r="H3" s="10">
        <v>3.7162272409999998E-3</v>
      </c>
      <c r="I3" s="3">
        <v>155717</v>
      </c>
      <c r="J3" s="3">
        <v>614.70215399999995</v>
      </c>
      <c r="K3" s="3">
        <v>2.1659741786774092</v>
      </c>
      <c r="L3" s="3">
        <v>35.275362014738064</v>
      </c>
      <c r="N3" s="1">
        <f t="shared" ref="N3:N54" si="0">A3 -$A$2</f>
        <v>31</v>
      </c>
      <c r="O3" s="1">
        <f t="shared" ref="O3:O54" si="1">D3/C3</f>
        <v>2.2139272717175074E-2</v>
      </c>
      <c r="P3" s="1" t="str">
        <f>IF(OR(N4&lt;=0, N2&lt;=0)," ", (O4 - O2) / (LN(N4) - LN(N2)))</f>
        <v xml:space="preserve"> </v>
      </c>
      <c r="R3" s="1">
        <f t="shared" ref="R3:R54" si="2">(O4-O3) / (N4-N3)</f>
        <v>-4.2140692002011238E-4</v>
      </c>
      <c r="V3" s="1">
        <f t="shared" ref="V3:V54" si="3">_xlfn.DAYS($A$54,A3)</f>
        <v>1552</v>
      </c>
      <c r="W3" s="1">
        <f>($V$2-V3)/30</f>
        <v>1.0333333333333334</v>
      </c>
      <c r="X3" s="1">
        <f t="shared" ref="X3:X54" si="4">LN( $U$4 /C3 ) / W3</f>
        <v>-0.57860772711592734</v>
      </c>
      <c r="Y3" s="1">
        <f t="shared" ref="Y3:Y54" si="5" xml:space="preserve"> $U$4 * EXP(-$X$4 *W3)</f>
        <v>689.12335817921235</v>
      </c>
      <c r="Z3" s="129"/>
      <c r="AA3" s="1">
        <f t="shared" ref="AA3:AA66" si="6" xml:space="preserve"> 60989*EXP(-0.029*W3)</f>
        <v>59188.47556189324</v>
      </c>
      <c r="AB3" s="127"/>
      <c r="AC3" s="127">
        <f t="shared" ref="AC3:AC66" si="7">(AB3*100)/(35*10^6)</f>
        <v>0</v>
      </c>
      <c r="AD3" s="133"/>
      <c r="AE3" s="3">
        <f>AE2+G3</f>
        <v>43545.452000000005</v>
      </c>
      <c r="AF3" s="122">
        <f t="shared" ref="AF3:AF66" si="8">(AE3/(35*10^6))*100</f>
        <v>0.12441557714285714</v>
      </c>
      <c r="AG3" s="3"/>
    </row>
    <row r="4" spans="1:33" x14ac:dyDescent="0.3">
      <c r="A4" s="2">
        <v>44317</v>
      </c>
      <c r="B4" s="3">
        <v>932.68873193548382</v>
      </c>
      <c r="C4" s="3">
        <v>923.91425806451616</v>
      </c>
      <c r="D4" s="3">
        <v>8.7744738709677428</v>
      </c>
      <c r="E4" s="3">
        <v>5241.3870967741932</v>
      </c>
      <c r="F4" s="3">
        <v>0</v>
      </c>
      <c r="G4" s="3">
        <v>28641.342000000001</v>
      </c>
      <c r="H4" s="10">
        <v>3.8322143509999999E-3</v>
      </c>
      <c r="I4" s="3">
        <v>162483</v>
      </c>
      <c r="J4" s="3">
        <v>272.00869</v>
      </c>
      <c r="K4" s="3">
        <v>0.94077193928989078</v>
      </c>
      <c r="L4" s="3">
        <v>35.682181840501741</v>
      </c>
      <c r="N4" s="1">
        <f t="shared" si="0"/>
        <v>61</v>
      </c>
      <c r="O4" s="1">
        <f t="shared" si="1"/>
        <v>9.4970651165717027E-3</v>
      </c>
      <c r="P4" s="1">
        <f t="shared" ref="P4:P54" si="9">IF(OR(N5&lt;=0, N3&lt;=0)," ", (O5 - O3) / (LN(N5) - LN(N3)))</f>
        <v>-3.1798605921252582E-3</v>
      </c>
      <c r="R4" s="1">
        <f t="shared" si="2"/>
        <v>2.9623067367508639E-4</v>
      </c>
      <c r="T4" s="55" t="s">
        <v>119</v>
      </c>
      <c r="U4" s="1">
        <v>509</v>
      </c>
      <c r="V4" s="1">
        <f t="shared" si="3"/>
        <v>1522</v>
      </c>
      <c r="W4" s="1">
        <f t="shared" ref="W4:W54" si="10">($V$2-V4)/30</f>
        <v>2.0333333333333332</v>
      </c>
      <c r="X4" s="1">
        <f t="shared" si="4"/>
        <v>-0.29319897859821248</v>
      </c>
      <c r="Y4" s="1">
        <f t="shared" si="5"/>
        <v>923.91425806451605</v>
      </c>
      <c r="Z4" s="129"/>
      <c r="AA4" s="1">
        <f t="shared" si="6"/>
        <v>57496.659667502376</v>
      </c>
      <c r="AB4" s="127"/>
      <c r="AC4" s="127">
        <f t="shared" si="7"/>
        <v>0</v>
      </c>
      <c r="AD4" s="133"/>
      <c r="AE4" s="3">
        <f>AE3+G4</f>
        <v>72186.794000000009</v>
      </c>
      <c r="AF4" s="122">
        <f t="shared" si="8"/>
        <v>0.20624798285714288</v>
      </c>
      <c r="AG4" s="3"/>
    </row>
    <row r="5" spans="1:33" x14ac:dyDescent="0.3">
      <c r="A5" s="2">
        <v>44348</v>
      </c>
      <c r="B5" s="3">
        <v>981.32005116666664</v>
      </c>
      <c r="C5" s="3">
        <v>963.32493333333332</v>
      </c>
      <c r="D5" s="3">
        <v>17.995117833333332</v>
      </c>
      <c r="E5" s="3">
        <v>5639.7333333333336</v>
      </c>
      <c r="F5" s="3">
        <v>0</v>
      </c>
      <c r="G5" s="3">
        <v>28899.748</v>
      </c>
      <c r="H5" s="10">
        <v>3.8667891029999998E-3</v>
      </c>
      <c r="I5" s="3">
        <v>169192</v>
      </c>
      <c r="J5" s="3">
        <v>539.85353499999997</v>
      </c>
      <c r="K5" s="3">
        <v>1.8337664467305435</v>
      </c>
      <c r="L5" s="3">
        <v>36.823291386485444</v>
      </c>
      <c r="N5" s="1">
        <f t="shared" si="0"/>
        <v>92</v>
      </c>
      <c r="O5" s="1">
        <f t="shared" si="1"/>
        <v>1.8680216000499381E-2</v>
      </c>
      <c r="P5" s="1">
        <f t="shared" si="9"/>
        <v>3.0589657252358026E-2</v>
      </c>
      <c r="R5" s="1">
        <f t="shared" si="2"/>
        <v>4.0066612649464575E-4</v>
      </c>
      <c r="V5" s="1">
        <f t="shared" si="3"/>
        <v>1491</v>
      </c>
      <c r="W5" s="1">
        <f t="shared" si="10"/>
        <v>3.0666666666666669</v>
      </c>
      <c r="X5" s="1">
        <f t="shared" si="4"/>
        <v>-0.20802481178042773</v>
      </c>
      <c r="Y5" s="1">
        <f t="shared" si="5"/>
        <v>1250.8662007604614</v>
      </c>
      <c r="Z5" s="129"/>
      <c r="AA5" s="1">
        <f t="shared" si="6"/>
        <v>55799.236511837495</v>
      </c>
      <c r="AB5" s="127"/>
      <c r="AC5" s="127">
        <f t="shared" si="7"/>
        <v>0</v>
      </c>
      <c r="AD5" s="133"/>
      <c r="AE5" s="3">
        <f>AE4+G5</f>
        <v>101086.54200000002</v>
      </c>
      <c r="AF5" s="122">
        <f t="shared" si="8"/>
        <v>0.28881869142857147</v>
      </c>
      <c r="AG5" s="3"/>
    </row>
    <row r="6" spans="1:33" x14ac:dyDescent="0.3">
      <c r="A6" s="2">
        <v>44378</v>
      </c>
      <c r="B6" s="3">
        <v>952.5104846774193</v>
      </c>
      <c r="C6" s="3">
        <v>924.13922580645158</v>
      </c>
      <c r="D6" s="3">
        <v>28.37125887096774</v>
      </c>
      <c r="E6" s="3">
        <v>5600.0322580645161</v>
      </c>
      <c r="F6" s="3">
        <v>0</v>
      </c>
      <c r="G6" s="3">
        <v>28648.315999999999</v>
      </c>
      <c r="H6" s="10">
        <v>3.8331474760000001E-3</v>
      </c>
      <c r="I6" s="3">
        <v>173601</v>
      </c>
      <c r="J6" s="3">
        <v>879.50902499999995</v>
      </c>
      <c r="K6" s="3">
        <v>2.978577068427342</v>
      </c>
      <c r="L6" s="3">
        <v>38.114476599601872</v>
      </c>
      <c r="N6" s="1">
        <f t="shared" si="0"/>
        <v>122</v>
      </c>
      <c r="O6" s="1">
        <f t="shared" si="1"/>
        <v>3.0700199795338754E-2</v>
      </c>
      <c r="P6" s="1">
        <f t="shared" si="9"/>
        <v>1.3163637339433588E-2</v>
      </c>
      <c r="R6" s="1">
        <f t="shared" si="2"/>
        <v>-1.7175188041813704E-4</v>
      </c>
      <c r="S6" s="77" t="s">
        <v>142</v>
      </c>
      <c r="T6" s="80"/>
      <c r="V6" s="1">
        <f t="shared" si="3"/>
        <v>1461</v>
      </c>
      <c r="W6" s="1">
        <f t="shared" si="10"/>
        <v>4.0666666666666664</v>
      </c>
      <c r="X6" s="1">
        <f t="shared" si="4"/>
        <v>-0.14665935762791552</v>
      </c>
      <c r="Y6" s="1">
        <f t="shared" si="5"/>
        <v>1677.0482441157276</v>
      </c>
      <c r="Z6" s="129"/>
      <c r="AA6" s="1">
        <f t="shared" si="6"/>
        <v>54204.297052265065</v>
      </c>
      <c r="AB6" s="127"/>
      <c r="AC6" s="127">
        <f t="shared" si="7"/>
        <v>0</v>
      </c>
      <c r="AD6" s="133"/>
      <c r="AE6" s="3">
        <f>AE5+G6</f>
        <v>129734.85800000001</v>
      </c>
      <c r="AF6" s="122">
        <f t="shared" si="8"/>
        <v>0.37067102285714287</v>
      </c>
      <c r="AG6" s="3"/>
    </row>
    <row r="7" spans="1:33" x14ac:dyDescent="0.3">
      <c r="A7" s="2">
        <v>44409</v>
      </c>
      <c r="B7" s="3">
        <v>969.29791861290312</v>
      </c>
      <c r="C7" s="3">
        <v>945.30983870967736</v>
      </c>
      <c r="D7" s="3">
        <v>23.988079903225806</v>
      </c>
      <c r="E7" s="3">
        <v>5634.2903225806449</v>
      </c>
      <c r="F7" s="3">
        <v>0</v>
      </c>
      <c r="G7" s="3">
        <v>29304.605</v>
      </c>
      <c r="H7" s="10">
        <v>3.9209590069999994E-3</v>
      </c>
      <c r="I7" s="3">
        <v>174663</v>
      </c>
      <c r="J7" s="3">
        <v>743.63047700000004</v>
      </c>
      <c r="K7" s="3">
        <v>2.4747891687989521</v>
      </c>
      <c r="L7" s="3">
        <v>37.488829397290964</v>
      </c>
      <c r="N7" s="1">
        <f t="shared" si="0"/>
        <v>153</v>
      </c>
      <c r="O7" s="1">
        <f t="shared" si="1"/>
        <v>2.5375891502376506E-2</v>
      </c>
      <c r="P7" s="1">
        <f t="shared" si="9"/>
        <v>7.2248293615876672E-3</v>
      </c>
      <c r="R7" s="1">
        <f t="shared" si="2"/>
        <v>2.6751925727919938E-4</v>
      </c>
      <c r="T7" s="1" t="s">
        <v>143</v>
      </c>
      <c r="U7" s="1">
        <v>30</v>
      </c>
      <c r="V7" s="1">
        <f t="shared" si="3"/>
        <v>1430</v>
      </c>
      <c r="W7" s="1">
        <f t="shared" si="10"/>
        <v>5.0999999999999996</v>
      </c>
      <c r="X7" s="1">
        <f t="shared" si="4"/>
        <v>-0.12138524095206049</v>
      </c>
      <c r="Y7" s="1">
        <f t="shared" si="5"/>
        <v>2270.5169308714762</v>
      </c>
      <c r="Z7" s="129"/>
      <c r="AA7" s="1">
        <f t="shared" si="6"/>
        <v>52604.071413330152</v>
      </c>
      <c r="AB7" s="127"/>
      <c r="AC7" s="127">
        <f t="shared" si="7"/>
        <v>0</v>
      </c>
      <c r="AD7" s="133"/>
      <c r="AE7" s="3">
        <f>AE6+G7</f>
        <v>159039.46300000002</v>
      </c>
      <c r="AF7" s="122">
        <f t="shared" si="8"/>
        <v>0.45439846571428577</v>
      </c>
      <c r="AG7" s="3"/>
    </row>
    <row r="8" spans="1:33" x14ac:dyDescent="0.3">
      <c r="A8" s="2">
        <v>44440</v>
      </c>
      <c r="B8" s="3">
        <v>955.60069020000003</v>
      </c>
      <c r="C8" s="3">
        <v>924.47456666666665</v>
      </c>
      <c r="D8" s="3">
        <v>31.126123533333335</v>
      </c>
      <c r="E8" s="3">
        <v>5586.4</v>
      </c>
      <c r="F8" s="3">
        <v>0</v>
      </c>
      <c r="G8" s="3">
        <v>27734.237000000001</v>
      </c>
      <c r="H8" s="10">
        <v>3.7108436150000003E-3</v>
      </c>
      <c r="I8" s="3">
        <v>167592</v>
      </c>
      <c r="J8" s="3">
        <v>933.78370600000005</v>
      </c>
      <c r="K8" s="3">
        <v>3.2572311691004399</v>
      </c>
      <c r="L8" s="3">
        <v>38.00790198771287</v>
      </c>
      <c r="N8" s="1">
        <f t="shared" si="0"/>
        <v>184</v>
      </c>
      <c r="O8" s="1">
        <f t="shared" si="1"/>
        <v>3.3668988478031688E-2</v>
      </c>
      <c r="P8" s="1">
        <f t="shared" si="9"/>
        <v>-4.0340068516838204E-2</v>
      </c>
      <c r="R8" s="1">
        <f t="shared" si="2"/>
        <v>-7.276242220891696E-4</v>
      </c>
      <c r="T8" s="1" t="s">
        <v>144</v>
      </c>
      <c r="V8" s="1">
        <f t="shared" si="3"/>
        <v>1399</v>
      </c>
      <c r="W8" s="1">
        <f t="shared" si="10"/>
        <v>6.1333333333333337</v>
      </c>
      <c r="X8" s="1">
        <f t="shared" si="4"/>
        <v>-9.7300683184610243E-2</v>
      </c>
      <c r="Y8" s="1">
        <f t="shared" si="5"/>
        <v>3074.0004954909832</v>
      </c>
      <c r="Z8" s="129"/>
      <c r="AA8" s="1">
        <f t="shared" si="6"/>
        <v>51051.087824099071</v>
      </c>
      <c r="AB8" s="127"/>
      <c r="AC8" s="127">
        <f t="shared" si="7"/>
        <v>0</v>
      </c>
      <c r="AD8" s="133"/>
      <c r="AE8" s="3">
        <f>AE7+G8</f>
        <v>186773.7</v>
      </c>
      <c r="AF8" s="122">
        <f t="shared" si="8"/>
        <v>0.53363914285714287</v>
      </c>
      <c r="AG8" s="3"/>
    </row>
    <row r="9" spans="1:33" x14ac:dyDescent="0.3">
      <c r="A9" s="2">
        <v>44470</v>
      </c>
      <c r="B9" s="3">
        <v>917.86099525806446</v>
      </c>
      <c r="C9" s="3">
        <v>907.12045161290325</v>
      </c>
      <c r="D9" s="3">
        <v>10.74054364516129</v>
      </c>
      <c r="E9" s="3">
        <v>6026.1290322580644</v>
      </c>
      <c r="F9" s="3">
        <v>0</v>
      </c>
      <c r="G9" s="3">
        <v>28120.734</v>
      </c>
      <c r="H9" s="10">
        <v>3.7625569529999999E-3</v>
      </c>
      <c r="I9" s="3">
        <v>186810</v>
      </c>
      <c r="J9" s="3">
        <v>332.95685300000002</v>
      </c>
      <c r="K9" s="3">
        <v>1.1701710499356708</v>
      </c>
      <c r="L9" s="3">
        <v>41.784028041373311</v>
      </c>
      <c r="N9" s="1">
        <f t="shared" si="0"/>
        <v>214</v>
      </c>
      <c r="O9" s="1">
        <f t="shared" si="1"/>
        <v>1.1840261815356598E-2</v>
      </c>
      <c r="P9" s="1">
        <f t="shared" si="9"/>
        <v>-8.4323341523564965E-2</v>
      </c>
      <c r="R9" s="1">
        <f t="shared" si="2"/>
        <v>-7.4675462002912936E-5</v>
      </c>
      <c r="V9" s="1">
        <f t="shared" si="3"/>
        <v>1369</v>
      </c>
      <c r="W9" s="1">
        <f t="shared" si="10"/>
        <v>7.1333333333333337</v>
      </c>
      <c r="X9" s="1">
        <f t="shared" si="4"/>
        <v>-8.1003816864459496E-2</v>
      </c>
      <c r="Y9" s="1">
        <f t="shared" si="5"/>
        <v>4121.3417791926177</v>
      </c>
      <c r="Z9" s="129"/>
      <c r="AA9" s="1">
        <f t="shared" si="6"/>
        <v>49591.867241260457</v>
      </c>
      <c r="AB9" s="127"/>
      <c r="AC9" s="127">
        <f t="shared" si="7"/>
        <v>0</v>
      </c>
      <c r="AD9" s="133"/>
      <c r="AE9" s="3">
        <f>AE8+G9</f>
        <v>214894.43400000001</v>
      </c>
      <c r="AF9" s="122">
        <f t="shared" si="8"/>
        <v>0.61398409714285718</v>
      </c>
      <c r="AG9" s="3"/>
    </row>
    <row r="10" spans="1:33" x14ac:dyDescent="0.3">
      <c r="A10" s="2">
        <v>44501</v>
      </c>
      <c r="B10" s="3">
        <v>943.59197859999995</v>
      </c>
      <c r="C10" s="3">
        <v>934.68876666666665</v>
      </c>
      <c r="D10" s="3">
        <v>8.9032119333333331</v>
      </c>
      <c r="E10" s="3">
        <v>5462.2666666666664</v>
      </c>
      <c r="F10" s="3">
        <v>0</v>
      </c>
      <c r="G10" s="3">
        <v>28040.663</v>
      </c>
      <c r="H10" s="10">
        <v>3.7518434469999999E-3</v>
      </c>
      <c r="I10" s="3">
        <v>163868</v>
      </c>
      <c r="J10" s="3">
        <v>267.09635800000001</v>
      </c>
      <c r="K10" s="3">
        <v>0.94354468194430396</v>
      </c>
      <c r="L10" s="3">
        <v>36.757224549219828</v>
      </c>
      <c r="N10" s="1">
        <f t="shared" si="0"/>
        <v>245</v>
      </c>
      <c r="O10" s="1">
        <f t="shared" si="1"/>
        <v>9.5253224932662969E-3</v>
      </c>
      <c r="P10" s="1">
        <f t="shared" si="9"/>
        <v>-1.7609901099187402E-2</v>
      </c>
      <c r="R10" s="1">
        <f t="shared" si="2"/>
        <v>-7.0051242648191928E-5</v>
      </c>
      <c r="S10" s="77" t="s">
        <v>145</v>
      </c>
      <c r="T10" s="78"/>
      <c r="U10" s="1">
        <f>(LN(862.32/30)/0.01)</f>
        <v>335.84290498112176</v>
      </c>
      <c r="V10" s="1">
        <f t="shared" si="3"/>
        <v>1338</v>
      </c>
      <c r="W10" s="1">
        <f t="shared" si="10"/>
        <v>8.1666666666666661</v>
      </c>
      <c r="X10" s="1">
        <f t="shared" si="4"/>
        <v>-7.4420276014220479E-2</v>
      </c>
      <c r="Y10" s="1">
        <f t="shared" si="5"/>
        <v>5579.7895620461813</v>
      </c>
      <c r="Z10" s="129"/>
      <c r="AA10" s="1">
        <f t="shared" si="6"/>
        <v>48127.810298217693</v>
      </c>
      <c r="AB10" s="127"/>
      <c r="AC10" s="127">
        <f t="shared" si="7"/>
        <v>0</v>
      </c>
      <c r="AD10" s="133"/>
      <c r="AE10" s="3">
        <f>AE9+G10</f>
        <v>242935.09700000001</v>
      </c>
      <c r="AF10" s="122">
        <f t="shared" si="8"/>
        <v>0.69410027714285716</v>
      </c>
      <c r="AG10" s="3"/>
    </row>
    <row r="11" spans="1:33" x14ac:dyDescent="0.3">
      <c r="A11" s="2">
        <v>44531</v>
      </c>
      <c r="B11" s="3">
        <v>931.4043663225807</v>
      </c>
      <c r="C11" s="3">
        <v>924.54077419354837</v>
      </c>
      <c r="D11" s="3">
        <v>6.8635921290322583</v>
      </c>
      <c r="E11" s="3">
        <v>5636.4193548387093</v>
      </c>
      <c r="F11" s="3">
        <v>0</v>
      </c>
      <c r="G11" s="3">
        <v>28660.763999999999</v>
      </c>
      <c r="H11" s="10">
        <v>3.8348130209999998E-3</v>
      </c>
      <c r="I11" s="3">
        <v>174729</v>
      </c>
      <c r="J11" s="3">
        <v>212.771356</v>
      </c>
      <c r="K11" s="3">
        <v>0.73690787559129134</v>
      </c>
      <c r="L11" s="3">
        <v>38.34546993234374</v>
      </c>
      <c r="N11" s="1">
        <f t="shared" si="0"/>
        <v>275</v>
      </c>
      <c r="O11" s="1">
        <f t="shared" si="1"/>
        <v>7.423785213820539E-3</v>
      </c>
      <c r="P11" s="1">
        <f t="shared" si="9"/>
        <v>4.4635824471978926E-2</v>
      </c>
      <c r="R11" s="1">
        <f t="shared" si="2"/>
        <v>3.8791230257156413E-4</v>
      </c>
      <c r="V11" s="1">
        <f t="shared" si="3"/>
        <v>1308</v>
      </c>
      <c r="W11" s="1">
        <f t="shared" si="10"/>
        <v>9.1666666666666661</v>
      </c>
      <c r="X11" s="1">
        <f t="shared" si="4"/>
        <v>-6.5110814984003992E-2</v>
      </c>
      <c r="Y11" s="1">
        <f t="shared" si="5"/>
        <v>7480.8770769214907</v>
      </c>
      <c r="Z11" s="129"/>
      <c r="AA11" s="1">
        <f t="shared" si="6"/>
        <v>46752.147322414086</v>
      </c>
      <c r="AB11" s="127"/>
      <c r="AC11" s="127">
        <f t="shared" si="7"/>
        <v>0</v>
      </c>
      <c r="AD11" s="133"/>
      <c r="AE11" s="3">
        <f>AE10+G11</f>
        <v>271595.86100000003</v>
      </c>
      <c r="AF11" s="122">
        <f t="shared" si="8"/>
        <v>0.77598817428571432</v>
      </c>
      <c r="AG11" s="3"/>
    </row>
    <row r="12" spans="1:33" x14ac:dyDescent="0.3">
      <c r="A12" s="2">
        <v>44562</v>
      </c>
      <c r="B12" s="3">
        <v>723.83609932258071</v>
      </c>
      <c r="C12" s="3">
        <v>710.02674193548387</v>
      </c>
      <c r="D12" s="3">
        <v>13.809357387096775</v>
      </c>
      <c r="E12" s="3">
        <v>5214.8709677419356</v>
      </c>
      <c r="F12" s="3">
        <v>0</v>
      </c>
      <c r="G12" s="3">
        <v>22010.829000000002</v>
      </c>
      <c r="H12" s="10">
        <v>2.9450510689999999E-3</v>
      </c>
      <c r="I12" s="3">
        <v>161661</v>
      </c>
      <c r="J12" s="3">
        <v>428.090079</v>
      </c>
      <c r="K12" s="3">
        <v>1.9078016970997429</v>
      </c>
      <c r="L12" s="3">
        <v>46.196140899554486</v>
      </c>
      <c r="N12" s="1">
        <f t="shared" si="0"/>
        <v>306</v>
      </c>
      <c r="O12" s="1">
        <f t="shared" si="1"/>
        <v>1.9449066593539028E-2</v>
      </c>
      <c r="P12" s="1">
        <f t="shared" si="9"/>
        <v>5.4169296286782964E-2</v>
      </c>
      <c r="R12" s="1">
        <f t="shared" si="2"/>
        <v>-3.2645886333970651E-5</v>
      </c>
      <c r="V12" s="1">
        <f t="shared" si="3"/>
        <v>1277</v>
      </c>
      <c r="W12" s="1">
        <f t="shared" si="10"/>
        <v>10.199999999999999</v>
      </c>
      <c r="X12" s="1">
        <f t="shared" si="4"/>
        <v>-3.2632805634647655E-2</v>
      </c>
      <c r="Y12" s="1">
        <f t="shared" si="5"/>
        <v>10128.186902503001</v>
      </c>
      <c r="Z12" s="129"/>
      <c r="AA12" s="1">
        <f t="shared" si="6"/>
        <v>45371.924925129752</v>
      </c>
      <c r="AB12" s="127"/>
      <c r="AC12" s="127">
        <f t="shared" si="7"/>
        <v>0</v>
      </c>
      <c r="AD12" s="133"/>
      <c r="AE12" s="3">
        <f>AE11+G12</f>
        <v>293606.69000000006</v>
      </c>
      <c r="AF12" s="122">
        <f t="shared" si="8"/>
        <v>0.83887625714285741</v>
      </c>
      <c r="AG12" s="3"/>
    </row>
    <row r="13" spans="1:33" x14ac:dyDescent="0.3">
      <c r="A13" s="2">
        <v>44593</v>
      </c>
      <c r="B13" s="3">
        <v>735.43106671428563</v>
      </c>
      <c r="C13" s="3">
        <v>722.11735714285714</v>
      </c>
      <c r="D13" s="3">
        <v>13.313709571428571</v>
      </c>
      <c r="E13" s="3">
        <v>4670.3571428571431</v>
      </c>
      <c r="F13" s="3">
        <v>0</v>
      </c>
      <c r="G13" s="3">
        <v>20219.286</v>
      </c>
      <c r="H13" s="10">
        <v>2.7053424409999999E-3</v>
      </c>
      <c r="I13" s="3">
        <v>130770</v>
      </c>
      <c r="J13" s="3">
        <v>372.78386799999998</v>
      </c>
      <c r="K13" s="3">
        <v>1.8103273269255209</v>
      </c>
      <c r="L13" s="3">
        <v>40.679831424314386</v>
      </c>
      <c r="N13" s="1">
        <f t="shared" si="0"/>
        <v>337</v>
      </c>
      <c r="O13" s="1">
        <f t="shared" si="1"/>
        <v>1.8437044117185938E-2</v>
      </c>
      <c r="P13" s="1">
        <f t="shared" si="9"/>
        <v>4.9425623843543862E-3</v>
      </c>
      <c r="R13" s="1">
        <f t="shared" si="2"/>
        <v>6.7266313541460755E-5</v>
      </c>
      <c r="V13" s="1">
        <f t="shared" si="3"/>
        <v>1246</v>
      </c>
      <c r="W13" s="1">
        <f t="shared" si="10"/>
        <v>11.233333333333333</v>
      </c>
      <c r="X13" s="1">
        <f t="shared" si="4"/>
        <v>-3.1134093796964447E-2</v>
      </c>
      <c r="Y13" s="1">
        <f t="shared" si="5"/>
        <v>13712.318606128845</v>
      </c>
      <c r="Z13" s="129"/>
      <c r="AA13" s="1">
        <f t="shared" si="6"/>
        <v>44032.449615948732</v>
      </c>
      <c r="AB13" s="127"/>
      <c r="AC13" s="127">
        <f t="shared" si="7"/>
        <v>0</v>
      </c>
      <c r="AD13" s="133"/>
      <c r="AE13" s="3">
        <f>AE12+G13</f>
        <v>313825.97600000008</v>
      </c>
      <c r="AF13" s="122">
        <f t="shared" si="8"/>
        <v>0.89664564571428595</v>
      </c>
      <c r="AG13" s="3"/>
    </row>
    <row r="14" spans="1:33" x14ac:dyDescent="0.3">
      <c r="A14" s="2">
        <v>44621</v>
      </c>
      <c r="B14" s="3">
        <v>726.79252690322585</v>
      </c>
      <c r="C14" s="3">
        <v>712.3178709677419</v>
      </c>
      <c r="D14" s="3">
        <v>14.474655935483872</v>
      </c>
      <c r="E14" s="3">
        <v>5092.7741935483873</v>
      </c>
      <c r="F14" s="3">
        <v>0</v>
      </c>
      <c r="G14" s="3">
        <v>22081.853999999999</v>
      </c>
      <c r="H14" s="10">
        <v>2.9545542189999999E-3</v>
      </c>
      <c r="I14" s="3">
        <v>157876</v>
      </c>
      <c r="J14" s="3">
        <v>448.71433400000001</v>
      </c>
      <c r="K14" s="3">
        <v>1.9915801827460462</v>
      </c>
      <c r="L14" s="3">
        <v>44.969433490503107</v>
      </c>
      <c r="N14" s="1">
        <f t="shared" si="0"/>
        <v>365</v>
      </c>
      <c r="O14" s="1">
        <f t="shared" si="1"/>
        <v>2.0320500896346839E-2</v>
      </c>
      <c r="P14" s="1">
        <f t="shared" si="9"/>
        <v>2.1144514577278742E-2</v>
      </c>
      <c r="R14" s="1">
        <f t="shared" si="2"/>
        <v>4.9284349730484066E-5</v>
      </c>
      <c r="V14" s="1">
        <f t="shared" si="3"/>
        <v>1218</v>
      </c>
      <c r="W14" s="1">
        <f t="shared" si="10"/>
        <v>12.166666666666666</v>
      </c>
      <c r="X14" s="1">
        <f t="shared" si="4"/>
        <v>-2.7622704922323518E-2</v>
      </c>
      <c r="Y14" s="1">
        <f t="shared" si="5"/>
        <v>18028.376290681103</v>
      </c>
      <c r="Z14" s="129"/>
      <c r="AA14" s="1">
        <f t="shared" si="6"/>
        <v>42856.622622123796</v>
      </c>
      <c r="AB14" s="127"/>
      <c r="AC14" s="127">
        <f t="shared" si="7"/>
        <v>0</v>
      </c>
      <c r="AD14" s="133"/>
      <c r="AE14" s="3">
        <f>AE13+G14</f>
        <v>335907.83000000007</v>
      </c>
      <c r="AF14" s="122">
        <f t="shared" si="8"/>
        <v>0.95973665714285739</v>
      </c>
      <c r="AG14" s="3"/>
    </row>
    <row r="15" spans="1:33" x14ac:dyDescent="0.3">
      <c r="A15" s="2">
        <v>44652</v>
      </c>
      <c r="B15" s="3">
        <v>719.08062056666665</v>
      </c>
      <c r="C15" s="3">
        <v>703.70583333333332</v>
      </c>
      <c r="D15" s="3">
        <v>15.374787233333333</v>
      </c>
      <c r="E15" s="3">
        <v>5343.9666666666662</v>
      </c>
      <c r="F15" s="3">
        <v>0</v>
      </c>
      <c r="G15" s="3">
        <v>21111.174999999999</v>
      </c>
      <c r="H15" s="10">
        <v>2.824677275E-3</v>
      </c>
      <c r="I15" s="3">
        <v>160319</v>
      </c>
      <c r="J15" s="3">
        <v>461.24361699999997</v>
      </c>
      <c r="K15" s="3">
        <v>2.1381173116885468</v>
      </c>
      <c r="L15" s="3">
        <v>47.764960794460755</v>
      </c>
      <c r="N15" s="1">
        <f t="shared" si="0"/>
        <v>396</v>
      </c>
      <c r="O15" s="1">
        <f t="shared" si="1"/>
        <v>2.1848315737991845E-2</v>
      </c>
      <c r="P15" s="1">
        <f t="shared" si="9"/>
        <v>0.103147732264346</v>
      </c>
      <c r="R15" s="1">
        <f t="shared" si="2"/>
        <v>4.8042804145399164E-4</v>
      </c>
      <c r="V15" s="1">
        <f t="shared" si="3"/>
        <v>1187</v>
      </c>
      <c r="W15" s="1">
        <f t="shared" si="10"/>
        <v>13.2</v>
      </c>
      <c r="X15" s="1">
        <f t="shared" si="4"/>
        <v>-2.4538818326131508E-2</v>
      </c>
      <c r="Y15" s="1">
        <f t="shared" si="5"/>
        <v>24408.202773973779</v>
      </c>
      <c r="Z15" s="129"/>
      <c r="AA15" s="1">
        <f t="shared" si="6"/>
        <v>41591.404363653375</v>
      </c>
      <c r="AB15" s="127"/>
      <c r="AC15" s="127">
        <f t="shared" si="7"/>
        <v>0</v>
      </c>
      <c r="AD15" s="133"/>
      <c r="AE15" s="3">
        <f>AE14+G15</f>
        <v>357019.00500000006</v>
      </c>
      <c r="AF15" s="122">
        <f t="shared" si="8"/>
        <v>1.0200543000000002</v>
      </c>
      <c r="AG15" s="3"/>
    </row>
    <row r="16" spans="1:33" x14ac:dyDescent="0.3">
      <c r="A16" s="2">
        <v>44682</v>
      </c>
      <c r="B16" s="3">
        <v>699.90445738709684</v>
      </c>
      <c r="C16" s="3">
        <v>675.41319354838708</v>
      </c>
      <c r="D16" s="3">
        <v>24.491263838709678</v>
      </c>
      <c r="E16" s="3">
        <v>5137.2903225806449</v>
      </c>
      <c r="F16" s="3">
        <v>0</v>
      </c>
      <c r="G16" s="3">
        <v>20937.809000000001</v>
      </c>
      <c r="H16" s="10">
        <v>2.8014808990000023E-3</v>
      </c>
      <c r="I16" s="3">
        <v>159256</v>
      </c>
      <c r="J16" s="3">
        <v>759.22917900000004</v>
      </c>
      <c r="K16" s="3">
        <v>3.4992295848695059</v>
      </c>
      <c r="L16" s="3">
        <v>47.841127445569875</v>
      </c>
      <c r="N16" s="1">
        <f t="shared" si="0"/>
        <v>426</v>
      </c>
      <c r="O16" s="1">
        <f t="shared" si="1"/>
        <v>3.6261156981611593E-2</v>
      </c>
      <c r="P16" s="1">
        <f t="shared" si="9"/>
        <v>0.25300304315319483</v>
      </c>
      <c r="R16" s="1">
        <f t="shared" si="2"/>
        <v>7.0434507081588028E-4</v>
      </c>
      <c r="V16" s="1">
        <f t="shared" si="3"/>
        <v>1157</v>
      </c>
      <c r="W16" s="1">
        <f t="shared" si="10"/>
        <v>14.2</v>
      </c>
      <c r="X16" s="1">
        <f t="shared" si="4"/>
        <v>-1.9920889129000502E-2</v>
      </c>
      <c r="Y16" s="1">
        <f t="shared" si="5"/>
        <v>32724.310225368466</v>
      </c>
      <c r="Z16" s="129"/>
      <c r="AA16" s="1">
        <f t="shared" si="6"/>
        <v>40402.574979141085</v>
      </c>
      <c r="AB16" s="127"/>
      <c r="AC16" s="127">
        <f t="shared" si="7"/>
        <v>0</v>
      </c>
      <c r="AD16" s="133"/>
      <c r="AE16" s="3">
        <f>AE15+G16</f>
        <v>377956.81400000007</v>
      </c>
      <c r="AF16" s="122">
        <f t="shared" si="8"/>
        <v>1.0798766114285716</v>
      </c>
      <c r="AG16" s="3"/>
    </row>
    <row r="17" spans="1:38" x14ac:dyDescent="0.3">
      <c r="A17" s="2">
        <v>44713</v>
      </c>
      <c r="B17" s="3">
        <v>681.94626973333322</v>
      </c>
      <c r="C17" s="3">
        <v>644.50329999999997</v>
      </c>
      <c r="D17" s="3">
        <v>37.442969733333335</v>
      </c>
      <c r="E17" s="3">
        <v>4909.3666666666668</v>
      </c>
      <c r="F17" s="3">
        <v>0</v>
      </c>
      <c r="G17" s="3">
        <v>19335.098999999998</v>
      </c>
      <c r="H17" s="10">
        <v>2.5870381330000002E-3</v>
      </c>
      <c r="I17" s="3">
        <v>147281</v>
      </c>
      <c r="J17" s="3">
        <v>1123.289092</v>
      </c>
      <c r="K17" s="3">
        <v>5.4906040835115864</v>
      </c>
      <c r="L17" s="3">
        <v>47.911212339797181</v>
      </c>
      <c r="N17" s="1">
        <f t="shared" si="0"/>
        <v>457</v>
      </c>
      <c r="O17" s="1">
        <f t="shared" si="1"/>
        <v>5.8095854176903883E-2</v>
      </c>
      <c r="P17" s="1">
        <f t="shared" si="9"/>
        <v>0.43014688921268363</v>
      </c>
      <c r="R17" s="1">
        <f t="shared" si="2"/>
        <v>1.1909871416831816E-3</v>
      </c>
      <c r="V17" s="1">
        <f t="shared" si="3"/>
        <v>1126</v>
      </c>
      <c r="W17" s="1">
        <f t="shared" si="10"/>
        <v>15.233333333333333</v>
      </c>
      <c r="X17" s="1">
        <f t="shared" si="4"/>
        <v>-1.5494437159553521E-2</v>
      </c>
      <c r="Y17" s="1">
        <f xml:space="preserve"> $U$4 * EXP(-$X$4 *W17)</f>
        <v>44304.688716314842</v>
      </c>
      <c r="Z17" s="129"/>
      <c r="AA17" s="1">
        <f t="shared" si="6"/>
        <v>39209.80540409666</v>
      </c>
      <c r="AB17" s="127"/>
      <c r="AC17" s="127">
        <f t="shared" si="7"/>
        <v>0</v>
      </c>
      <c r="AD17" s="133"/>
      <c r="AE17" s="3">
        <f>AE16+G17</f>
        <v>397291.91300000006</v>
      </c>
      <c r="AF17" s="122">
        <f t="shared" si="8"/>
        <v>1.1351197514285716</v>
      </c>
      <c r="AG17" s="3"/>
    </row>
    <row r="18" spans="1:38" x14ac:dyDescent="0.3">
      <c r="A18" s="2">
        <v>44743</v>
      </c>
      <c r="B18" s="3">
        <v>640.71980622580645</v>
      </c>
      <c r="C18" s="3">
        <v>585.76054838709683</v>
      </c>
      <c r="D18" s="3">
        <v>54.959257838709675</v>
      </c>
      <c r="E18" s="3">
        <v>4292.1290322580644</v>
      </c>
      <c r="F18" s="3">
        <v>0</v>
      </c>
      <c r="G18" s="3">
        <v>18158.577000000001</v>
      </c>
      <c r="H18" s="10">
        <v>2.4296193760000003E-3</v>
      </c>
      <c r="I18" s="3">
        <v>133056</v>
      </c>
      <c r="J18" s="3">
        <v>1703.736993</v>
      </c>
      <c r="K18" s="3">
        <v>8.5777366806326878</v>
      </c>
      <c r="L18" s="3">
        <v>46.088172481797436</v>
      </c>
      <c r="N18" s="1">
        <f t="shared" si="0"/>
        <v>487</v>
      </c>
      <c r="O18" s="1">
        <f t="shared" si="1"/>
        <v>9.3825468427399333E-2</v>
      </c>
      <c r="P18" s="1">
        <f t="shared" si="9"/>
        <v>0.39246156327775683</v>
      </c>
      <c r="R18" s="1">
        <f t="shared" si="2"/>
        <v>4.3363295491244402E-4</v>
      </c>
      <c r="V18" s="1">
        <f t="shared" si="3"/>
        <v>1096</v>
      </c>
      <c r="W18" s="1">
        <f t="shared" si="10"/>
        <v>16.233333333333334</v>
      </c>
      <c r="X18" s="1">
        <f t="shared" si="4"/>
        <v>-8.6527557916970688E-3</v>
      </c>
      <c r="Y18" s="1">
        <f t="shared" si="5"/>
        <v>59399.718669045906</v>
      </c>
      <c r="Z18" s="129"/>
      <c r="AA18" s="1">
        <f t="shared" si="6"/>
        <v>38089.050538071155</v>
      </c>
      <c r="AB18" s="127"/>
      <c r="AC18" s="127">
        <f t="shared" si="7"/>
        <v>0</v>
      </c>
      <c r="AD18" s="133"/>
      <c r="AE18" s="3">
        <f>AE17+G18</f>
        <v>415450.49000000005</v>
      </c>
      <c r="AF18" s="122">
        <f t="shared" si="8"/>
        <v>1.1870014000000002</v>
      </c>
      <c r="AG18" s="3"/>
    </row>
    <row r="19" spans="1:38" x14ac:dyDescent="0.3">
      <c r="A19" s="2">
        <v>44774</v>
      </c>
      <c r="B19" s="3">
        <v>683.570919548387</v>
      </c>
      <c r="C19" s="3">
        <v>617.34906451612903</v>
      </c>
      <c r="D19" s="3">
        <v>66.221855032258006</v>
      </c>
      <c r="E19" s="3">
        <v>4459.6774193548299</v>
      </c>
      <c r="F19" s="3">
        <v>0</v>
      </c>
      <c r="G19" s="3">
        <v>19137.821</v>
      </c>
      <c r="H19" s="10">
        <v>2.5606423180000002E-3</v>
      </c>
      <c r="I19" s="3">
        <v>138250</v>
      </c>
      <c r="J19" s="3">
        <v>2052.8775059999998</v>
      </c>
      <c r="K19" s="3">
        <v>9.6876349093388381</v>
      </c>
      <c r="L19" s="3">
        <v>45.436983134077806</v>
      </c>
      <c r="N19" s="1">
        <f t="shared" si="0"/>
        <v>518</v>
      </c>
      <c r="O19" s="1">
        <f t="shared" si="1"/>
        <v>0.1072680900296851</v>
      </c>
      <c r="P19" s="1">
        <f t="shared" si="9"/>
        <v>6.2090693976386842E-2</v>
      </c>
      <c r="R19" s="1">
        <f t="shared" si="2"/>
        <v>-1.9361372932160284E-4</v>
      </c>
      <c r="V19" s="1">
        <f t="shared" si="3"/>
        <v>1065</v>
      </c>
      <c r="W19" s="1">
        <f t="shared" si="10"/>
        <v>17.266666666666666</v>
      </c>
      <c r="X19" s="1">
        <f t="shared" si="4"/>
        <v>-1.1176829660638044E-2</v>
      </c>
      <c r="Y19" s="1">
        <f t="shared" si="5"/>
        <v>80419.908848945706</v>
      </c>
      <c r="Z19" s="129"/>
      <c r="AA19" s="1">
        <f t="shared" si="6"/>
        <v>36964.581103942364</v>
      </c>
      <c r="AB19" s="127"/>
      <c r="AC19" s="127">
        <f t="shared" si="7"/>
        <v>0</v>
      </c>
      <c r="AD19" s="133"/>
      <c r="AE19" s="3">
        <f>AE18+G19</f>
        <v>434588.31100000005</v>
      </c>
      <c r="AF19" s="122">
        <f t="shared" si="8"/>
        <v>1.2416808885714286</v>
      </c>
      <c r="AG19" s="3"/>
    </row>
    <row r="20" spans="1:38" x14ac:dyDescent="0.3">
      <c r="A20" s="2">
        <v>44805</v>
      </c>
      <c r="B20" s="3">
        <v>707.91144646666601</v>
      </c>
      <c r="C20" s="3">
        <v>642.81600000000003</v>
      </c>
      <c r="D20" s="3">
        <v>65.095446466666601</v>
      </c>
      <c r="E20" s="3">
        <v>4698.1333333333296</v>
      </c>
      <c r="F20" s="3">
        <v>0</v>
      </c>
      <c r="G20" s="3">
        <v>19284.48</v>
      </c>
      <c r="H20" s="10">
        <v>2.5802653070000001E-3</v>
      </c>
      <c r="I20" s="3">
        <v>140944</v>
      </c>
      <c r="J20" s="3">
        <v>1952.863394</v>
      </c>
      <c r="K20" s="3">
        <v>9.1954222228742868</v>
      </c>
      <c r="L20" s="3">
        <v>45.970105037833527</v>
      </c>
      <c r="N20" s="1">
        <f t="shared" si="0"/>
        <v>549</v>
      </c>
      <c r="O20" s="1">
        <f t="shared" si="1"/>
        <v>0.10126606442071541</v>
      </c>
      <c r="P20" s="1">
        <f t="shared" si="9"/>
        <v>0.32829954324752292</v>
      </c>
      <c r="R20" s="1">
        <f t="shared" si="2"/>
        <v>1.4183568704468487E-3</v>
      </c>
      <c r="V20" s="1">
        <f t="shared" si="3"/>
        <v>1034</v>
      </c>
      <c r="W20" s="1">
        <f t="shared" si="10"/>
        <v>18.3</v>
      </c>
      <c r="X20" s="1">
        <f t="shared" si="4"/>
        <v>-1.2754672574015724E-2</v>
      </c>
      <c r="Y20" s="1">
        <f t="shared" si="5"/>
        <v>108878.65943114267</v>
      </c>
      <c r="Z20" s="129"/>
      <c r="AA20" s="1">
        <f t="shared" si="6"/>
        <v>35873.308388829355</v>
      </c>
      <c r="AB20" s="127"/>
      <c r="AC20" s="127">
        <f t="shared" si="7"/>
        <v>0</v>
      </c>
      <c r="AD20" s="133"/>
      <c r="AE20" s="3">
        <f>AE19+G20</f>
        <v>453872.79100000003</v>
      </c>
      <c r="AF20" s="122">
        <f t="shared" si="8"/>
        <v>1.2967794028571429</v>
      </c>
      <c r="AG20" s="3"/>
    </row>
    <row r="21" spans="1:38" x14ac:dyDescent="0.3">
      <c r="A21" s="2">
        <v>44835</v>
      </c>
      <c r="B21" s="3">
        <v>780.86489161290297</v>
      </c>
      <c r="C21" s="3">
        <v>682.68354838709604</v>
      </c>
      <c r="D21" s="3">
        <v>98.181343225806401</v>
      </c>
      <c r="E21" s="3">
        <v>4879.2580645161197</v>
      </c>
      <c r="F21" s="3">
        <v>0</v>
      </c>
      <c r="G21" s="3">
        <v>21163.19</v>
      </c>
      <c r="H21" s="10">
        <v>2.8316368870000001E-3</v>
      </c>
      <c r="I21" s="3">
        <v>151257</v>
      </c>
      <c r="J21" s="3">
        <v>3043.6216399999998</v>
      </c>
      <c r="K21" s="3">
        <v>12.573409853657209</v>
      </c>
      <c r="L21" s="3">
        <v>44.954294631385913</v>
      </c>
      <c r="N21" s="1">
        <f t="shared" si="0"/>
        <v>579</v>
      </c>
      <c r="O21" s="1">
        <f t="shared" si="1"/>
        <v>0.14381677053412087</v>
      </c>
      <c r="P21" s="1">
        <f t="shared" si="9"/>
        <v>0.28342553471573145</v>
      </c>
      <c r="R21" s="1">
        <f t="shared" si="2"/>
        <v>-4.0931760081163566E-4</v>
      </c>
      <c r="V21" s="1">
        <f t="shared" si="3"/>
        <v>1004</v>
      </c>
      <c r="W21" s="1">
        <f t="shared" si="10"/>
        <v>19.3</v>
      </c>
      <c r="X21" s="1">
        <f t="shared" si="4"/>
        <v>-1.5211575633039766E-2</v>
      </c>
      <c r="Y21" s="1">
        <f t="shared" si="5"/>
        <v>145974.65700941</v>
      </c>
      <c r="Z21" s="129"/>
      <c r="AA21" s="1">
        <f t="shared" si="6"/>
        <v>34847.922403796802</v>
      </c>
      <c r="AB21" s="127"/>
      <c r="AC21" s="127">
        <f t="shared" si="7"/>
        <v>0</v>
      </c>
      <c r="AD21" s="133"/>
      <c r="AE21" s="3">
        <f>AE20+G21</f>
        <v>475035.98100000003</v>
      </c>
      <c r="AF21" s="122">
        <f t="shared" si="8"/>
        <v>1.35724566</v>
      </c>
      <c r="AG21" s="3"/>
    </row>
    <row r="22" spans="1:38" x14ac:dyDescent="0.3">
      <c r="A22" s="2">
        <v>44866</v>
      </c>
      <c r="B22" s="3">
        <v>699.48098760000005</v>
      </c>
      <c r="C22" s="3">
        <v>618.39246666666668</v>
      </c>
      <c r="D22" s="3">
        <v>81.088520933333328</v>
      </c>
      <c r="E22" s="3">
        <v>4720.666666666667</v>
      </c>
      <c r="F22" s="3">
        <v>0</v>
      </c>
      <c r="G22" s="3">
        <v>18551.774000000001</v>
      </c>
      <c r="H22" s="10">
        <v>2.4822291690000001E-3</v>
      </c>
      <c r="I22" s="3">
        <v>141620</v>
      </c>
      <c r="J22" s="3">
        <v>2432.655628</v>
      </c>
      <c r="K22" s="3">
        <v>11.59266976098341</v>
      </c>
      <c r="L22" s="3">
        <v>48.014894748070986</v>
      </c>
      <c r="N22" s="1">
        <f t="shared" si="0"/>
        <v>610</v>
      </c>
      <c r="O22" s="1">
        <f t="shared" si="1"/>
        <v>0.13112792490896016</v>
      </c>
      <c r="P22" s="1">
        <f t="shared" si="9"/>
        <v>0.51266678491436168</v>
      </c>
      <c r="R22" s="1">
        <f t="shared" si="2"/>
        <v>2.1346824125924582E-3</v>
      </c>
      <c r="V22" s="1">
        <f t="shared" si="3"/>
        <v>973</v>
      </c>
      <c r="W22" s="1">
        <f t="shared" si="10"/>
        <v>20.333333333333332</v>
      </c>
      <c r="X22" s="1">
        <f t="shared" si="4"/>
        <v>-9.5741950167294813E-3</v>
      </c>
      <c r="Y22" s="1">
        <f t="shared" si="5"/>
        <v>197631.72072177453</v>
      </c>
      <c r="Z22" s="129"/>
      <c r="AA22" s="1">
        <f t="shared" si="6"/>
        <v>33819.137936019266</v>
      </c>
      <c r="AB22" s="127"/>
      <c r="AC22" s="127">
        <f t="shared" si="7"/>
        <v>0</v>
      </c>
      <c r="AD22" s="133"/>
      <c r="AE22" s="3">
        <f>AE21+G22</f>
        <v>493587.755</v>
      </c>
      <c r="AF22" s="122">
        <f t="shared" si="8"/>
        <v>1.4102507285714285</v>
      </c>
      <c r="AG22" s="3"/>
    </row>
    <row r="23" spans="1:38" x14ac:dyDescent="0.3">
      <c r="A23" s="2">
        <v>44896</v>
      </c>
      <c r="B23" s="3">
        <v>674.7805495161291</v>
      </c>
      <c r="C23" s="3">
        <v>564.59035483870969</v>
      </c>
      <c r="D23" s="3">
        <v>110.19019467741936</v>
      </c>
      <c r="E23" s="3">
        <v>3961.6129032258063</v>
      </c>
      <c r="F23" s="3">
        <v>0</v>
      </c>
      <c r="G23" s="3">
        <v>17502.300999999999</v>
      </c>
      <c r="H23" s="10">
        <v>2.3418095840000001E-3</v>
      </c>
      <c r="I23" s="3">
        <v>122810</v>
      </c>
      <c r="J23" s="3">
        <v>3415.8960350000002</v>
      </c>
      <c r="K23" s="3">
        <v>16.329782290914345</v>
      </c>
      <c r="L23" s="3">
        <v>44.134216295331676</v>
      </c>
      <c r="N23" s="1">
        <f t="shared" si="0"/>
        <v>640</v>
      </c>
      <c r="O23" s="1">
        <f t="shared" si="1"/>
        <v>0.19516839728673391</v>
      </c>
      <c r="P23" s="1">
        <f t="shared" si="9"/>
        <v>0.95584099166804026</v>
      </c>
      <c r="R23" s="1">
        <f t="shared" si="2"/>
        <v>8.7293240007907304E-4</v>
      </c>
      <c r="V23" s="1">
        <f t="shared" si="3"/>
        <v>943</v>
      </c>
      <c r="W23" s="1">
        <f t="shared" si="10"/>
        <v>21.333333333333332</v>
      </c>
      <c r="X23" s="1">
        <f t="shared" si="4"/>
        <v>-4.8587069975031243E-3</v>
      </c>
      <c r="Y23" s="1">
        <f t="shared" si="5"/>
        <v>264966.73266615166</v>
      </c>
      <c r="Z23" s="129"/>
      <c r="AA23" s="1">
        <f t="shared" si="6"/>
        <v>32852.467405116266</v>
      </c>
      <c r="AB23" s="127"/>
      <c r="AC23" s="127">
        <f t="shared" si="7"/>
        <v>0</v>
      </c>
      <c r="AD23" s="133"/>
      <c r="AE23" s="3">
        <f>AE22+G23</f>
        <v>511090.05599999998</v>
      </c>
      <c r="AF23" s="122">
        <f t="shared" si="8"/>
        <v>1.4602573028571428</v>
      </c>
      <c r="AG23" s="3"/>
    </row>
    <row r="24" spans="1:38" x14ac:dyDescent="0.3">
      <c r="A24" s="2">
        <v>44927</v>
      </c>
      <c r="B24" s="3">
        <v>792.74096093548303</v>
      </c>
      <c r="C24" s="3">
        <v>648.60248387096703</v>
      </c>
      <c r="D24" s="3">
        <v>144.138477064516</v>
      </c>
      <c r="E24" s="3">
        <v>4400.1290322580599</v>
      </c>
      <c r="F24" s="3">
        <v>0</v>
      </c>
      <c r="G24" s="3">
        <v>20106.677</v>
      </c>
      <c r="H24" s="10">
        <v>2.6902753459999902E-3</v>
      </c>
      <c r="I24" s="3">
        <v>136404</v>
      </c>
      <c r="J24" s="3">
        <v>4468.2927890000001</v>
      </c>
      <c r="K24" s="3">
        <v>18.182292093803724</v>
      </c>
      <c r="L24" s="3">
        <v>42.670098057476125</v>
      </c>
      <c r="N24" s="1">
        <f t="shared" si="0"/>
        <v>671</v>
      </c>
      <c r="O24" s="1">
        <f t="shared" si="1"/>
        <v>0.22222930168918517</v>
      </c>
      <c r="P24" s="1">
        <f t="shared" si="9"/>
        <v>0.866700595556678</v>
      </c>
      <c r="R24" s="1">
        <f t="shared" si="2"/>
        <v>1.7122181770721269E-3</v>
      </c>
      <c r="V24" s="1">
        <f t="shared" si="3"/>
        <v>912</v>
      </c>
      <c r="W24" s="1">
        <f t="shared" si="10"/>
        <v>22.366666666666667</v>
      </c>
      <c r="X24" s="1">
        <f t="shared" si="4"/>
        <v>-1.0836304332503217E-2</v>
      </c>
      <c r="Y24" s="1">
        <f t="shared" si="5"/>
        <v>358732.34699542663</v>
      </c>
      <c r="Z24" s="129"/>
      <c r="AA24" s="1">
        <f t="shared" si="6"/>
        <v>31882.592994730498</v>
      </c>
      <c r="AB24" s="127"/>
      <c r="AC24" s="127">
        <f t="shared" si="7"/>
        <v>0</v>
      </c>
      <c r="AD24" s="133"/>
      <c r="AE24" s="3">
        <f>AE23+G24</f>
        <v>531196.73300000001</v>
      </c>
      <c r="AF24" s="122">
        <f t="shared" si="8"/>
        <v>1.5177049514285714</v>
      </c>
      <c r="AG24" s="3"/>
    </row>
    <row r="25" spans="1:38" x14ac:dyDescent="0.3">
      <c r="A25" s="2">
        <v>44958</v>
      </c>
      <c r="B25" s="3">
        <v>800.853383821428</v>
      </c>
      <c r="C25" s="3">
        <v>627.96857142857095</v>
      </c>
      <c r="D25" s="3">
        <v>172.88481239285699</v>
      </c>
      <c r="E25" s="3">
        <v>4433.7857142857101</v>
      </c>
      <c r="F25" s="3">
        <v>0</v>
      </c>
      <c r="G25" s="3">
        <v>17583.12</v>
      </c>
      <c r="H25" s="10">
        <v>2.3526231690000001E-3</v>
      </c>
      <c r="I25" s="3">
        <v>124146</v>
      </c>
      <c r="J25" s="3">
        <v>4840.7747470000004</v>
      </c>
      <c r="K25" s="3">
        <v>21.587573441708326</v>
      </c>
      <c r="L25" s="3">
        <v>44.409269276442409</v>
      </c>
      <c r="N25" s="1">
        <f t="shared" si="0"/>
        <v>702</v>
      </c>
      <c r="O25" s="1">
        <f t="shared" si="1"/>
        <v>0.2753080651784211</v>
      </c>
      <c r="P25" s="1">
        <f t="shared" si="9"/>
        <v>1.0855659088650196</v>
      </c>
      <c r="R25" s="1">
        <f t="shared" si="2"/>
        <v>1.3717048084069658E-3</v>
      </c>
      <c r="V25" s="1">
        <f t="shared" si="3"/>
        <v>881</v>
      </c>
      <c r="W25" s="1">
        <f t="shared" si="10"/>
        <v>23.4</v>
      </c>
      <c r="X25" s="1">
        <f t="shared" si="4"/>
        <v>-8.9761582551047964E-3</v>
      </c>
      <c r="Y25" s="1">
        <f t="shared" si="5"/>
        <v>485679.44921217806</v>
      </c>
      <c r="Z25" s="129"/>
      <c r="AA25" s="1">
        <f t="shared" si="6"/>
        <v>30941.351330869416</v>
      </c>
      <c r="AB25" s="127"/>
      <c r="AC25" s="127">
        <f t="shared" si="7"/>
        <v>0</v>
      </c>
      <c r="AD25" s="133"/>
      <c r="AE25" s="3">
        <f>AE24+G25</f>
        <v>548779.853</v>
      </c>
      <c r="AF25" s="122">
        <f t="shared" si="8"/>
        <v>1.5679424371428572</v>
      </c>
      <c r="AG25" s="3"/>
    </row>
    <row r="26" spans="1:38" x14ac:dyDescent="0.3">
      <c r="A26" s="2">
        <v>44986</v>
      </c>
      <c r="B26" s="3">
        <v>839.39409109677399</v>
      </c>
      <c r="C26" s="3">
        <v>638.94648387096697</v>
      </c>
      <c r="D26" s="3">
        <v>200.447607225806</v>
      </c>
      <c r="E26" s="3">
        <v>4320.9677419354803</v>
      </c>
      <c r="F26" s="3">
        <v>0</v>
      </c>
      <c r="G26" s="3">
        <v>19807.341</v>
      </c>
      <c r="H26" s="10">
        <v>2.6502241589999999E-3</v>
      </c>
      <c r="I26" s="3">
        <v>133950</v>
      </c>
      <c r="J26" s="3">
        <v>6213.8758239999997</v>
      </c>
      <c r="K26" s="3">
        <v>23.880035534190664</v>
      </c>
      <c r="L26" s="3">
        <v>42.535679574557733</v>
      </c>
      <c r="N26" s="1">
        <f t="shared" si="0"/>
        <v>730</v>
      </c>
      <c r="O26" s="1">
        <f t="shared" si="1"/>
        <v>0.31371579981381614</v>
      </c>
      <c r="P26" s="1">
        <f t="shared" si="9"/>
        <v>0.65480982489235307</v>
      </c>
      <c r="R26" s="1">
        <f t="shared" si="2"/>
        <v>4.6565767757081951E-4</v>
      </c>
      <c r="V26" s="1">
        <f t="shared" si="3"/>
        <v>853</v>
      </c>
      <c r="W26" s="1">
        <f t="shared" si="10"/>
        <v>24.333333333333332</v>
      </c>
      <c r="X26" s="1">
        <f t="shared" si="4"/>
        <v>-9.3440829250318203E-3</v>
      </c>
      <c r="Y26" s="1">
        <f t="shared" si="5"/>
        <v>638550.7891520483</v>
      </c>
      <c r="Z26" s="129"/>
      <c r="AA26" s="1">
        <f t="shared" si="6"/>
        <v>30115.104405304784</v>
      </c>
      <c r="AB26" s="127"/>
      <c r="AC26" s="127">
        <f t="shared" si="7"/>
        <v>0</v>
      </c>
      <c r="AD26" s="133"/>
      <c r="AE26" s="3">
        <f>AE25+G26</f>
        <v>568587.19400000002</v>
      </c>
      <c r="AF26" s="122">
        <f t="shared" si="8"/>
        <v>1.6245348400000001</v>
      </c>
      <c r="AG26" s="3"/>
    </row>
    <row r="27" spans="1:38" x14ac:dyDescent="0.3">
      <c r="A27" s="2">
        <v>45017</v>
      </c>
      <c r="B27" s="3">
        <v>836.13443700000005</v>
      </c>
      <c r="C27" s="3">
        <v>629.54763333333301</v>
      </c>
      <c r="D27" s="3">
        <v>206.58680366666599</v>
      </c>
      <c r="E27" s="3">
        <v>4356.8</v>
      </c>
      <c r="F27" s="3">
        <v>0</v>
      </c>
      <c r="G27" s="3">
        <v>18886.429</v>
      </c>
      <c r="H27" s="10">
        <v>2.5270060409999999E-3</v>
      </c>
      <c r="I27" s="3">
        <v>130704</v>
      </c>
      <c r="J27" s="3">
        <v>6197.6041100000002</v>
      </c>
      <c r="K27" s="3">
        <v>24.707366964562265</v>
      </c>
      <c r="L27" s="3">
        <v>43.528716794477134</v>
      </c>
      <c r="N27" s="1">
        <f t="shared" si="0"/>
        <v>761</v>
      </c>
      <c r="O27" s="1">
        <f t="shared" si="1"/>
        <v>0.32815118781851155</v>
      </c>
      <c r="P27" s="1">
        <f t="shared" si="9"/>
        <v>-0.20748459260921753</v>
      </c>
      <c r="R27" s="1">
        <f t="shared" si="2"/>
        <v>-1.0362246328638172E-3</v>
      </c>
      <c r="V27" s="1">
        <f t="shared" si="3"/>
        <v>822</v>
      </c>
      <c r="W27" s="1">
        <f t="shared" si="10"/>
        <v>25.366666666666667</v>
      </c>
      <c r="X27" s="1">
        <f t="shared" si="4"/>
        <v>-8.3792445173909314E-3</v>
      </c>
      <c r="Y27" s="1">
        <f t="shared" si="5"/>
        <v>864519.18308142642</v>
      </c>
      <c r="Z27" s="129"/>
      <c r="AA27" s="1">
        <f t="shared" si="6"/>
        <v>29226.042747663443</v>
      </c>
      <c r="AB27" s="127"/>
      <c r="AC27" s="127">
        <f t="shared" si="7"/>
        <v>0</v>
      </c>
      <c r="AD27" s="133"/>
      <c r="AE27" s="3">
        <f>AE26+G27</f>
        <v>587473.62300000002</v>
      </c>
      <c r="AF27" s="122">
        <f t="shared" si="8"/>
        <v>1.678496065714286</v>
      </c>
      <c r="AG27" s="3"/>
    </row>
    <row r="28" spans="1:38" x14ac:dyDescent="0.3">
      <c r="A28" s="2">
        <v>45047</v>
      </c>
      <c r="B28" s="3">
        <v>808.5208564193548</v>
      </c>
      <c r="C28" s="3">
        <v>623.34670967741931</v>
      </c>
      <c r="D28" s="3">
        <v>185.17414674193546</v>
      </c>
      <c r="E28" s="3">
        <v>4310.8709677419356</v>
      </c>
      <c r="F28" s="3">
        <v>0</v>
      </c>
      <c r="G28" s="3">
        <v>19323.748</v>
      </c>
      <c r="H28" s="10">
        <v>2.5855193689999999E-3</v>
      </c>
      <c r="I28" s="3">
        <v>133637</v>
      </c>
      <c r="J28" s="3">
        <v>5740.3985489999995</v>
      </c>
      <c r="K28" s="3">
        <v>22.902828699064674</v>
      </c>
      <c r="L28" s="3">
        <v>43.498290424818208</v>
      </c>
      <c r="N28" s="1">
        <f t="shared" si="0"/>
        <v>791</v>
      </c>
      <c r="O28" s="1">
        <f t="shared" si="1"/>
        <v>0.29706444883259703</v>
      </c>
      <c r="P28" s="1">
        <f t="shared" si="9"/>
        <v>1.3570391108710331</v>
      </c>
      <c r="R28" s="1">
        <f t="shared" si="2"/>
        <v>4.3781936832977316E-3</v>
      </c>
      <c r="V28" s="1">
        <f t="shared" si="3"/>
        <v>792</v>
      </c>
      <c r="W28" s="1">
        <f t="shared" si="10"/>
        <v>26.366666666666667</v>
      </c>
      <c r="X28" s="1">
        <f t="shared" si="4"/>
        <v>-7.6860251747897512E-3</v>
      </c>
      <c r="Y28" s="1">
        <f t="shared" si="5"/>
        <v>1159069.1131550621</v>
      </c>
      <c r="Z28" s="129"/>
      <c r="AA28" s="1">
        <f t="shared" si="6"/>
        <v>28390.659116285078</v>
      </c>
      <c r="AB28" s="127"/>
      <c r="AC28" s="127">
        <f t="shared" si="7"/>
        <v>0</v>
      </c>
      <c r="AD28" s="133"/>
      <c r="AE28" s="3">
        <f>AE27+G28</f>
        <v>606797.37100000004</v>
      </c>
      <c r="AF28" s="122">
        <f t="shared" si="8"/>
        <v>1.7337067742857144</v>
      </c>
      <c r="AG28" s="3"/>
    </row>
    <row r="29" spans="1:38" x14ac:dyDescent="0.3">
      <c r="A29" s="2">
        <v>45078</v>
      </c>
      <c r="B29" s="3">
        <v>1046.3972629000002</v>
      </c>
      <c r="C29" s="3">
        <v>730.32223333333343</v>
      </c>
      <c r="D29" s="3">
        <v>316.07502956666667</v>
      </c>
      <c r="E29" s="3">
        <v>4734.3666666666668</v>
      </c>
      <c r="F29" s="3">
        <v>0</v>
      </c>
      <c r="G29" s="3">
        <v>21909.667000000001</v>
      </c>
      <c r="H29" s="10">
        <v>2.9315155819999998E-3</v>
      </c>
      <c r="I29" s="3">
        <v>142031</v>
      </c>
      <c r="J29" s="3">
        <v>9482.2508870000001</v>
      </c>
      <c r="K29" s="3">
        <v>30.206026025975248</v>
      </c>
      <c r="L29" s="3">
        <v>40.774083138735058</v>
      </c>
      <c r="N29" s="1">
        <f t="shared" si="0"/>
        <v>822</v>
      </c>
      <c r="O29" s="1">
        <f t="shared" si="1"/>
        <v>0.43278845301482671</v>
      </c>
      <c r="P29" s="1">
        <f t="shared" si="9"/>
        <v>1.2166803829553485</v>
      </c>
      <c r="R29" s="1">
        <f t="shared" si="2"/>
        <v>-1.511285723129561E-3</v>
      </c>
      <c r="V29" s="1">
        <f t="shared" si="3"/>
        <v>761</v>
      </c>
      <c r="W29" s="1">
        <f t="shared" si="10"/>
        <v>27.4</v>
      </c>
      <c r="X29" s="1">
        <f t="shared" si="4"/>
        <v>-1.3176563347512977E-2</v>
      </c>
      <c r="Y29" s="1">
        <f t="shared" si="5"/>
        <v>1569236.9344188941</v>
      </c>
      <c r="Z29" s="129"/>
      <c r="AA29" s="1">
        <f t="shared" si="6"/>
        <v>27552.506735481496</v>
      </c>
      <c r="AB29" s="127"/>
      <c r="AC29" s="127">
        <f t="shared" si="7"/>
        <v>0</v>
      </c>
      <c r="AD29" s="133"/>
      <c r="AE29" s="3">
        <f>AE28+G29</f>
        <v>628707.03800000006</v>
      </c>
      <c r="AF29" s="122">
        <f t="shared" si="8"/>
        <v>1.7963058228571429</v>
      </c>
      <c r="AG29" s="3"/>
    </row>
    <row r="30" spans="1:38" x14ac:dyDescent="0.3">
      <c r="A30" s="2">
        <v>45108</v>
      </c>
      <c r="B30" s="3">
        <v>1159.1966522903226</v>
      </c>
      <c r="C30" s="3">
        <v>835.48722580645165</v>
      </c>
      <c r="D30" s="3">
        <v>323.70942648387097</v>
      </c>
      <c r="E30" s="3">
        <v>5152.0322580645161</v>
      </c>
      <c r="F30" s="3">
        <v>0</v>
      </c>
      <c r="G30" s="3">
        <v>25900.103999999999</v>
      </c>
      <c r="H30" s="10">
        <v>3.4654364390000001E-3</v>
      </c>
      <c r="I30" s="3">
        <v>159713</v>
      </c>
      <c r="J30" s="3">
        <v>10034.992221</v>
      </c>
      <c r="K30" s="3">
        <v>27.925324477455227</v>
      </c>
      <c r="L30" s="3">
        <v>38.7860538088959</v>
      </c>
      <c r="N30" s="1">
        <f t="shared" si="0"/>
        <v>852</v>
      </c>
      <c r="O30" s="1">
        <f t="shared" si="1"/>
        <v>0.38744988132093988</v>
      </c>
      <c r="P30" s="1">
        <f t="shared" si="9"/>
        <v>-8.8715735005989685E-2</v>
      </c>
      <c r="R30" s="1">
        <f t="shared" si="2"/>
        <v>1.2576733243372473E-3</v>
      </c>
      <c r="V30" s="1">
        <f t="shared" si="3"/>
        <v>731</v>
      </c>
      <c r="W30" s="1">
        <f t="shared" si="10"/>
        <v>28.4</v>
      </c>
      <c r="X30" s="1">
        <f t="shared" si="4"/>
        <v>-1.744954373548992E-2</v>
      </c>
      <c r="Y30" s="1">
        <f t="shared" si="5"/>
        <v>2103890.9228411689</v>
      </c>
      <c r="Z30" s="129"/>
      <c r="AA30" s="1">
        <f t="shared" si="6"/>
        <v>26764.95868017375</v>
      </c>
      <c r="AB30" s="127"/>
      <c r="AC30" s="127">
        <f t="shared" si="7"/>
        <v>0</v>
      </c>
      <c r="AD30" s="133"/>
      <c r="AE30" s="3">
        <f>AE29+G30</f>
        <v>654607.14200000011</v>
      </c>
      <c r="AF30" s="122">
        <f t="shared" si="8"/>
        <v>1.8703061200000002</v>
      </c>
      <c r="AG30" s="3"/>
    </row>
    <row r="31" spans="1:38" x14ac:dyDescent="0.3">
      <c r="A31" s="2">
        <v>45139</v>
      </c>
      <c r="B31" s="3">
        <v>1010.5341051935485</v>
      </c>
      <c r="C31" s="3">
        <v>708.43196774193552</v>
      </c>
      <c r="D31" s="3">
        <v>302.10213745161292</v>
      </c>
      <c r="E31" s="3">
        <v>3600.7096774193546</v>
      </c>
      <c r="F31" s="3">
        <v>0</v>
      </c>
      <c r="G31" s="3">
        <v>21961.391</v>
      </c>
      <c r="H31" s="10">
        <v>2.9384362580000003E-3</v>
      </c>
      <c r="I31" s="3">
        <v>111622</v>
      </c>
      <c r="J31" s="3">
        <v>9365.1662610000003</v>
      </c>
      <c r="K31" s="3">
        <v>29.895293577820514</v>
      </c>
      <c r="L31" s="3">
        <v>31.968833649926818</v>
      </c>
      <c r="N31" s="1">
        <f t="shared" si="0"/>
        <v>883</v>
      </c>
      <c r="O31" s="1">
        <f t="shared" si="1"/>
        <v>0.42643775437539455</v>
      </c>
      <c r="P31" s="1">
        <f t="shared" si="9"/>
        <v>0.77380213015087607</v>
      </c>
      <c r="R31" s="1">
        <f t="shared" si="2"/>
        <v>4.9571349376307324E-4</v>
      </c>
      <c r="V31" s="1">
        <f t="shared" si="3"/>
        <v>700</v>
      </c>
      <c r="W31" s="1">
        <f t="shared" si="10"/>
        <v>29.433333333333334</v>
      </c>
      <c r="X31" s="1">
        <f t="shared" si="4"/>
        <v>-1.1232367441309801E-2</v>
      </c>
      <c r="Y31" s="1">
        <f t="shared" si="5"/>
        <v>2848409.3870158512</v>
      </c>
      <c r="Z31" s="129"/>
      <c r="AA31" s="1">
        <f t="shared" si="6"/>
        <v>25974.800419035339</v>
      </c>
      <c r="AB31" s="127"/>
      <c r="AC31" s="127">
        <f t="shared" si="7"/>
        <v>0</v>
      </c>
      <c r="AD31" s="133"/>
      <c r="AE31" s="3">
        <f>AE30+G31</f>
        <v>676568.53300000005</v>
      </c>
      <c r="AF31" s="122">
        <f t="shared" si="8"/>
        <v>1.9330529514285717</v>
      </c>
      <c r="AG31" s="3"/>
      <c r="AI31" s="117" t="s">
        <v>141</v>
      </c>
      <c r="AJ31" s="117" t="s">
        <v>164</v>
      </c>
      <c r="AK31" s="117">
        <f>0.029*12</f>
        <v>0.34800000000000003</v>
      </c>
      <c r="AL31" s="117" t="s">
        <v>146</v>
      </c>
    </row>
    <row r="32" spans="1:38" x14ac:dyDescent="0.3">
      <c r="A32" s="2">
        <v>45170</v>
      </c>
      <c r="B32" s="3">
        <v>918.67279220000012</v>
      </c>
      <c r="C32" s="3">
        <v>637.16860000000008</v>
      </c>
      <c r="D32" s="3">
        <v>281.50419219999998</v>
      </c>
      <c r="E32" s="3">
        <v>2867.6333333333332</v>
      </c>
      <c r="F32" s="3">
        <v>0</v>
      </c>
      <c r="G32" s="3">
        <v>19115.058000000001</v>
      </c>
      <c r="H32" s="10">
        <v>2.5575966250000002E-3</v>
      </c>
      <c r="I32" s="3">
        <v>86029</v>
      </c>
      <c r="J32" s="3">
        <v>8445.1257659999992</v>
      </c>
      <c r="K32" s="3">
        <v>30.642487139067786</v>
      </c>
      <c r="L32" s="3">
        <v>28.30779818716741</v>
      </c>
      <c r="N32" s="1">
        <f t="shared" si="0"/>
        <v>914</v>
      </c>
      <c r="O32" s="1">
        <f t="shared" si="1"/>
        <v>0.44180487268204982</v>
      </c>
      <c r="P32" s="1">
        <f t="shared" si="9"/>
        <v>0.28704601162328214</v>
      </c>
      <c r="R32" s="1">
        <f t="shared" si="2"/>
        <v>1.2692774748760961E-4</v>
      </c>
      <c r="V32" s="1">
        <f t="shared" si="3"/>
        <v>669</v>
      </c>
      <c r="W32" s="1">
        <f t="shared" si="10"/>
        <v>30.466666666666665</v>
      </c>
      <c r="X32" s="1">
        <f t="shared" si="4"/>
        <v>-7.3715409905748845E-3</v>
      </c>
      <c r="Y32" s="1">
        <f t="shared" si="5"/>
        <v>3856395.7608046271</v>
      </c>
      <c r="Z32" s="129"/>
      <c r="AA32" s="1">
        <f t="shared" si="6"/>
        <v>25207.969303105929</v>
      </c>
      <c r="AB32" s="127"/>
      <c r="AC32" s="127">
        <f t="shared" si="7"/>
        <v>0</v>
      </c>
      <c r="AD32" s="133"/>
      <c r="AE32" s="3">
        <f>AE31+G32</f>
        <v>695683.59100000001</v>
      </c>
      <c r="AF32" s="122">
        <f t="shared" si="8"/>
        <v>1.9876674028571431</v>
      </c>
      <c r="AG32" s="3"/>
      <c r="AJ32" s="120" t="s">
        <v>171</v>
      </c>
      <c r="AK32" s="120" t="s">
        <v>172</v>
      </c>
    </row>
    <row r="33" spans="1:33" x14ac:dyDescent="0.3">
      <c r="A33" s="2">
        <v>45200</v>
      </c>
      <c r="B33" s="3">
        <v>1076.4241582903223</v>
      </c>
      <c r="C33" s="3">
        <v>744.61448387096766</v>
      </c>
      <c r="D33" s="3">
        <v>331.80967441935485</v>
      </c>
      <c r="E33" s="3">
        <v>4019.5483870967741</v>
      </c>
      <c r="F33" s="3">
        <v>0</v>
      </c>
      <c r="G33" s="3">
        <v>23083.048999999999</v>
      </c>
      <c r="H33" s="10">
        <v>3.0885142080000001E-3</v>
      </c>
      <c r="I33" s="3">
        <v>124606</v>
      </c>
      <c r="J33" s="3">
        <v>10286.099907</v>
      </c>
      <c r="K33" s="3">
        <v>30.825179076839561</v>
      </c>
      <c r="L33" s="3">
        <v>33.953349005150919</v>
      </c>
      <c r="N33" s="1">
        <f t="shared" si="0"/>
        <v>944</v>
      </c>
      <c r="O33" s="1">
        <f t="shared" si="1"/>
        <v>0.44561270510667811</v>
      </c>
      <c r="P33" s="1">
        <f t="shared" si="9"/>
        <v>0.9179692629359778</v>
      </c>
      <c r="R33" s="1">
        <f t="shared" si="2"/>
        <v>1.7903005009702788E-3</v>
      </c>
      <c r="V33" s="1">
        <f t="shared" si="3"/>
        <v>639</v>
      </c>
      <c r="W33" s="1">
        <f t="shared" si="10"/>
        <v>31.466666666666665</v>
      </c>
      <c r="X33" s="1">
        <f t="shared" si="4"/>
        <v>-1.2089574043869027E-2</v>
      </c>
      <c r="Y33" s="1">
        <f t="shared" si="5"/>
        <v>5170306.5726301642</v>
      </c>
      <c r="Z33" s="129"/>
      <c r="AA33" s="1">
        <f t="shared" si="6"/>
        <v>24487.436416805867</v>
      </c>
      <c r="AB33" s="127"/>
      <c r="AC33" s="127">
        <f t="shared" si="7"/>
        <v>0</v>
      </c>
      <c r="AD33" s="133"/>
      <c r="AE33" s="3">
        <f>AE32+G33</f>
        <v>718766.64</v>
      </c>
      <c r="AF33" s="122">
        <f t="shared" si="8"/>
        <v>2.0536189714285715</v>
      </c>
      <c r="AG33" s="3"/>
    </row>
    <row r="34" spans="1:33" x14ac:dyDescent="0.3">
      <c r="A34" s="2">
        <v>45231</v>
      </c>
      <c r="B34" s="3">
        <v>1153.7878235999999</v>
      </c>
      <c r="C34" s="3">
        <v>768.62206666666668</v>
      </c>
      <c r="D34" s="3">
        <v>385.16575693333328</v>
      </c>
      <c r="E34" s="3">
        <v>5214.3</v>
      </c>
      <c r="F34" s="3">
        <v>0</v>
      </c>
      <c r="G34" s="3">
        <v>23058.662</v>
      </c>
      <c r="H34" s="10">
        <v>3.0852512270000002E-3</v>
      </c>
      <c r="I34" s="3">
        <v>156429</v>
      </c>
      <c r="J34" s="3">
        <v>11554.972707999999</v>
      </c>
      <c r="K34" s="3">
        <v>33.382719860186718</v>
      </c>
      <c r="L34" s="3">
        <v>42.669740516600655</v>
      </c>
      <c r="N34" s="1">
        <f t="shared" si="0"/>
        <v>975</v>
      </c>
      <c r="O34" s="1">
        <f t="shared" si="1"/>
        <v>0.50111202063675675</v>
      </c>
      <c r="P34" s="1">
        <f t="shared" si="9"/>
        <v>4.0445763254104579</v>
      </c>
      <c r="R34" s="1">
        <f t="shared" si="2"/>
        <v>6.5919507406980273E-3</v>
      </c>
      <c r="V34" s="1">
        <f t="shared" si="3"/>
        <v>608</v>
      </c>
      <c r="W34" s="1">
        <f t="shared" si="10"/>
        <v>32.5</v>
      </c>
      <c r="X34" s="1">
        <f t="shared" si="4"/>
        <v>-1.2681580657757806E-2</v>
      </c>
      <c r="Y34" s="1">
        <f t="shared" si="5"/>
        <v>6999958.7979311449</v>
      </c>
      <c r="Z34" s="129"/>
      <c r="AA34" s="1">
        <f t="shared" si="6"/>
        <v>23764.515436054509</v>
      </c>
      <c r="AB34" s="127"/>
      <c r="AC34" s="127">
        <f t="shared" si="7"/>
        <v>0</v>
      </c>
      <c r="AD34" s="133"/>
      <c r="AE34" s="3">
        <f>AE33+G34</f>
        <v>741825.30200000003</v>
      </c>
      <c r="AF34" s="122">
        <f t="shared" si="8"/>
        <v>2.119500862857143</v>
      </c>
      <c r="AG34" s="3"/>
    </row>
    <row r="35" spans="1:33" x14ac:dyDescent="0.3">
      <c r="A35" s="2">
        <v>45261</v>
      </c>
      <c r="B35" s="3">
        <v>1244.976778451613</v>
      </c>
      <c r="C35" s="3">
        <v>732.8261612903226</v>
      </c>
      <c r="D35" s="3">
        <v>512.15061716129037</v>
      </c>
      <c r="E35" s="3">
        <v>7968.7741935483873</v>
      </c>
      <c r="F35" s="3">
        <v>0</v>
      </c>
      <c r="G35" s="3">
        <v>22717.611000000001</v>
      </c>
      <c r="H35" s="10">
        <v>3.0396185690000003E-3</v>
      </c>
      <c r="I35" s="3">
        <v>247032</v>
      </c>
      <c r="J35" s="3">
        <v>15876.669132000001</v>
      </c>
      <c r="K35" s="3">
        <v>41.137363043691145</v>
      </c>
      <c r="L35" s="3">
        <v>68.395478450617006</v>
      </c>
      <c r="N35" s="1">
        <f t="shared" si="0"/>
        <v>1005</v>
      </c>
      <c r="O35" s="1">
        <f t="shared" si="1"/>
        <v>0.69887054285769756</v>
      </c>
      <c r="P35" s="1">
        <f t="shared" si="9"/>
        <v>4.4050073529700047</v>
      </c>
      <c r="R35" s="1">
        <f t="shared" si="2"/>
        <v>2.243843121540428E-3</v>
      </c>
      <c r="V35" s="1">
        <f t="shared" si="3"/>
        <v>578</v>
      </c>
      <c r="W35" s="1">
        <f t="shared" si="10"/>
        <v>33.5</v>
      </c>
      <c r="X35" s="1">
        <f t="shared" si="4"/>
        <v>-1.0879417809639391E-2</v>
      </c>
      <c r="Y35" s="1">
        <f t="shared" si="5"/>
        <v>9384911.5147695299</v>
      </c>
      <c r="Z35" s="129"/>
      <c r="AA35" s="1">
        <f t="shared" si="6"/>
        <v>23085.241564654127</v>
      </c>
      <c r="AB35" s="127"/>
      <c r="AC35" s="127">
        <f t="shared" si="7"/>
        <v>0</v>
      </c>
      <c r="AD35" s="133"/>
      <c r="AE35" s="3">
        <f>AE34+G35</f>
        <v>764542.91300000006</v>
      </c>
      <c r="AF35" s="122">
        <f t="shared" si="8"/>
        <v>2.1844083228571431</v>
      </c>
      <c r="AG35" s="3"/>
    </row>
    <row r="36" spans="1:33" x14ac:dyDescent="0.3">
      <c r="A36" s="2">
        <v>45292</v>
      </c>
      <c r="B36" s="3">
        <v>1214.1104905806451</v>
      </c>
      <c r="C36" s="3">
        <v>686.54722580645159</v>
      </c>
      <c r="D36" s="3">
        <v>527.56326477419361</v>
      </c>
      <c r="E36" s="3">
        <v>7450.9354838709678</v>
      </c>
      <c r="F36" s="3">
        <v>0</v>
      </c>
      <c r="G36" s="3">
        <v>21282.964</v>
      </c>
      <c r="H36" s="10">
        <v>2.8476626620000003E-3</v>
      </c>
      <c r="I36" s="3">
        <v>230979</v>
      </c>
      <c r="J36" s="3">
        <v>16354.461208000001</v>
      </c>
      <c r="K36" s="3">
        <v>43.452656810657139</v>
      </c>
      <c r="L36" s="3">
        <v>68.261719288723128</v>
      </c>
      <c r="N36" s="1">
        <f t="shared" si="0"/>
        <v>1036</v>
      </c>
      <c r="O36" s="1">
        <f t="shared" si="1"/>
        <v>0.76842967962545083</v>
      </c>
      <c r="P36" s="1">
        <f t="shared" si="9"/>
        <v>0.1937521586113698</v>
      </c>
      <c r="R36" s="1">
        <f t="shared" si="2"/>
        <v>-1.8696925105390015E-3</v>
      </c>
      <c r="V36" s="1">
        <f t="shared" si="3"/>
        <v>547</v>
      </c>
      <c r="W36" s="1">
        <f t="shared" si="10"/>
        <v>34.533333333333331</v>
      </c>
      <c r="X36" s="1">
        <f t="shared" si="4"/>
        <v>-8.6648744720514391E-3</v>
      </c>
      <c r="Y36" s="1">
        <f t="shared" si="5"/>
        <v>12706015.204858029</v>
      </c>
      <c r="Z36" s="129"/>
      <c r="AA36" s="1">
        <f t="shared" si="6"/>
        <v>22403.71634540545</v>
      </c>
      <c r="AB36" s="127"/>
      <c r="AC36" s="127">
        <f t="shared" si="7"/>
        <v>0</v>
      </c>
      <c r="AD36" s="133"/>
      <c r="AE36" s="3">
        <f>AE35+G36</f>
        <v>785825.87700000009</v>
      </c>
      <c r="AF36" s="122">
        <f t="shared" si="8"/>
        <v>2.2452167914285717</v>
      </c>
      <c r="AG36" s="3"/>
    </row>
    <row r="37" spans="1:33" s="55" customFormat="1" x14ac:dyDescent="0.3">
      <c r="A37" s="59">
        <v>45323</v>
      </c>
      <c r="B37" s="58">
        <v>1226.9101285517243</v>
      </c>
      <c r="C37" s="58">
        <v>717.29448275862069</v>
      </c>
      <c r="D37" s="58">
        <v>509.61564579310345</v>
      </c>
      <c r="E37" s="58">
        <v>7171.0689655172409</v>
      </c>
      <c r="F37" s="58">
        <v>0</v>
      </c>
      <c r="G37" s="58">
        <v>20801.54</v>
      </c>
      <c r="H37" s="60">
        <v>2.783248079E-3</v>
      </c>
      <c r="I37" s="58">
        <v>207961</v>
      </c>
      <c r="J37" s="58">
        <v>14778.853728</v>
      </c>
      <c r="K37" s="58">
        <v>41.536509800817008</v>
      </c>
      <c r="L37" s="58">
        <v>62.881550971706901</v>
      </c>
      <c r="N37" s="55">
        <f t="shared" si="0"/>
        <v>1067</v>
      </c>
      <c r="O37" s="55">
        <f t="shared" si="1"/>
        <v>0.71046921179874178</v>
      </c>
      <c r="P37" s="55">
        <f t="shared" si="9"/>
        <v>-0.604962396757873</v>
      </c>
      <c r="R37" s="55">
        <f t="shared" si="2"/>
        <v>8.2417440877098961E-4</v>
      </c>
      <c r="V37" s="55">
        <f t="shared" si="3"/>
        <v>516</v>
      </c>
      <c r="W37" s="55">
        <f t="shared" si="10"/>
        <v>35.56666666666667</v>
      </c>
      <c r="X37" s="55">
        <f t="shared" si="4"/>
        <v>-9.644942498778987E-3</v>
      </c>
      <c r="Y37" s="55">
        <f t="shared" si="5"/>
        <v>17202380.878286637</v>
      </c>
      <c r="Z37" s="129"/>
      <c r="AA37" s="1">
        <f t="shared" si="6"/>
        <v>21742.31119391396</v>
      </c>
      <c r="AB37" s="127"/>
      <c r="AC37" s="127">
        <f t="shared" si="7"/>
        <v>0</v>
      </c>
      <c r="AD37" s="133"/>
      <c r="AE37" s="3">
        <f>AE36+G37</f>
        <v>806627.41700000013</v>
      </c>
      <c r="AF37" s="122">
        <f t="shared" si="8"/>
        <v>2.3046497628571432</v>
      </c>
      <c r="AG37" s="3"/>
    </row>
    <row r="38" spans="1:33" x14ac:dyDescent="0.3">
      <c r="A38" s="2">
        <v>45352</v>
      </c>
      <c r="B38" s="3">
        <v>1222.5715899354839</v>
      </c>
      <c r="C38" s="3">
        <v>704.90806451612912</v>
      </c>
      <c r="D38" s="3">
        <v>517.66352541935487</v>
      </c>
      <c r="E38" s="3">
        <v>5215.322580645161</v>
      </c>
      <c r="F38" s="3">
        <v>0</v>
      </c>
      <c r="G38" s="3">
        <v>21852.15</v>
      </c>
      <c r="H38" s="10">
        <v>2.9238198030000001E-3</v>
      </c>
      <c r="I38" s="3">
        <v>161675</v>
      </c>
      <c r="J38" s="3">
        <v>16047.569288000001</v>
      </c>
      <c r="K38" s="3">
        <v>42.342185086001585</v>
      </c>
      <c r="L38" s="3">
        <v>46.535623039380553</v>
      </c>
      <c r="N38" s="1">
        <f t="shared" si="0"/>
        <v>1096</v>
      </c>
      <c r="O38" s="1">
        <f t="shared" si="1"/>
        <v>0.73437026965310048</v>
      </c>
      <c r="P38" s="1">
        <f t="shared" si="9"/>
        <v>2.8695696336630525</v>
      </c>
      <c r="R38" s="1">
        <f t="shared" si="2"/>
        <v>4.2931648906171698E-3</v>
      </c>
      <c r="V38" s="1">
        <f t="shared" si="3"/>
        <v>487</v>
      </c>
      <c r="W38" s="1">
        <f t="shared" si="10"/>
        <v>36.533333333333331</v>
      </c>
      <c r="X38" s="1">
        <f t="shared" si="4"/>
        <v>-8.9129390369513169E-3</v>
      </c>
      <c r="Y38" s="1">
        <f t="shared" si="5"/>
        <v>22839088.517636154</v>
      </c>
      <c r="Z38" s="129"/>
      <c r="AA38" s="1">
        <f t="shared" si="6"/>
        <v>21141.2657517308</v>
      </c>
      <c r="AB38" s="127"/>
      <c r="AC38" s="127">
        <f t="shared" si="7"/>
        <v>0</v>
      </c>
      <c r="AD38" s="133"/>
      <c r="AE38" s="3">
        <f>AE37+G38</f>
        <v>828479.56700000016</v>
      </c>
      <c r="AF38" s="122">
        <f t="shared" si="8"/>
        <v>2.3670844771428579</v>
      </c>
      <c r="AG38" s="3"/>
    </row>
    <row r="39" spans="1:33" x14ac:dyDescent="0.3">
      <c r="A39" s="2">
        <v>45383</v>
      </c>
      <c r="B39" s="3">
        <v>1305.2637705000002</v>
      </c>
      <c r="C39" s="3">
        <v>698.952</v>
      </c>
      <c r="D39" s="3">
        <v>606.31177050000008</v>
      </c>
      <c r="E39" s="3">
        <v>4140.833333333333</v>
      </c>
      <c r="F39" s="3">
        <v>0</v>
      </c>
      <c r="G39" s="3">
        <v>20968.560000000001</v>
      </c>
      <c r="H39" s="10">
        <v>2.8055953749999999E-3</v>
      </c>
      <c r="I39" s="3">
        <v>124225</v>
      </c>
      <c r="J39" s="3">
        <v>18189.353115000002</v>
      </c>
      <c r="K39" s="3">
        <v>46.451283196785859</v>
      </c>
      <c r="L39" s="3">
        <v>37.262950102439078</v>
      </c>
      <c r="N39" s="1">
        <f t="shared" si="0"/>
        <v>1127</v>
      </c>
      <c r="O39" s="1">
        <f t="shared" si="1"/>
        <v>0.86745838126223274</v>
      </c>
      <c r="P39" s="1">
        <f t="shared" si="9"/>
        <v>0.10671326960249997</v>
      </c>
      <c r="R39" s="1">
        <f t="shared" si="2"/>
        <v>-4.2436057691913427E-3</v>
      </c>
      <c r="V39" s="1">
        <f t="shared" si="3"/>
        <v>456</v>
      </c>
      <c r="W39" s="1">
        <f t="shared" si="10"/>
        <v>37.56666666666667</v>
      </c>
      <c r="X39" s="1">
        <f t="shared" si="4"/>
        <v>-8.4419002785500585E-3</v>
      </c>
      <c r="Y39" s="1">
        <f t="shared" si="5"/>
        <v>30921315.082565255</v>
      </c>
      <c r="Z39" s="129"/>
      <c r="AA39" s="1">
        <f t="shared" si="6"/>
        <v>20517.130815291424</v>
      </c>
      <c r="AB39" s="127"/>
      <c r="AC39" s="127">
        <f t="shared" si="7"/>
        <v>0</v>
      </c>
      <c r="AD39" s="133"/>
      <c r="AE39" s="3">
        <f>AE38+G39</f>
        <v>849448.12700000021</v>
      </c>
      <c r="AF39" s="122">
        <f t="shared" si="8"/>
        <v>2.4269946485714291</v>
      </c>
      <c r="AG39" s="3"/>
    </row>
    <row r="40" spans="1:33" x14ac:dyDescent="0.3">
      <c r="A40" s="2">
        <v>45413</v>
      </c>
      <c r="B40" s="3">
        <v>1129.787807419355</v>
      </c>
      <c r="C40" s="3">
        <v>649.24729032258062</v>
      </c>
      <c r="D40" s="3">
        <v>480.54051709677418</v>
      </c>
      <c r="E40" s="3">
        <v>4201.322580645161</v>
      </c>
      <c r="F40" s="3">
        <v>0</v>
      </c>
      <c r="G40" s="3">
        <v>20126.666000000001</v>
      </c>
      <c r="H40" s="10">
        <v>2.692949876E-3</v>
      </c>
      <c r="I40" s="3">
        <v>130241</v>
      </c>
      <c r="J40" s="3">
        <v>14896.75603</v>
      </c>
      <c r="K40" s="3">
        <v>42.533696499559326</v>
      </c>
      <c r="L40" s="3">
        <v>40.701715912610659</v>
      </c>
      <c r="N40" s="1">
        <f t="shared" si="0"/>
        <v>1157</v>
      </c>
      <c r="O40" s="1">
        <f t="shared" si="1"/>
        <v>0.74015020818649246</v>
      </c>
      <c r="P40" s="1">
        <f t="shared" si="9"/>
        <v>0.45725152861213902</v>
      </c>
      <c r="R40" s="1">
        <f t="shared" si="2"/>
        <v>4.8842196515109185E-3</v>
      </c>
      <c r="V40" s="1">
        <f t="shared" si="3"/>
        <v>426</v>
      </c>
      <c r="W40" s="1">
        <f t="shared" si="10"/>
        <v>38.56666666666667</v>
      </c>
      <c r="X40" s="1">
        <f t="shared" si="4"/>
        <v>-6.3102591296499491E-3</v>
      </c>
      <c r="Y40" s="1">
        <f t="shared" si="5"/>
        <v>41456502.009119093</v>
      </c>
      <c r="Z40" s="129"/>
      <c r="AA40" s="1">
        <f t="shared" si="6"/>
        <v>19930.678677589225</v>
      </c>
      <c r="AB40" s="127"/>
      <c r="AC40" s="127">
        <f t="shared" si="7"/>
        <v>0</v>
      </c>
      <c r="AD40" s="133"/>
      <c r="AE40" s="3">
        <f>AE39+G40</f>
        <v>869574.79300000018</v>
      </c>
      <c r="AF40" s="122">
        <f t="shared" si="8"/>
        <v>2.4844994085714291</v>
      </c>
      <c r="AG40" s="3"/>
    </row>
    <row r="41" spans="1:33" x14ac:dyDescent="0.3">
      <c r="A41" s="2">
        <v>45444</v>
      </c>
      <c r="B41" s="3">
        <v>1146.7576688000001</v>
      </c>
      <c r="C41" s="3">
        <v>606.24936666666667</v>
      </c>
      <c r="D41" s="3">
        <v>540.50830213333336</v>
      </c>
      <c r="E41" s="3">
        <v>4206.8666666666668</v>
      </c>
      <c r="F41" s="3">
        <v>0</v>
      </c>
      <c r="G41" s="3">
        <v>18187.481</v>
      </c>
      <c r="H41" s="10">
        <v>2.433486728E-3</v>
      </c>
      <c r="I41" s="3">
        <v>126206</v>
      </c>
      <c r="J41" s="3">
        <v>16215.249064</v>
      </c>
      <c r="K41" s="3">
        <v>47.133611297226956</v>
      </c>
      <c r="L41" s="3">
        <v>43.645983674154763</v>
      </c>
      <c r="N41" s="1">
        <f t="shared" si="0"/>
        <v>1188</v>
      </c>
      <c r="O41" s="1">
        <f t="shared" si="1"/>
        <v>0.89156101738333093</v>
      </c>
      <c r="P41" s="1">
        <f t="shared" si="9"/>
        <v>5.9101499845590624</v>
      </c>
      <c r="R41" s="1">
        <f t="shared" si="2"/>
        <v>5.0750349509370444E-3</v>
      </c>
      <c r="V41" s="1">
        <f t="shared" si="3"/>
        <v>395</v>
      </c>
      <c r="W41" s="1">
        <f t="shared" si="10"/>
        <v>39.6</v>
      </c>
      <c r="X41" s="1">
        <f t="shared" si="4"/>
        <v>-4.4152368946233592E-3</v>
      </c>
      <c r="Y41" s="1">
        <f t="shared" si="5"/>
        <v>56127001.734552875</v>
      </c>
      <c r="Z41" s="129"/>
      <c r="AA41" s="1">
        <f t="shared" si="6"/>
        <v>19342.282835272534</v>
      </c>
      <c r="AB41" s="127"/>
      <c r="AC41" s="127">
        <f t="shared" si="7"/>
        <v>0</v>
      </c>
      <c r="AD41" s="133"/>
      <c r="AE41" s="3">
        <f>AE40+G41</f>
        <v>887762.27400000021</v>
      </c>
      <c r="AF41" s="122">
        <f t="shared" si="8"/>
        <v>2.5364636400000005</v>
      </c>
      <c r="AG41" s="3"/>
    </row>
    <row r="42" spans="1:33" x14ac:dyDescent="0.3">
      <c r="A42" s="2">
        <v>45474</v>
      </c>
      <c r="B42" s="3">
        <v>1224.0778127741937</v>
      </c>
      <c r="C42" s="3">
        <v>598.91896774193549</v>
      </c>
      <c r="D42" s="3">
        <v>625.15884503225811</v>
      </c>
      <c r="E42" s="3">
        <v>4135.5161290322585</v>
      </c>
      <c r="F42" s="3">
        <v>0</v>
      </c>
      <c r="G42" s="3">
        <v>18566.488000000001</v>
      </c>
      <c r="H42" s="10">
        <v>2.4841979019999999E-3</v>
      </c>
      <c r="I42" s="3">
        <v>128201</v>
      </c>
      <c r="J42" s="3">
        <v>19379.924196</v>
      </c>
      <c r="K42" s="3">
        <v>51.071822273734938</v>
      </c>
      <c r="L42" s="3">
        <v>43.430865858960509</v>
      </c>
      <c r="N42" s="1">
        <f t="shared" si="0"/>
        <v>1218</v>
      </c>
      <c r="O42" s="1">
        <f t="shared" si="1"/>
        <v>1.0438120659114423</v>
      </c>
      <c r="P42" s="1">
        <f t="shared" si="9"/>
        <v>2.0992220670547068</v>
      </c>
      <c r="R42" s="1">
        <f t="shared" si="2"/>
        <v>-1.5206057989745989E-3</v>
      </c>
      <c r="V42" s="1">
        <f t="shared" si="3"/>
        <v>365</v>
      </c>
      <c r="W42" s="1">
        <f t="shared" si="10"/>
        <v>40.6</v>
      </c>
      <c r="X42" s="1">
        <f t="shared" si="4"/>
        <v>-4.0068545119469013E-3</v>
      </c>
      <c r="Y42" s="1">
        <f t="shared" si="5"/>
        <v>75250006.474863246</v>
      </c>
      <c r="Z42" s="129"/>
      <c r="AA42" s="1">
        <f t="shared" si="6"/>
        <v>18789.412006553543</v>
      </c>
      <c r="AB42" s="127"/>
      <c r="AC42" s="127">
        <f t="shared" si="7"/>
        <v>0</v>
      </c>
      <c r="AD42" s="133"/>
      <c r="AE42" s="3">
        <f>AE41+G42</f>
        <v>906328.76200000022</v>
      </c>
      <c r="AF42" s="122">
        <f t="shared" si="8"/>
        <v>2.589510748571429</v>
      </c>
      <c r="AG42" s="3"/>
    </row>
    <row r="43" spans="1:33" x14ac:dyDescent="0.3">
      <c r="A43" s="2">
        <v>45505</v>
      </c>
      <c r="B43" s="3">
        <v>1205.8439415483872</v>
      </c>
      <c r="C43" s="3">
        <v>603.92651612903228</v>
      </c>
      <c r="D43" s="3">
        <v>601.9174254193548</v>
      </c>
      <c r="E43" s="3">
        <v>3948.9354838709678</v>
      </c>
      <c r="F43" s="3">
        <v>0</v>
      </c>
      <c r="G43" s="3">
        <v>18721.722000000002</v>
      </c>
      <c r="H43" s="10">
        <v>2.5049682320000002E-3</v>
      </c>
      <c r="I43" s="1">
        <v>122417</v>
      </c>
      <c r="J43" s="3">
        <v>18659.440188</v>
      </c>
      <c r="K43" s="3">
        <v>49.916693585278637</v>
      </c>
      <c r="L43" s="3">
        <v>41.127544068862889</v>
      </c>
      <c r="N43" s="1">
        <f t="shared" si="0"/>
        <v>1249</v>
      </c>
      <c r="O43" s="1">
        <f t="shared" si="1"/>
        <v>0.9966732861432297</v>
      </c>
      <c r="P43" s="1">
        <f t="shared" si="9"/>
        <v>-1.6128524581389911</v>
      </c>
      <c r="R43" s="1">
        <f t="shared" si="2"/>
        <v>-1.0625547559467501E-3</v>
      </c>
      <c r="V43" s="1">
        <f t="shared" si="3"/>
        <v>334</v>
      </c>
      <c r="W43" s="1">
        <f t="shared" si="10"/>
        <v>41.633333333333333</v>
      </c>
      <c r="X43" s="1">
        <f t="shared" si="4"/>
        <v>-4.1073942020377939E-3</v>
      </c>
      <c r="Y43" s="1">
        <f t="shared" si="5"/>
        <v>101879247.86830105</v>
      </c>
      <c r="Z43" s="129"/>
      <c r="AA43" s="1">
        <f t="shared" si="6"/>
        <v>18234.708773258091</v>
      </c>
      <c r="AB43" s="127"/>
      <c r="AC43" s="127">
        <f t="shared" si="7"/>
        <v>0</v>
      </c>
      <c r="AD43" s="133"/>
      <c r="AE43" s="3">
        <f>AE42+G43</f>
        <v>925050.48400000017</v>
      </c>
      <c r="AF43" s="122">
        <f t="shared" si="8"/>
        <v>2.6430013828571433</v>
      </c>
      <c r="AG43" s="3"/>
    </row>
    <row r="44" spans="1:33" x14ac:dyDescent="0.3">
      <c r="A44" s="2">
        <v>45536</v>
      </c>
      <c r="B44" s="3">
        <v>1165.0780018333332</v>
      </c>
      <c r="C44" s="3">
        <v>593.29723333333334</v>
      </c>
      <c r="D44" s="3">
        <v>571.78076850000002</v>
      </c>
      <c r="E44" s="3">
        <v>3824.8</v>
      </c>
      <c r="F44" s="3">
        <v>0</v>
      </c>
      <c r="G44" s="3">
        <v>17798.917000000001</v>
      </c>
      <c r="H44" s="10">
        <v>2.381496831E-3</v>
      </c>
      <c r="I44" s="1">
        <v>114744</v>
      </c>
      <c r="J44" s="3">
        <v>17153.423054999999</v>
      </c>
      <c r="K44" s="3">
        <v>49.076608398773487</v>
      </c>
      <c r="L44" s="3">
        <v>40.54835534094574</v>
      </c>
      <c r="N44" s="1">
        <f t="shared" si="0"/>
        <v>1280</v>
      </c>
      <c r="O44" s="1">
        <f t="shared" si="1"/>
        <v>0.96373408870888044</v>
      </c>
      <c r="P44" s="1">
        <f t="shared" si="9"/>
        <v>3.090654412559081E-2</v>
      </c>
      <c r="R44" s="1">
        <f t="shared" si="2"/>
        <v>1.1470980727123492E-3</v>
      </c>
      <c r="V44" s="1">
        <f t="shared" si="3"/>
        <v>303</v>
      </c>
      <c r="W44" s="1">
        <f t="shared" si="10"/>
        <v>42.666666666666664</v>
      </c>
      <c r="X44" s="1">
        <f t="shared" si="4"/>
        <v>-3.5917381293721221E-3</v>
      </c>
      <c r="Y44" s="1">
        <f t="shared" si="5"/>
        <v>137931963.49661267</v>
      </c>
      <c r="Z44" s="129"/>
      <c r="AA44" s="1">
        <f t="shared" si="6"/>
        <v>17696.381554120035</v>
      </c>
      <c r="AB44" s="127"/>
      <c r="AC44" s="127">
        <f t="shared" si="7"/>
        <v>0</v>
      </c>
      <c r="AD44" s="133"/>
      <c r="AE44" s="3">
        <f>AE43+G44</f>
        <v>942849.40100000019</v>
      </c>
      <c r="AF44" s="122">
        <f t="shared" si="8"/>
        <v>2.6938554314285721</v>
      </c>
      <c r="AG44" s="3"/>
    </row>
    <row r="45" spans="1:33" x14ac:dyDescent="0.3">
      <c r="A45" s="2">
        <v>45566</v>
      </c>
      <c r="B45" s="3">
        <v>1106.1801907419356</v>
      </c>
      <c r="C45" s="3">
        <v>553.60299999999995</v>
      </c>
      <c r="D45" s="3">
        <v>552.57719074193551</v>
      </c>
      <c r="E45" s="3">
        <v>3571.2580645161293</v>
      </c>
      <c r="F45" s="3">
        <v>0</v>
      </c>
      <c r="G45" s="3">
        <v>17161.692999999999</v>
      </c>
      <c r="H45" s="10">
        <v>2.2962361959999998E-3</v>
      </c>
      <c r="I45" s="1">
        <v>110709</v>
      </c>
      <c r="J45" s="3">
        <v>17129.892913</v>
      </c>
      <c r="K45" s="3">
        <v>49.953632813774377</v>
      </c>
      <c r="L45" s="3">
        <v>40.575103412000203</v>
      </c>
      <c r="N45" s="1">
        <f t="shared" si="0"/>
        <v>1310</v>
      </c>
      <c r="O45" s="1">
        <f t="shared" si="1"/>
        <v>0.99814703089025092</v>
      </c>
      <c r="P45" s="1">
        <f t="shared" si="9"/>
        <v>1.2441442641789326</v>
      </c>
      <c r="R45" s="1">
        <f t="shared" si="2"/>
        <v>7.5834996500732542E-4</v>
      </c>
      <c r="V45" s="1">
        <f t="shared" si="3"/>
        <v>273</v>
      </c>
      <c r="W45" s="1">
        <f t="shared" si="10"/>
        <v>43.666666666666664</v>
      </c>
      <c r="X45" s="1">
        <f t="shared" si="4"/>
        <v>-1.9236596980167552E-3</v>
      </c>
      <c r="Y45" s="1">
        <f t="shared" si="5"/>
        <v>184926698.8338156</v>
      </c>
      <c r="Z45" s="129"/>
      <c r="AA45" s="1">
        <f t="shared" si="6"/>
        <v>17190.556403155329</v>
      </c>
      <c r="AB45" s="127"/>
      <c r="AC45" s="127">
        <f t="shared" si="7"/>
        <v>0</v>
      </c>
      <c r="AD45" s="133"/>
      <c r="AE45" s="3">
        <f>AE44+G45</f>
        <v>960011.09400000016</v>
      </c>
      <c r="AF45" s="122">
        <f t="shared" si="8"/>
        <v>2.7428888400000004</v>
      </c>
      <c r="AG45" s="3"/>
    </row>
    <row r="46" spans="1:33" x14ac:dyDescent="0.3">
      <c r="A46" s="2">
        <v>45597</v>
      </c>
      <c r="B46" s="3">
        <v>1106.5992374</v>
      </c>
      <c r="C46" s="3">
        <v>547.37270000000001</v>
      </c>
      <c r="D46" s="3">
        <v>559.22653739999998</v>
      </c>
      <c r="E46" s="3">
        <v>3353.3333333333335</v>
      </c>
      <c r="F46" s="3">
        <v>0</v>
      </c>
      <c r="G46" s="3">
        <v>16421.181</v>
      </c>
      <c r="H46" s="10">
        <v>2.1971556209999998E-3</v>
      </c>
      <c r="I46" s="1">
        <v>100600</v>
      </c>
      <c r="J46" s="3">
        <v>16776.796122</v>
      </c>
      <c r="K46" s="3">
        <v>50.535597576763699</v>
      </c>
      <c r="L46" s="3">
        <v>38.532787623496752</v>
      </c>
      <c r="N46" s="1">
        <f t="shared" si="0"/>
        <v>1341</v>
      </c>
      <c r="O46" s="1">
        <f t="shared" si="1"/>
        <v>1.021655879805478</v>
      </c>
      <c r="P46" s="1">
        <f t="shared" si="9"/>
        <v>0.43213623477401075</v>
      </c>
      <c r="R46" s="1">
        <f t="shared" si="2"/>
        <v>-1.2803062171610571E-4</v>
      </c>
      <c r="V46" s="1">
        <f t="shared" si="3"/>
        <v>242</v>
      </c>
      <c r="W46" s="1">
        <f t="shared" si="10"/>
        <v>44.7</v>
      </c>
      <c r="X46" s="1">
        <f t="shared" si="4"/>
        <v>-1.6259934382469381E-3</v>
      </c>
      <c r="Y46" s="1">
        <f t="shared" si="5"/>
        <v>250367991.58615926</v>
      </c>
      <c r="Z46" s="129"/>
      <c r="AA46" s="1">
        <f t="shared" si="6"/>
        <v>16683.054773213305</v>
      </c>
      <c r="AB46" s="127"/>
      <c r="AC46" s="127">
        <f t="shared" si="7"/>
        <v>0</v>
      </c>
      <c r="AD46" s="133"/>
      <c r="AE46" s="3">
        <f>AE45+G46</f>
        <v>976432.27500000014</v>
      </c>
      <c r="AF46" s="122">
        <f t="shared" si="8"/>
        <v>2.7898065000000005</v>
      </c>
      <c r="AG46" s="3"/>
    </row>
    <row r="47" spans="1:33" x14ac:dyDescent="0.3">
      <c r="A47" s="2">
        <v>45627</v>
      </c>
      <c r="B47" s="3">
        <v>1059.1371436774193</v>
      </c>
      <c r="C47" s="3">
        <v>524.89309677419351</v>
      </c>
      <c r="D47" s="3">
        <v>534.24404690322581</v>
      </c>
      <c r="E47" s="3">
        <v>2686.3225806451615</v>
      </c>
      <c r="F47" s="3">
        <v>0</v>
      </c>
      <c r="G47" s="3">
        <v>16271.686</v>
      </c>
      <c r="H47" s="10">
        <v>2.177153177E-3</v>
      </c>
      <c r="I47" s="1">
        <v>83276</v>
      </c>
      <c r="J47" s="3">
        <v>16561.565454</v>
      </c>
      <c r="K47" s="3">
        <v>50.441441893755368</v>
      </c>
      <c r="L47" s="3">
        <v>32.190234300243993</v>
      </c>
      <c r="N47" s="1">
        <f t="shared" si="0"/>
        <v>1371</v>
      </c>
      <c r="O47" s="1">
        <f t="shared" si="1"/>
        <v>1.0178149611539948</v>
      </c>
      <c r="P47" s="1">
        <f t="shared" si="9"/>
        <v>3.6891268667038548</v>
      </c>
      <c r="R47" s="1">
        <f t="shared" si="2"/>
        <v>5.4177005852726031E-3</v>
      </c>
      <c r="V47" s="1">
        <f t="shared" si="3"/>
        <v>212</v>
      </c>
      <c r="W47" s="1">
        <f t="shared" si="10"/>
        <v>45.7</v>
      </c>
      <c r="X47" s="1">
        <f t="shared" si="4"/>
        <v>-6.7279212504736186E-4</v>
      </c>
      <c r="Y47" s="1">
        <f t="shared" si="5"/>
        <v>335670753.92802608</v>
      </c>
      <c r="Z47" s="129"/>
      <c r="AA47" s="1">
        <f t="shared" si="6"/>
        <v>16206.194084297586</v>
      </c>
      <c r="AB47" s="127"/>
      <c r="AC47" s="127">
        <f t="shared" si="7"/>
        <v>0</v>
      </c>
      <c r="AD47" s="133"/>
      <c r="AE47" s="3">
        <f>AE46+G47</f>
        <v>992703.96100000013</v>
      </c>
      <c r="AF47" s="122">
        <f t="shared" si="8"/>
        <v>2.8362970314285718</v>
      </c>
      <c r="AG47" s="3"/>
    </row>
    <row r="48" spans="1:33" x14ac:dyDescent="0.3">
      <c r="A48" s="2">
        <v>45658</v>
      </c>
      <c r="B48" s="3">
        <v>1111.332716967742</v>
      </c>
      <c r="C48" s="3">
        <v>508.44138709677424</v>
      </c>
      <c r="D48" s="3">
        <v>602.89132987096775</v>
      </c>
      <c r="E48" s="3">
        <v>2414.7419354838707</v>
      </c>
      <c r="F48" s="3">
        <v>0</v>
      </c>
      <c r="G48" s="3">
        <v>15761.683000000001</v>
      </c>
      <c r="H48" s="10">
        <v>2.1089147250000001E-3</v>
      </c>
      <c r="I48" s="1">
        <v>74857</v>
      </c>
      <c r="J48" s="3">
        <v>18689.631226000001</v>
      </c>
      <c r="K48" s="3">
        <v>54.249399902123784</v>
      </c>
      <c r="L48" s="3">
        <v>29.872162674506267</v>
      </c>
      <c r="N48" s="1">
        <f t="shared" si="0"/>
        <v>1402</v>
      </c>
      <c r="O48" s="1">
        <f t="shared" si="1"/>
        <v>1.1857636792974455</v>
      </c>
      <c r="P48" s="1">
        <f t="shared" si="9"/>
        <v>6.963749743775872</v>
      </c>
      <c r="R48" s="1">
        <f t="shared" si="2"/>
        <v>4.5179412906512202E-3</v>
      </c>
      <c r="V48" s="1">
        <f t="shared" si="3"/>
        <v>181</v>
      </c>
      <c r="W48" s="1">
        <f t="shared" si="10"/>
        <v>46.733333333333334</v>
      </c>
      <c r="X48" s="1">
        <f t="shared" si="4"/>
        <v>2.3496590269749955E-5</v>
      </c>
      <c r="Y48" s="1">
        <f t="shared" si="5"/>
        <v>454456890.35251349</v>
      </c>
      <c r="Z48" s="129"/>
      <c r="AA48" s="1">
        <f t="shared" si="6"/>
        <v>15727.752914619792</v>
      </c>
      <c r="AB48" s="127"/>
      <c r="AC48" s="127">
        <f t="shared" si="7"/>
        <v>0</v>
      </c>
      <c r="AD48" s="133"/>
      <c r="AE48" s="3">
        <f>AE47+G48</f>
        <v>1008465.6440000001</v>
      </c>
      <c r="AF48" s="122">
        <f t="shared" si="8"/>
        <v>2.8813304114285718</v>
      </c>
      <c r="AG48" s="3"/>
    </row>
    <row r="49" spans="1:33" x14ac:dyDescent="0.3">
      <c r="A49" s="2">
        <v>45689</v>
      </c>
      <c r="B49" s="3">
        <v>1148.4491446785714</v>
      </c>
      <c r="C49" s="3">
        <v>493.78249999999997</v>
      </c>
      <c r="D49" s="3">
        <v>654.6666446785714</v>
      </c>
      <c r="E49" s="3">
        <v>2481.3571428571427</v>
      </c>
      <c r="F49" s="3">
        <v>0</v>
      </c>
      <c r="G49" s="3">
        <v>13825.91</v>
      </c>
      <c r="H49" s="10">
        <v>1.8499081069999999E-3</v>
      </c>
      <c r="I49" s="1">
        <v>69478</v>
      </c>
      <c r="J49" s="3">
        <v>18330.666051</v>
      </c>
      <c r="K49" s="3">
        <v>57.004408746527467</v>
      </c>
      <c r="L49" s="3">
        <v>31.6075198232883</v>
      </c>
      <c r="N49" s="1">
        <f t="shared" si="0"/>
        <v>1433</v>
      </c>
      <c r="O49" s="1">
        <f t="shared" si="1"/>
        <v>1.3258198593076334</v>
      </c>
      <c r="P49" s="1">
        <f t="shared" si="9"/>
        <v>8.6382523391463746</v>
      </c>
      <c r="R49" s="1">
        <f t="shared" si="2"/>
        <v>7.7151497346269705E-3</v>
      </c>
      <c r="V49" s="1">
        <f t="shared" si="3"/>
        <v>150</v>
      </c>
      <c r="W49" s="1">
        <f t="shared" si="10"/>
        <v>47.766666666666666</v>
      </c>
      <c r="X49" s="1">
        <f t="shared" si="4"/>
        <v>6.3544060816340833E-4</v>
      </c>
      <c r="Y49" s="1">
        <f t="shared" si="5"/>
        <v>615278700.25030577</v>
      </c>
      <c r="Z49" s="129"/>
      <c r="AA49" s="1">
        <f t="shared" si="6"/>
        <v>15263.436341479099</v>
      </c>
      <c r="AB49" s="127"/>
      <c r="AC49" s="127">
        <f t="shared" si="7"/>
        <v>0</v>
      </c>
      <c r="AD49" s="133"/>
      <c r="AE49" s="3">
        <f>AE48+G49</f>
        <v>1022291.5540000001</v>
      </c>
      <c r="AF49" s="122">
        <f t="shared" si="8"/>
        <v>2.9208330114285719</v>
      </c>
      <c r="AG49" s="3"/>
    </row>
    <row r="50" spans="1:33" x14ac:dyDescent="0.3">
      <c r="A50" s="2">
        <v>45717</v>
      </c>
      <c r="B50" s="3">
        <v>1236.3071116451613</v>
      </c>
      <c r="C50" s="3">
        <v>486.38196774193551</v>
      </c>
      <c r="D50" s="3">
        <v>749.92514390322583</v>
      </c>
      <c r="E50" s="3">
        <v>2489.8387096774195</v>
      </c>
      <c r="F50" s="3">
        <v>0</v>
      </c>
      <c r="G50" s="3">
        <v>15077.841</v>
      </c>
      <c r="H50" s="10">
        <v>2.017416597E-3</v>
      </c>
      <c r="I50" s="1">
        <v>77185</v>
      </c>
      <c r="J50" s="3">
        <v>23247.679461</v>
      </c>
      <c r="K50" s="3">
        <v>60.658483384868333</v>
      </c>
      <c r="L50" s="3">
        <v>32.198125248833705</v>
      </c>
      <c r="N50" s="1">
        <f t="shared" si="0"/>
        <v>1461</v>
      </c>
      <c r="O50" s="1">
        <f t="shared" si="1"/>
        <v>1.5418440518771885</v>
      </c>
      <c r="P50" s="1">
        <f t="shared" si="9"/>
        <v>5.5066709776813667</v>
      </c>
      <c r="R50" s="1">
        <f t="shared" si="2"/>
        <v>1.9856144731664462E-4</v>
      </c>
      <c r="V50" s="1">
        <f t="shared" si="3"/>
        <v>122</v>
      </c>
      <c r="W50" s="1">
        <f t="shared" si="10"/>
        <v>48.7</v>
      </c>
      <c r="X50" s="1">
        <f t="shared" si="4"/>
        <v>9.3334208387605268E-4</v>
      </c>
      <c r="Y50" s="1">
        <f t="shared" si="5"/>
        <v>808942400.65249324</v>
      </c>
      <c r="Z50" s="129"/>
      <c r="AA50" s="1">
        <f t="shared" si="6"/>
        <v>14855.846924461084</v>
      </c>
      <c r="AB50" s="127"/>
      <c r="AC50" s="127">
        <f t="shared" si="7"/>
        <v>0</v>
      </c>
      <c r="AD50" s="133"/>
      <c r="AE50" s="3">
        <f>AE49+G50</f>
        <v>1037369.3950000001</v>
      </c>
      <c r="AF50" s="122">
        <f t="shared" si="8"/>
        <v>2.9639125571428577</v>
      </c>
      <c r="AG50" s="3"/>
    </row>
    <row r="51" spans="1:33" x14ac:dyDescent="0.3">
      <c r="A51" s="2">
        <v>45748</v>
      </c>
      <c r="B51" s="3">
        <v>1113.1496186666666</v>
      </c>
      <c r="C51" s="3">
        <v>436.87200000000001</v>
      </c>
      <c r="D51" s="3">
        <v>676.27761866666674</v>
      </c>
      <c r="E51" s="3">
        <v>2541.2333333333331</v>
      </c>
      <c r="F51" s="3">
        <v>0</v>
      </c>
      <c r="G51" s="3">
        <v>13106.16</v>
      </c>
      <c r="H51" s="10">
        <v>1.7536054899999999E-3</v>
      </c>
      <c r="I51" s="1">
        <v>76237</v>
      </c>
      <c r="J51" s="3">
        <v>20288.328560000002</v>
      </c>
      <c r="K51" s="3">
        <v>60.753523814409938</v>
      </c>
      <c r="L51" s="3">
        <v>36.58703102968375</v>
      </c>
      <c r="N51" s="1">
        <f t="shared" si="0"/>
        <v>1492</v>
      </c>
      <c r="O51" s="1">
        <f t="shared" si="1"/>
        <v>1.5479994567440045</v>
      </c>
      <c r="P51" s="1">
        <f t="shared" si="9"/>
        <v>-1.7848585485799822</v>
      </c>
      <c r="R51" s="1">
        <f t="shared" si="2"/>
        <v>-2.6387828342542348E-3</v>
      </c>
      <c r="V51" s="1">
        <f t="shared" si="3"/>
        <v>91</v>
      </c>
      <c r="W51" s="1">
        <f t="shared" si="10"/>
        <v>49.733333333333334</v>
      </c>
      <c r="X51" s="1">
        <f t="shared" si="4"/>
        <v>3.0725423030592896E-3</v>
      </c>
      <c r="Y51" s="1">
        <f t="shared" si="5"/>
        <v>1095208455.2282908</v>
      </c>
      <c r="Z51" s="129"/>
      <c r="AA51" s="1">
        <f t="shared" si="6"/>
        <v>14417.270862609515</v>
      </c>
      <c r="AB51" s="127"/>
      <c r="AC51" s="127">
        <f t="shared" si="7"/>
        <v>0</v>
      </c>
      <c r="AD51" s="133"/>
      <c r="AE51" s="3">
        <f>AE50+G51</f>
        <v>1050475.5550000002</v>
      </c>
      <c r="AF51" s="122">
        <f t="shared" si="8"/>
        <v>3.0013587285714292</v>
      </c>
      <c r="AG51" s="3"/>
    </row>
    <row r="52" spans="1:33" x14ac:dyDescent="0.3">
      <c r="A52" s="2">
        <v>45778</v>
      </c>
      <c r="B52" s="3">
        <v>1142.7477170322582</v>
      </c>
      <c r="C52" s="3">
        <v>462.86903225806452</v>
      </c>
      <c r="D52" s="3">
        <v>679.87868477419352</v>
      </c>
      <c r="E52" s="3">
        <v>2326.7096774193546</v>
      </c>
      <c r="F52" s="3">
        <v>0</v>
      </c>
      <c r="G52" s="3">
        <v>14348.94</v>
      </c>
      <c r="H52" s="10">
        <v>1.919889571E-3</v>
      </c>
      <c r="I52" s="1">
        <v>72128</v>
      </c>
      <c r="J52" s="3">
        <v>21076.239227999999</v>
      </c>
      <c r="K52" s="3">
        <v>59.495081428808625</v>
      </c>
      <c r="L52" s="3">
        <v>31.617018009692696</v>
      </c>
      <c r="N52" s="1">
        <f t="shared" si="0"/>
        <v>1522</v>
      </c>
      <c r="O52" s="1">
        <f t="shared" si="1"/>
        <v>1.4688359717163775</v>
      </c>
      <c r="P52" s="1">
        <f t="shared" si="9"/>
        <v>1.7065052054575978</v>
      </c>
      <c r="R52" s="1">
        <f t="shared" si="2"/>
        <v>4.7595137885712655E-3</v>
      </c>
      <c r="V52" s="1">
        <f t="shared" si="3"/>
        <v>61</v>
      </c>
      <c r="W52" s="1">
        <f t="shared" si="10"/>
        <v>50.733333333333334</v>
      </c>
      <c r="X52" s="1">
        <f t="shared" si="4"/>
        <v>1.8726124212627958E-3</v>
      </c>
      <c r="Y52" s="1">
        <f t="shared" si="5"/>
        <v>1468356420.2667522</v>
      </c>
      <c r="Z52" s="129"/>
      <c r="AA52" s="1">
        <f t="shared" si="6"/>
        <v>14005.174288613534</v>
      </c>
      <c r="AB52" s="127"/>
      <c r="AC52" s="127">
        <f t="shared" si="7"/>
        <v>0</v>
      </c>
      <c r="AD52" s="133"/>
      <c r="AE52" s="3">
        <f>AE51+G52</f>
        <v>1064824.4950000001</v>
      </c>
      <c r="AF52" s="122">
        <f t="shared" si="8"/>
        <v>3.0423557000000003</v>
      </c>
      <c r="AG52" s="3"/>
    </row>
    <row r="53" spans="1:33" x14ac:dyDescent="0.3">
      <c r="A53" s="2">
        <v>45809</v>
      </c>
      <c r="B53" s="3">
        <v>1198.4763539333333</v>
      </c>
      <c r="C53" s="3">
        <v>458.06646666666671</v>
      </c>
      <c r="D53" s="3">
        <v>740.40988726666671</v>
      </c>
      <c r="E53" s="3">
        <v>1878.4</v>
      </c>
      <c r="F53" s="3">
        <v>0</v>
      </c>
      <c r="G53" s="3">
        <v>13741.994000000001</v>
      </c>
      <c r="H53" s="10">
        <v>1.838680142E-3</v>
      </c>
      <c r="I53" s="1">
        <v>56352</v>
      </c>
      <c r="J53" s="3">
        <v>22212.296618</v>
      </c>
      <c r="K53" s="3">
        <v>61.779265384476069</v>
      </c>
      <c r="L53" s="3">
        <v>25.792676783296514</v>
      </c>
      <c r="N53" s="1">
        <f t="shared" si="0"/>
        <v>1553</v>
      </c>
      <c r="O53" s="1">
        <f t="shared" si="1"/>
        <v>1.6163808991620867</v>
      </c>
      <c r="P53" s="1">
        <f t="shared" si="9"/>
        <v>6.4060210304779206</v>
      </c>
      <c r="R53" s="1">
        <f t="shared" si="2"/>
        <v>3.4729805149236997E-3</v>
      </c>
      <c r="V53" s="1">
        <f t="shared" si="3"/>
        <v>30</v>
      </c>
      <c r="W53" s="1">
        <f t="shared" si="10"/>
        <v>51.766666666666666</v>
      </c>
      <c r="X53" s="1">
        <f t="shared" si="4"/>
        <v>2.0367106099050966E-3</v>
      </c>
      <c r="Y53" s="1">
        <f t="shared" si="5"/>
        <v>1987973884.7509418</v>
      </c>
      <c r="Z53" s="129"/>
      <c r="AA53" s="1">
        <f t="shared" si="6"/>
        <v>13591.71188446536</v>
      </c>
      <c r="AB53" s="127"/>
      <c r="AC53" s="127">
        <f t="shared" si="7"/>
        <v>0</v>
      </c>
      <c r="AD53" s="133"/>
      <c r="AE53" s="3">
        <f>AE52+G53</f>
        <v>1078566.4890000001</v>
      </c>
      <c r="AF53" s="122">
        <f t="shared" si="8"/>
        <v>3.08161854</v>
      </c>
      <c r="AG53" s="3"/>
    </row>
    <row r="54" spans="1:33" x14ac:dyDescent="0.3">
      <c r="A54" s="2">
        <v>45839</v>
      </c>
      <c r="B54" s="3">
        <v>1200.7755747096774</v>
      </c>
      <c r="C54" s="3">
        <v>441.36906451612907</v>
      </c>
      <c r="D54" s="3">
        <v>759.40651019354834</v>
      </c>
      <c r="E54" s="3">
        <v>2140.3870967741937</v>
      </c>
      <c r="F54" s="3">
        <v>0</v>
      </c>
      <c r="G54" s="3">
        <v>13682.441000000001</v>
      </c>
      <c r="H54" s="10">
        <v>1.830711939E-3</v>
      </c>
      <c r="I54" s="1">
        <v>66352</v>
      </c>
      <c r="J54" s="3">
        <v>23541.601815999999</v>
      </c>
      <c r="K54" s="3">
        <v>63.243001122600042</v>
      </c>
      <c r="L54" s="3">
        <v>30.501926491040596</v>
      </c>
      <c r="N54" s="1">
        <f t="shared" si="0"/>
        <v>1583</v>
      </c>
      <c r="O54" s="1">
        <f t="shared" si="1"/>
        <v>1.7205703146097977</v>
      </c>
      <c r="P54" s="1" t="str">
        <f t="shared" si="9"/>
        <v xml:space="preserve"> </v>
      </c>
      <c r="R54" s="1">
        <f t="shared" si="2"/>
        <v>1.0869048102399228E-3</v>
      </c>
      <c r="V54" s="1">
        <f t="shared" si="3"/>
        <v>0</v>
      </c>
      <c r="W54" s="1">
        <f t="shared" si="10"/>
        <v>52.766666666666666</v>
      </c>
      <c r="X54" s="1">
        <f t="shared" si="4"/>
        <v>2.7018308926916729E-3</v>
      </c>
      <c r="Y54" s="1">
        <f t="shared" si="5"/>
        <v>2665295545.3929725</v>
      </c>
      <c r="Z54" s="129"/>
      <c r="AA54" s="1">
        <f t="shared" si="6"/>
        <v>13203.212704856074</v>
      </c>
      <c r="AB54" s="127"/>
      <c r="AC54" s="127">
        <f t="shared" si="7"/>
        <v>0</v>
      </c>
      <c r="AD54" s="133"/>
      <c r="AE54" s="3">
        <f>AE53+G54</f>
        <v>1092248.9300000002</v>
      </c>
      <c r="AF54" s="122">
        <f t="shared" si="8"/>
        <v>3.1207112285714289</v>
      </c>
      <c r="AG54" s="3"/>
    </row>
    <row r="55" spans="1:33" x14ac:dyDescent="0.3">
      <c r="A55" s="2">
        <v>45870</v>
      </c>
      <c r="W55" s="1">
        <v>53</v>
      </c>
      <c r="Z55" s="129"/>
      <c r="AA55" s="1">
        <f t="shared" si="6"/>
        <v>13114.172557796379</v>
      </c>
      <c r="AB55" s="127">
        <f t="shared" ref="AB4:AB67" si="11">AB54+AA55</f>
        <v>13114.172557796379</v>
      </c>
      <c r="AC55" s="127">
        <f t="shared" si="7"/>
        <v>3.7469064450846801E-2</v>
      </c>
      <c r="AD55" s="123"/>
      <c r="AE55" s="3"/>
      <c r="AF55" s="122">
        <f t="shared" si="8"/>
        <v>0</v>
      </c>
      <c r="AG55" s="3"/>
    </row>
    <row r="56" spans="1:33" x14ac:dyDescent="0.3">
      <c r="W56" s="1">
        <f>W55+1</f>
        <v>54</v>
      </c>
      <c r="Z56" s="129"/>
      <c r="AA56" s="1">
        <f t="shared" si="6"/>
        <v>12739.323140499531</v>
      </c>
      <c r="AB56" s="127">
        <f t="shared" si="11"/>
        <v>25853.495698295912</v>
      </c>
      <c r="AC56" s="127">
        <f t="shared" si="7"/>
        <v>7.3867130566559747E-2</v>
      </c>
      <c r="AD56" s="123"/>
      <c r="AE56" s="3"/>
      <c r="AF56" s="122">
        <f t="shared" si="8"/>
        <v>0</v>
      </c>
      <c r="AG56" s="3"/>
    </row>
    <row r="57" spans="1:33" x14ac:dyDescent="0.3">
      <c r="W57" s="1">
        <f t="shared" ref="W57:W120" si="12">W56+1</f>
        <v>55</v>
      </c>
      <c r="Z57" s="129"/>
      <c r="AA57" s="1">
        <f t="shared" si="6"/>
        <v>12375.18824484166</v>
      </c>
      <c r="AB57" s="127">
        <f t="shared" si="11"/>
        <v>38228.68394313757</v>
      </c>
      <c r="AC57" s="127">
        <f t="shared" si="7"/>
        <v>0.10922481126610734</v>
      </c>
      <c r="AD57" s="123"/>
      <c r="AE57" s="3"/>
      <c r="AF57" s="122">
        <f t="shared" si="8"/>
        <v>0</v>
      </c>
      <c r="AG57" s="3"/>
    </row>
    <row r="58" spans="1:33" x14ac:dyDescent="0.3">
      <c r="W58" s="1">
        <f t="shared" si="12"/>
        <v>56</v>
      </c>
      <c r="Z58" s="129"/>
      <c r="AA58" s="1">
        <f t="shared" si="6"/>
        <v>12021.461611912773</v>
      </c>
      <c r="AB58" s="127">
        <f t="shared" si="11"/>
        <v>50250.145555050345</v>
      </c>
      <c r="AC58" s="127">
        <f t="shared" si="7"/>
        <v>0.14357184444300097</v>
      </c>
      <c r="AD58" s="123"/>
      <c r="AE58" s="3"/>
      <c r="AF58" s="122">
        <f t="shared" si="8"/>
        <v>0</v>
      </c>
      <c r="AG58" s="3"/>
    </row>
    <row r="59" spans="1:33" x14ac:dyDescent="0.3">
      <c r="W59" s="1">
        <f t="shared" si="12"/>
        <v>57</v>
      </c>
      <c r="Z59" s="129"/>
      <c r="AA59" s="1">
        <f t="shared" si="6"/>
        <v>11677.845736765319</v>
      </c>
      <c r="AB59" s="127">
        <f t="shared" si="11"/>
        <v>61927.991291815662</v>
      </c>
      <c r="AC59" s="127">
        <f t="shared" si="7"/>
        <v>0.17693711797661618</v>
      </c>
      <c r="AD59" s="123"/>
      <c r="AE59" s="3"/>
      <c r="AF59" s="122">
        <f t="shared" si="8"/>
        <v>0</v>
      </c>
      <c r="AG59" s="3"/>
    </row>
    <row r="60" spans="1:33" x14ac:dyDescent="0.3">
      <c r="W60" s="1">
        <f t="shared" si="12"/>
        <v>58</v>
      </c>
      <c r="Z60" s="129"/>
      <c r="AA60" s="1">
        <f t="shared" si="6"/>
        <v>11344.051618194979</v>
      </c>
      <c r="AB60" s="127">
        <f t="shared" si="11"/>
        <v>73272.042910010641</v>
      </c>
      <c r="AC60" s="127">
        <f t="shared" si="7"/>
        <v>0.20934869402860182</v>
      </c>
      <c r="AD60" s="123"/>
      <c r="AE60" s="3"/>
      <c r="AF60" s="122">
        <f t="shared" si="8"/>
        <v>0</v>
      </c>
      <c r="AG60" s="3"/>
    </row>
    <row r="61" spans="1:33" x14ac:dyDescent="0.3">
      <c r="W61" s="1">
        <f t="shared" si="12"/>
        <v>59</v>
      </c>
      <c r="Z61" s="129"/>
      <c r="AA61" s="1">
        <f t="shared" si="6"/>
        <v>11019.798515673634</v>
      </c>
      <c r="AB61" s="127">
        <f t="shared" si="11"/>
        <v>84291.841425684281</v>
      </c>
      <c r="AC61" s="127">
        <f t="shared" si="7"/>
        <v>0.24083383264481223</v>
      </c>
      <c r="AD61" s="123"/>
      <c r="AE61" s="3"/>
      <c r="AF61" s="122">
        <f t="shared" si="8"/>
        <v>0</v>
      </c>
      <c r="AG61" s="3"/>
    </row>
    <row r="62" spans="1:33" x14ac:dyDescent="0.3">
      <c r="W62" s="1">
        <f t="shared" si="12"/>
        <v>60</v>
      </c>
      <c r="Z62" s="129"/>
      <c r="AA62" s="1">
        <f t="shared" si="6"/>
        <v>10704.813713230022</v>
      </c>
      <c r="AB62" s="127">
        <f t="shared" si="11"/>
        <v>94996.655138914299</v>
      </c>
      <c r="AC62" s="127">
        <f t="shared" si="7"/>
        <v>0.27141901468261231</v>
      </c>
      <c r="AD62" s="123"/>
      <c r="AE62" s="3"/>
      <c r="AF62" s="122">
        <f t="shared" si="8"/>
        <v>0</v>
      </c>
      <c r="AG62" s="3"/>
    </row>
    <row r="63" spans="1:33" x14ac:dyDescent="0.3">
      <c r="W63" s="1">
        <f t="shared" si="12"/>
        <v>61</v>
      </c>
      <c r="Z63" s="129"/>
      <c r="AA63" s="1">
        <f t="shared" si="6"/>
        <v>10398.832290079536</v>
      </c>
      <c r="AB63" s="127">
        <f t="shared" si="11"/>
        <v>105395.48742899383</v>
      </c>
      <c r="AC63" s="127">
        <f t="shared" si="7"/>
        <v>0.30112996408283949</v>
      </c>
      <c r="AD63" s="123"/>
      <c r="AE63" s="3"/>
      <c r="AF63" s="122">
        <f t="shared" si="8"/>
        <v>0</v>
      </c>
      <c r="AG63" s="3"/>
    </row>
    <row r="64" spans="1:33" x14ac:dyDescent="0.3">
      <c r="W64" s="1">
        <f t="shared" si="12"/>
        <v>62</v>
      </c>
      <c r="Z64" s="129"/>
      <c r="AA64" s="1">
        <f t="shared" si="6"/>
        <v>10101.59689781023</v>
      </c>
      <c r="AB64" s="127">
        <f t="shared" si="11"/>
        <v>115497.08432680406</v>
      </c>
      <c r="AC64" s="127">
        <f t="shared" si="7"/>
        <v>0.32999166950515446</v>
      </c>
      <c r="AD64" s="123"/>
      <c r="AE64" s="3"/>
      <c r="AF64" s="122">
        <f t="shared" si="8"/>
        <v>0</v>
      </c>
      <c r="AG64" s="3"/>
    </row>
    <row r="65" spans="23:33" x14ac:dyDescent="0.3">
      <c r="W65" s="1">
        <f t="shared" si="12"/>
        <v>63</v>
      </c>
      <c r="Z65" s="129"/>
      <c r="AA65" s="1">
        <f t="shared" si="6"/>
        <v>9812.8575439376345</v>
      </c>
      <c r="AB65" s="127">
        <f t="shared" si="11"/>
        <v>125309.94187074169</v>
      </c>
      <c r="AC65" s="127">
        <f t="shared" si="7"/>
        <v>0.35802840534497626</v>
      </c>
      <c r="AD65" s="123"/>
      <c r="AE65" s="3"/>
      <c r="AF65" s="122">
        <f t="shared" si="8"/>
        <v>0</v>
      </c>
      <c r="AG65" s="3"/>
    </row>
    <row r="66" spans="23:33" x14ac:dyDescent="0.3">
      <c r="W66" s="1">
        <f t="shared" si="12"/>
        <v>64</v>
      </c>
      <c r="Z66" s="129"/>
      <c r="AA66" s="1">
        <f t="shared" si="6"/>
        <v>9532.3713816463496</v>
      </c>
      <c r="AB66" s="127">
        <f t="shared" si="11"/>
        <v>134842.31325238803</v>
      </c>
      <c r="AC66" s="127">
        <f t="shared" si="7"/>
        <v>0.38526375214968012</v>
      </c>
      <c r="AD66" s="123"/>
      <c r="AE66" s="3"/>
      <c r="AF66" s="122">
        <f t="shared" si="8"/>
        <v>0</v>
      </c>
      <c r="AG66" s="3"/>
    </row>
    <row r="67" spans="23:33" x14ac:dyDescent="0.3">
      <c r="W67" s="1">
        <f t="shared" si="12"/>
        <v>65</v>
      </c>
      <c r="Z67" s="129"/>
      <c r="AA67" s="1">
        <f t="shared" ref="AA67:AA130" si="13" xml:space="preserve"> 60989*EXP(-0.029*W67)</f>
        <v>9259.9025055415423</v>
      </c>
      <c r="AB67" s="127">
        <f t="shared" si="11"/>
        <v>144102.21575792957</v>
      </c>
      <c r="AC67" s="127">
        <f t="shared" ref="AC67:AC130" si="14">(AB67*100)/(35*10^6)</f>
        <v>0.41172061645122737</v>
      </c>
      <c r="AD67" s="123"/>
      <c r="AE67" s="3"/>
      <c r="AF67" s="122">
        <f t="shared" ref="AF67:AF130" si="15">(AE67/(35*10^6))*100</f>
        <v>0</v>
      </c>
      <c r="AG67" s="3"/>
    </row>
    <row r="68" spans="23:33" x14ac:dyDescent="0.3">
      <c r="W68" s="1">
        <f t="shared" si="12"/>
        <v>66</v>
      </c>
      <c r="Z68" s="129"/>
      <c r="AA68" s="1">
        <f t="shared" si="13"/>
        <v>8995.2217532386203</v>
      </c>
      <c r="AB68" s="127">
        <f t="shared" ref="AB68:AB131" si="16">AB67+AA68</f>
        <v>153097.43751116819</v>
      </c>
      <c r="AC68" s="127">
        <f t="shared" si="14"/>
        <v>0.43742125003190913</v>
      </c>
      <c r="AD68" s="123"/>
      <c r="AE68" s="3"/>
      <c r="AF68" s="122">
        <f t="shared" si="15"/>
        <v>0</v>
      </c>
      <c r="AG68" s="3"/>
    </row>
    <row r="69" spans="23:33" x14ac:dyDescent="0.3">
      <c r="W69" s="1">
        <f t="shared" si="12"/>
        <v>67</v>
      </c>
      <c r="Z69" s="129"/>
      <c r="AA69" s="1">
        <f t="shared" si="13"/>
        <v>8738.1065126241556</v>
      </c>
      <c r="AB69" s="127">
        <f t="shared" si="16"/>
        <v>161835.54402379235</v>
      </c>
      <c r="AC69" s="127">
        <f t="shared" si="14"/>
        <v>0.46238726863940671</v>
      </c>
      <c r="AD69" s="123"/>
      <c r="AE69" s="3"/>
      <c r="AF69" s="122">
        <f t="shared" si="15"/>
        <v>0</v>
      </c>
      <c r="AG69" s="3"/>
    </row>
    <row r="70" spans="23:33" x14ac:dyDescent="0.3">
      <c r="W70" s="1">
        <f t="shared" si="12"/>
        <v>68</v>
      </c>
      <c r="Z70" s="129"/>
      <c r="AA70" s="1">
        <f t="shared" si="13"/>
        <v>8488.3405346259715</v>
      </c>
      <c r="AB70" s="127">
        <f t="shared" si="16"/>
        <v>170323.88455841833</v>
      </c>
      <c r="AC70" s="127">
        <f t="shared" si="14"/>
        <v>0.48663967016690945</v>
      </c>
      <c r="AD70" s="123"/>
      <c r="AE70" s="3"/>
      <c r="AF70" s="122">
        <f t="shared" si="15"/>
        <v>0</v>
      </c>
      <c r="AG70" s="3"/>
    </row>
    <row r="71" spans="23:33" x14ac:dyDescent="0.3">
      <c r="W71" s="1">
        <f t="shared" si="12"/>
        <v>69</v>
      </c>
      <c r="Z71" s="129"/>
      <c r="AA71" s="1">
        <f t="shared" si="13"/>
        <v>8245.7137513349335</v>
      </c>
      <c r="AB71" s="127">
        <f t="shared" si="16"/>
        <v>178569.59830975326</v>
      </c>
      <c r="AC71" s="127">
        <f t="shared" si="14"/>
        <v>0.51019885231358075</v>
      </c>
      <c r="AD71" s="123"/>
      <c r="AE71" s="3"/>
      <c r="AF71" s="122">
        <f t="shared" si="15"/>
        <v>0</v>
      </c>
      <c r="AG71" s="3"/>
    </row>
    <row r="72" spans="23:33" x14ac:dyDescent="0.3">
      <c r="W72" s="1">
        <f t="shared" si="12"/>
        <v>70</v>
      </c>
      <c r="Z72" s="129"/>
      <c r="AA72" s="1">
        <f t="shared" si="13"/>
        <v>8010.0220993254416</v>
      </c>
      <c r="AB72" s="127">
        <f t="shared" si="16"/>
        <v>186579.62040907869</v>
      </c>
      <c r="AC72" s="127">
        <f t="shared" si="14"/>
        <v>0.53308462974022486</v>
      </c>
      <c r="AD72" s="123"/>
      <c r="AE72" s="3"/>
      <c r="AF72" s="122">
        <f t="shared" si="15"/>
        <v>0</v>
      </c>
      <c r="AG72" s="3"/>
    </row>
    <row r="73" spans="23:33" x14ac:dyDescent="0.3">
      <c r="W73" s="1">
        <f t="shared" si="12"/>
        <v>71</v>
      </c>
      <c r="Z73" s="129"/>
      <c r="AA73" s="1">
        <f t="shared" si="13"/>
        <v>7781.0673480260939</v>
      </c>
      <c r="AB73" s="127">
        <f t="shared" si="16"/>
        <v>194360.68775710478</v>
      </c>
      <c r="AC73" s="127">
        <f t="shared" si="14"/>
        <v>0.55531625073458513</v>
      </c>
      <c r="AD73" s="123"/>
      <c r="AE73" s="3"/>
      <c r="AF73" s="122">
        <f t="shared" si="15"/>
        <v>0</v>
      </c>
      <c r="AG73" s="3"/>
    </row>
    <row r="74" spans="23:33" x14ac:dyDescent="0.3">
      <c r="W74" s="1">
        <f t="shared" si="12"/>
        <v>72</v>
      </c>
      <c r="Z74" s="129"/>
      <c r="AA74" s="1">
        <f t="shared" si="13"/>
        <v>7558.6569329960494</v>
      </c>
      <c r="AB74" s="127">
        <f t="shared" si="16"/>
        <v>201919.34469010084</v>
      </c>
      <c r="AC74" s="127">
        <f t="shared" si="14"/>
        <v>0.57691241340028809</v>
      </c>
      <c r="AD74" s="123"/>
      <c r="AE74" s="3"/>
      <c r="AF74" s="122">
        <f t="shared" si="15"/>
        <v>0</v>
      </c>
      <c r="AG74" s="3"/>
    </row>
    <row r="75" spans="23:33" x14ac:dyDescent="0.3">
      <c r="W75" s="1">
        <f t="shared" si="12"/>
        <v>73</v>
      </c>
      <c r="Z75" s="129"/>
      <c r="AA75" s="1">
        <f t="shared" si="13"/>
        <v>7342.6037939670132</v>
      </c>
      <c r="AB75" s="127">
        <f t="shared" si="16"/>
        <v>209261.94848406786</v>
      </c>
      <c r="AC75" s="127">
        <f t="shared" si="14"/>
        <v>0.59789128138305103</v>
      </c>
      <c r="AD75" s="123"/>
      <c r="AE75" s="3"/>
      <c r="AF75" s="122">
        <f t="shared" si="15"/>
        <v>0</v>
      </c>
      <c r="AG75" s="3"/>
    </row>
    <row r="76" spans="23:33" x14ac:dyDescent="0.3">
      <c r="W76" s="1">
        <f t="shared" si="12"/>
        <v>74</v>
      </c>
      <c r="Z76" s="129"/>
      <c r="AA76" s="1">
        <f t="shared" si="13"/>
        <v>7132.7262175145161</v>
      </c>
      <c r="AB76" s="127">
        <f t="shared" si="16"/>
        <v>216394.67470158238</v>
      </c>
      <c r="AC76" s="127">
        <f t="shared" si="14"/>
        <v>0.61827049914737819</v>
      </c>
      <c r="AD76" s="123"/>
      <c r="AE76" s="3"/>
      <c r="AF76" s="122">
        <f t="shared" si="15"/>
        <v>0</v>
      </c>
      <c r="AG76" s="3"/>
    </row>
    <row r="77" spans="23:33" x14ac:dyDescent="0.3">
      <c r="W77" s="1">
        <f t="shared" si="12"/>
        <v>75</v>
      </c>
      <c r="Z77" s="129"/>
      <c r="AA77" s="1">
        <f t="shared" si="13"/>
        <v>6928.847684226208</v>
      </c>
      <c r="AB77" s="127">
        <f t="shared" si="16"/>
        <v>223323.52238580858</v>
      </c>
      <c r="AC77" s="127">
        <f t="shared" si="14"/>
        <v>0.6380672068165959</v>
      </c>
      <c r="AD77" s="123"/>
      <c r="AE77" s="3"/>
      <c r="AF77" s="122">
        <f t="shared" si="15"/>
        <v>0</v>
      </c>
      <c r="AG77" s="3"/>
    </row>
    <row r="78" spans="23:33" x14ac:dyDescent="0.3">
      <c r="W78" s="1">
        <f t="shared" si="12"/>
        <v>76</v>
      </c>
      <c r="Z78" s="129"/>
      <c r="AA78" s="1">
        <f t="shared" si="13"/>
        <v>6730.7967202386453</v>
      </c>
      <c r="AB78" s="127">
        <f t="shared" si="16"/>
        <v>230054.31910604722</v>
      </c>
      <c r="AC78" s="127">
        <f t="shared" si="14"/>
        <v>0.65729805458870638</v>
      </c>
      <c r="AD78" s="123"/>
      <c r="AE78" s="3"/>
      <c r="AF78" s="122">
        <f t="shared" si="15"/>
        <v>0</v>
      </c>
      <c r="AG78" s="3"/>
    </row>
    <row r="79" spans="23:33" x14ac:dyDescent="0.3">
      <c r="W79" s="1">
        <f t="shared" si="12"/>
        <v>77</v>
      </c>
      <c r="Z79" s="129"/>
      <c r="AA79" s="1">
        <f t="shared" si="13"/>
        <v>6538.4067530176453</v>
      </c>
      <c r="AB79" s="127">
        <f t="shared" si="16"/>
        <v>236592.72585906487</v>
      </c>
      <c r="AC79" s="127">
        <f t="shared" si="14"/>
        <v>0.67597921674018535</v>
      </c>
      <c r="AD79" s="123"/>
      <c r="AE79" s="3"/>
      <c r="AF79" s="122">
        <f t="shared" si="15"/>
        <v>0</v>
      </c>
      <c r="AG79" s="3"/>
    </row>
    <row r="80" spans="23:33" x14ac:dyDescent="0.3">
      <c r="W80" s="1">
        <f t="shared" si="12"/>
        <v>78</v>
      </c>
      <c r="Z80" s="129"/>
      <c r="AA80" s="1">
        <f t="shared" si="13"/>
        <v>6351.5159712609748</v>
      </c>
      <c r="AB80" s="127">
        <f t="shared" si="16"/>
        <v>242944.24183032586</v>
      </c>
      <c r="AC80" s="127">
        <f t="shared" si="14"/>
        <v>0.69412640522950253</v>
      </c>
      <c r="AD80" s="123"/>
      <c r="AE80" s="3"/>
      <c r="AF80" s="122">
        <f t="shared" si="15"/>
        <v>0</v>
      </c>
      <c r="AG80" s="3"/>
    </row>
    <row r="81" spans="23:33" x14ac:dyDescent="0.3">
      <c r="W81" s="1">
        <f t="shared" si="12"/>
        <v>79</v>
      </c>
      <c r="Z81" s="129"/>
      <c r="AA81" s="1">
        <f t="shared" si="13"/>
        <v>6169.9671888055109</v>
      </c>
      <c r="AB81" s="127">
        <f t="shared" si="16"/>
        <v>249114.20901913138</v>
      </c>
      <c r="AC81" s="127">
        <f t="shared" si="14"/>
        <v>0.71175488291180389</v>
      </c>
      <c r="AD81" s="123"/>
      <c r="AE81" s="3"/>
      <c r="AF81" s="122">
        <f t="shared" si="15"/>
        <v>0</v>
      </c>
      <c r="AG81" s="3"/>
    </row>
    <row r="82" spans="23:33" x14ac:dyDescent="0.3">
      <c r="W82" s="1">
        <f t="shared" si="12"/>
        <v>80</v>
      </c>
      <c r="Z82" s="129"/>
      <c r="AA82" s="1">
        <f t="shared" si="13"/>
        <v>5993.6077124244039</v>
      </c>
      <c r="AB82" s="127">
        <f t="shared" si="16"/>
        <v>255107.81673155579</v>
      </c>
      <c r="AC82" s="127">
        <f t="shared" si="14"/>
        <v>0.72887947637587369</v>
      </c>
      <c r="AD82" s="123"/>
      <c r="AE82" s="3"/>
      <c r="AF82" s="122">
        <f t="shared" si="15"/>
        <v>0</v>
      </c>
      <c r="AG82" s="3"/>
    </row>
    <row r="83" spans="23:33" x14ac:dyDescent="0.3">
      <c r="W83" s="1">
        <f t="shared" si="12"/>
        <v>81</v>
      </c>
      <c r="Z83" s="129"/>
      <c r="AA83" s="1">
        <f t="shared" si="13"/>
        <v>5822.2892134030899</v>
      </c>
      <c r="AB83" s="127">
        <f t="shared" si="16"/>
        <v>260930.10594495889</v>
      </c>
      <c r="AC83" s="127">
        <f t="shared" si="14"/>
        <v>0.74551458841416829</v>
      </c>
      <c r="AD83" s="123"/>
      <c r="AE83" s="3"/>
      <c r="AF83" s="122">
        <f t="shared" si="15"/>
        <v>0</v>
      </c>
      <c r="AG83" s="3"/>
    </row>
    <row r="84" spans="23:33" x14ac:dyDescent="0.3">
      <c r="W84" s="1">
        <f t="shared" si="12"/>
        <v>82</v>
      </c>
      <c r="Z84" s="129"/>
      <c r="AA84" s="1">
        <f t="shared" si="13"/>
        <v>5655.8676027860793</v>
      </c>
      <c r="AB84" s="127">
        <f t="shared" si="16"/>
        <v>266585.97354774497</v>
      </c>
      <c r="AC84" s="127">
        <f t="shared" si="14"/>
        <v>0.76167421013641423</v>
      </c>
      <c r="AD84" s="123"/>
      <c r="AE84" s="3"/>
      <c r="AF84" s="122">
        <f t="shared" si="15"/>
        <v>0</v>
      </c>
      <c r="AG84" s="3"/>
    </row>
    <row r="85" spans="23:33" x14ac:dyDescent="0.3">
      <c r="W85" s="1">
        <f t="shared" si="12"/>
        <v>83</v>
      </c>
      <c r="Z85" s="129"/>
      <c r="AA85" s="1">
        <f t="shared" si="13"/>
        <v>5494.202910189666</v>
      </c>
      <c r="AB85" s="127">
        <f t="shared" si="16"/>
        <v>272080.17645793466</v>
      </c>
      <c r="AC85" s="127">
        <f t="shared" si="14"/>
        <v>0.77737193273695626</v>
      </c>
      <c r="AD85" s="123"/>
      <c r="AE85" s="3"/>
      <c r="AF85" s="122">
        <f t="shared" si="15"/>
        <v>0</v>
      </c>
      <c r="AG85" s="3"/>
    </row>
    <row r="86" spans="23:33" x14ac:dyDescent="0.3">
      <c r="W86" s="1">
        <f t="shared" si="12"/>
        <v>84</v>
      </c>
      <c r="Z86" s="129"/>
      <c r="AA86" s="1">
        <f t="shared" si="13"/>
        <v>5337.1591660785762</v>
      </c>
      <c r="AB86" s="127">
        <f t="shared" si="16"/>
        <v>277417.33562401321</v>
      </c>
      <c r="AC86" s="127">
        <f t="shared" si="14"/>
        <v>0.79262095892575202</v>
      </c>
      <c r="AD86" s="123"/>
      <c r="AE86" s="3"/>
      <c r="AF86" s="122">
        <f t="shared" si="15"/>
        <v>0</v>
      </c>
      <c r="AG86" s="3"/>
    </row>
    <row r="87" spans="23:33" x14ac:dyDescent="0.3">
      <c r="W87" s="1">
        <f t="shared" si="12"/>
        <v>85</v>
      </c>
      <c r="Z87" s="129"/>
      <c r="AA87" s="1">
        <f t="shared" si="13"/>
        <v>5184.604287407582</v>
      </c>
      <c r="AB87" s="127">
        <f t="shared" si="16"/>
        <v>282601.93991142081</v>
      </c>
      <c r="AC87" s="127">
        <f t="shared" si="14"/>
        <v>0.80743411403263088</v>
      </c>
      <c r="AD87" s="123"/>
      <c r="AE87" s="3"/>
      <c r="AF87" s="122">
        <f t="shared" si="15"/>
        <v>0</v>
      </c>
      <c r="AG87" s="3"/>
    </row>
    <row r="88" spans="23:33" x14ac:dyDescent="0.3">
      <c r="W88" s="1">
        <f t="shared" si="12"/>
        <v>86</v>
      </c>
      <c r="Z88" s="129"/>
      <c r="AA88" s="1">
        <f t="shared" si="13"/>
        <v>5036.4099665318754</v>
      </c>
      <c r="AB88" s="127">
        <f t="shared" si="16"/>
        <v>287638.34987795266</v>
      </c>
      <c r="AC88" s="127">
        <f t="shared" si="14"/>
        <v>0.82182385679415049</v>
      </c>
      <c r="AD88" s="123"/>
      <c r="AE88" s="3"/>
      <c r="AF88" s="122">
        <f t="shared" si="15"/>
        <v>0</v>
      </c>
      <c r="AG88" s="3"/>
    </row>
    <row r="89" spans="23:33" x14ac:dyDescent="0.3">
      <c r="W89" s="1">
        <f t="shared" si="12"/>
        <v>87</v>
      </c>
      <c r="Z89" s="129"/>
      <c r="AA89" s="1">
        <f t="shared" si="13"/>
        <v>4892.451563292766</v>
      </c>
      <c r="AB89" s="127">
        <f t="shared" si="16"/>
        <v>292530.80144124542</v>
      </c>
      <c r="AC89" s="127">
        <f t="shared" si="14"/>
        <v>0.83580228983212979</v>
      </c>
      <c r="AD89" s="123"/>
      <c r="AE89" s="3"/>
      <c r="AF89" s="122">
        <f t="shared" si="15"/>
        <v>0</v>
      </c>
      <c r="AG89" s="3"/>
    </row>
    <row r="90" spans="23:33" x14ac:dyDescent="0.3">
      <c r="W90" s="1">
        <f t="shared" si="12"/>
        <v>88</v>
      </c>
      <c r="Z90" s="129"/>
      <c r="AA90" s="1">
        <f t="shared" si="13"/>
        <v>4752.6080001879727</v>
      </c>
      <c r="AB90" s="127">
        <f t="shared" si="16"/>
        <v>297283.40944143338</v>
      </c>
      <c r="AC90" s="127">
        <f t="shared" si="14"/>
        <v>0.84938116983266687</v>
      </c>
      <c r="AD90" s="123"/>
      <c r="AE90" s="3"/>
      <c r="AF90" s="122">
        <f t="shared" si="15"/>
        <v>0</v>
      </c>
      <c r="AG90" s="3"/>
    </row>
    <row r="91" spans="23:33" x14ac:dyDescent="0.3">
      <c r="W91" s="1">
        <f t="shared" si="12"/>
        <v>89</v>
      </c>
      <c r="Z91" s="129"/>
      <c r="AA91" s="1">
        <f t="shared" si="13"/>
        <v>4616.7616605383018</v>
      </c>
      <c r="AB91" s="127">
        <f t="shared" si="16"/>
        <v>301900.1711019717</v>
      </c>
      <c r="AC91" s="127">
        <f t="shared" si="14"/>
        <v>0.86257191743420492</v>
      </c>
      <c r="AD91" s="123"/>
      <c r="AE91" s="3"/>
      <c r="AF91" s="122">
        <f t="shared" si="15"/>
        <v>0</v>
      </c>
      <c r="AG91" s="3"/>
    </row>
    <row r="92" spans="23:33" x14ac:dyDescent="0.3">
      <c r="W92" s="1">
        <f t="shared" si="12"/>
        <v>90</v>
      </c>
      <c r="Z92" s="129"/>
      <c r="AA92" s="1">
        <f t="shared" si="13"/>
        <v>4484.7982895650875</v>
      </c>
      <c r="AB92" s="127">
        <f t="shared" si="16"/>
        <v>306384.96939153678</v>
      </c>
      <c r="AC92" s="127">
        <f t="shared" si="14"/>
        <v>0.87538562683296228</v>
      </c>
      <c r="AD92" s="123"/>
      <c r="AE92" s="3"/>
      <c r="AF92" s="122">
        <f t="shared" si="15"/>
        <v>0</v>
      </c>
      <c r="AG92" s="3"/>
    </row>
    <row r="93" spans="23:33" x14ac:dyDescent="0.3">
      <c r="W93" s="1">
        <f t="shared" si="12"/>
        <v>91</v>
      </c>
      <c r="Z93" s="129"/>
      <c r="AA93" s="1">
        <f t="shared" si="13"/>
        <v>4356.6068982951938</v>
      </c>
      <c r="AB93" s="127">
        <f t="shared" si="16"/>
        <v>310741.57628983195</v>
      </c>
      <c r="AC93" s="127">
        <f t="shared" si="14"/>
        <v>0.8878330751138056</v>
      </c>
      <c r="AD93" s="123"/>
      <c r="AE93" s="3"/>
      <c r="AF93" s="122">
        <f t="shared" si="15"/>
        <v>0</v>
      </c>
      <c r="AG93" s="3"/>
    </row>
    <row r="94" spans="23:33" x14ac:dyDescent="0.3">
      <c r="W94" s="1">
        <f t="shared" si="12"/>
        <v>92</v>
      </c>
      <c r="Z94" s="129"/>
      <c r="AA94" s="1">
        <f t="shared" si="13"/>
        <v>4232.0796702127391</v>
      </c>
      <c r="AB94" s="127">
        <f t="shared" si="16"/>
        <v>314973.65596004471</v>
      </c>
      <c r="AC94" s="127">
        <f t="shared" si="14"/>
        <v>0.89992473131441342</v>
      </c>
      <c r="AD94" s="123"/>
      <c r="AE94" s="3"/>
      <c r="AF94" s="122">
        <f t="shared" si="15"/>
        <v>0</v>
      </c>
      <c r="AG94" s="3"/>
    </row>
    <row r="95" spans="23:33" x14ac:dyDescent="0.3">
      <c r="W95" s="1">
        <f t="shared" si="12"/>
        <v>93</v>
      </c>
      <c r="Z95" s="129"/>
      <c r="AA95" s="1">
        <f t="shared" si="13"/>
        <v>4111.111870579055</v>
      </c>
      <c r="AB95" s="127">
        <f t="shared" si="16"/>
        <v>319084.76783062378</v>
      </c>
      <c r="AC95" s="127">
        <f t="shared" si="14"/>
        <v>0.91167076523035362</v>
      </c>
      <c r="AD95" s="123"/>
      <c r="AE95" s="3"/>
      <c r="AF95" s="122">
        <f t="shared" si="15"/>
        <v>0</v>
      </c>
      <c r="AG95" s="3"/>
    </row>
    <row r="96" spans="23:33" x14ac:dyDescent="0.3">
      <c r="W96" s="1">
        <f t="shared" si="12"/>
        <v>94</v>
      </c>
      <c r="Z96" s="129"/>
      <c r="AA96" s="1">
        <f t="shared" si="13"/>
        <v>3993.6017583445955</v>
      </c>
      <c r="AB96" s="127">
        <f t="shared" si="16"/>
        <v>323078.3695889684</v>
      </c>
      <c r="AC96" s="127">
        <f t="shared" si="14"/>
        <v>0.92308105596848122</v>
      </c>
      <c r="AD96" s="123"/>
      <c r="AE96" s="3"/>
      <c r="AF96" s="122">
        <f t="shared" si="15"/>
        <v>0</v>
      </c>
      <c r="AG96" s="3"/>
    </row>
    <row r="97" spans="23:33" x14ac:dyDescent="0.3">
      <c r="W97" s="1">
        <f t="shared" si="12"/>
        <v>95</v>
      </c>
      <c r="Z97" s="129"/>
      <c r="AA97" s="1">
        <f t="shared" si="13"/>
        <v>3879.4505005787219</v>
      </c>
      <c r="AB97" s="127">
        <f t="shared" si="16"/>
        <v>326957.82008954714</v>
      </c>
      <c r="AC97" s="127">
        <f t="shared" si="14"/>
        <v>0.93416520025584904</v>
      </c>
      <c r="AD97" s="123"/>
      <c r="AE97" s="3"/>
      <c r="AF97" s="122">
        <f t="shared" si="15"/>
        <v>0</v>
      </c>
      <c r="AG97" s="3"/>
    </row>
    <row r="98" spans="23:33" x14ac:dyDescent="0.3">
      <c r="W98" s="1">
        <f t="shared" si="12"/>
        <v>96</v>
      </c>
      <c r="Z98" s="129"/>
      <c r="AA98" s="1">
        <f t="shared" si="13"/>
        <v>3768.5620893453829</v>
      </c>
      <c r="AB98" s="127">
        <f t="shared" si="16"/>
        <v>330726.3821788925</v>
      </c>
      <c r="AC98" s="127">
        <f t="shared" si="14"/>
        <v>0.94493252051112142</v>
      </c>
      <c r="AD98" s="123"/>
      <c r="AE98" s="3"/>
      <c r="AF98" s="122">
        <f t="shared" si="15"/>
        <v>0</v>
      </c>
      <c r="AG98" s="3"/>
    </row>
    <row r="99" spans="23:33" x14ac:dyDescent="0.3">
      <c r="W99" s="1">
        <f t="shared" si="12"/>
        <v>97</v>
      </c>
      <c r="Z99" s="129"/>
      <c r="AA99" s="1">
        <f t="shared" si="13"/>
        <v>3660.8432609547735</v>
      </c>
      <c r="AB99" s="127">
        <f t="shared" si="16"/>
        <v>334387.22543984727</v>
      </c>
      <c r="AC99" s="127">
        <f t="shared" si="14"/>
        <v>0.95539207268527793</v>
      </c>
      <c r="AD99" s="123"/>
      <c r="AE99" s="3"/>
      <c r="AF99" s="122">
        <f t="shared" si="15"/>
        <v>0</v>
      </c>
      <c r="AG99" s="3"/>
    </row>
    <row r="100" spans="23:33" x14ac:dyDescent="0.3">
      <c r="W100" s="1">
        <f t="shared" si="12"/>
        <v>98</v>
      </c>
      <c r="Z100" s="129"/>
      <c r="AA100" s="1">
        <f t="shared" si="13"/>
        <v>3556.2034175230829</v>
      </c>
      <c r="AB100" s="127">
        <f t="shared" si="16"/>
        <v>337943.42885737034</v>
      </c>
      <c r="AC100" s="127">
        <f t="shared" si="14"/>
        <v>0.96555265387820088</v>
      </c>
      <c r="AD100" s="123"/>
      <c r="AE100" s="3"/>
      <c r="AF100" s="122">
        <f t="shared" si="15"/>
        <v>0</v>
      </c>
      <c r="AG100" s="3"/>
    </row>
    <row r="101" spans="23:33" x14ac:dyDescent="0.3">
      <c r="W101" s="1">
        <f t="shared" si="12"/>
        <v>99</v>
      </c>
      <c r="Z101" s="129"/>
      <c r="AA101" s="1">
        <f t="shared" si="13"/>
        <v>3454.5545507743304</v>
      </c>
      <c r="AB101" s="127">
        <f t="shared" si="16"/>
        <v>341397.98340814468</v>
      </c>
      <c r="AC101" s="127">
        <f t="shared" si="14"/>
        <v>0.97542280973755635</v>
      </c>
      <c r="AD101" s="123"/>
      <c r="AE101" s="3"/>
      <c r="AF101" s="122">
        <f t="shared" si="15"/>
        <v>0</v>
      </c>
      <c r="AG101" s="3"/>
    </row>
    <row r="102" spans="23:33" x14ac:dyDescent="0.3">
      <c r="W102" s="1">
        <f t="shared" si="12"/>
        <v>100</v>
      </c>
      <c r="Z102" s="129"/>
      <c r="AA102" s="1">
        <f t="shared" si="13"/>
        <v>3355.8111680202192</v>
      </c>
      <c r="AB102" s="127">
        <f t="shared" si="16"/>
        <v>344753.79457616492</v>
      </c>
      <c r="AC102" s="127">
        <f t="shared" si="14"/>
        <v>0.98501084164618546</v>
      </c>
      <c r="AD102" s="123"/>
      <c r="AE102" s="3"/>
      <c r="AF102" s="122">
        <f t="shared" si="15"/>
        <v>0</v>
      </c>
      <c r="AG102" s="3"/>
    </row>
    <row r="103" spans="23:33" x14ac:dyDescent="0.3">
      <c r="W103" s="1">
        <f t="shared" si="12"/>
        <v>101</v>
      </c>
      <c r="Z103" s="129"/>
      <c r="AA103" s="1">
        <f t="shared" si="13"/>
        <v>3259.8902202557492</v>
      </c>
      <c r="AB103" s="127">
        <f t="shared" si="16"/>
        <v>348013.68479642068</v>
      </c>
      <c r="AC103" s="127">
        <f t="shared" si="14"/>
        <v>0.99432481370405912</v>
      </c>
      <c r="AD103" s="123"/>
      <c r="AE103" s="3"/>
      <c r="AF103" s="122">
        <f t="shared" si="15"/>
        <v>0</v>
      </c>
      <c r="AG103" s="3"/>
    </row>
    <row r="104" spans="23:33" x14ac:dyDescent="0.3">
      <c r="W104" s="1">
        <f t="shared" si="12"/>
        <v>102</v>
      </c>
      <c r="Z104" s="129"/>
      <c r="AA104" s="1">
        <f t="shared" si="13"/>
        <v>3166.7110323101019</v>
      </c>
      <c r="AB104" s="127">
        <f t="shared" si="16"/>
        <v>351180.39582873078</v>
      </c>
      <c r="AC104" s="127">
        <f t="shared" si="14"/>
        <v>1.0033725595106593</v>
      </c>
      <c r="AD104" s="123"/>
      <c r="AE104" s="3"/>
      <c r="AF104" s="122">
        <f t="shared" si="15"/>
        <v>0</v>
      </c>
      <c r="AG104" s="3"/>
    </row>
    <row r="105" spans="23:33" x14ac:dyDescent="0.3">
      <c r="W105" s="1">
        <f t="shared" si="12"/>
        <v>103</v>
      </c>
      <c r="Z105" s="129"/>
      <c r="AA105" s="1">
        <f t="shared" si="13"/>
        <v>3076.1952349940721</v>
      </c>
      <c r="AB105" s="127">
        <f t="shared" si="16"/>
        <v>354256.59106372483</v>
      </c>
      <c r="AC105" s="127">
        <f t="shared" si="14"/>
        <v>1.0121616887534994</v>
      </c>
      <c r="AD105" s="123"/>
      <c r="AE105" s="3"/>
      <c r="AF105" s="122">
        <f t="shared" si="15"/>
        <v>0</v>
      </c>
      <c r="AG105" s="3"/>
    </row>
    <row r="106" spans="23:33" x14ac:dyDescent="0.3">
      <c r="W106" s="1">
        <f t="shared" si="12"/>
        <v>104</v>
      </c>
      <c r="Z106" s="129"/>
      <c r="AA106" s="1">
        <f t="shared" si="13"/>
        <v>2988.2666991869582</v>
      </c>
      <c r="AB106" s="127">
        <f t="shared" si="16"/>
        <v>357244.85776291176</v>
      </c>
      <c r="AC106" s="127">
        <f t="shared" si="14"/>
        <v>1.0206995936083194</v>
      </c>
      <c r="AD106" s="123"/>
      <c r="AE106" s="3"/>
      <c r="AF106" s="122">
        <f t="shared" si="15"/>
        <v>0</v>
      </c>
      <c r="AG106" s="3"/>
    </row>
    <row r="107" spans="23:33" x14ac:dyDescent="0.3">
      <c r="W107" s="1">
        <f t="shared" si="12"/>
        <v>105</v>
      </c>
      <c r="Z107" s="129"/>
      <c r="AA107" s="1">
        <f t="shared" si="13"/>
        <v>2902.8514718074853</v>
      </c>
      <c r="AB107" s="127">
        <f t="shared" si="16"/>
        <v>360147.70923471922</v>
      </c>
      <c r="AC107" s="127">
        <f t="shared" si="14"/>
        <v>1.0289934549563406</v>
      </c>
      <c r="AD107" s="123"/>
      <c r="AE107" s="3"/>
      <c r="AF107" s="122">
        <f t="shared" si="15"/>
        <v>0</v>
      </c>
      <c r="AG107" s="3"/>
    </row>
    <row r="108" spans="23:33" x14ac:dyDescent="0.3">
      <c r="W108" s="1">
        <f t="shared" si="12"/>
        <v>106</v>
      </c>
      <c r="Z108" s="129"/>
      <c r="AA108" s="1">
        <f t="shared" si="13"/>
        <v>2819.8777136149074</v>
      </c>
      <c r="AB108" s="127">
        <f t="shared" si="16"/>
        <v>362967.58694833412</v>
      </c>
      <c r="AC108" s="127">
        <f t="shared" si="14"/>
        <v>1.0370502484238118</v>
      </c>
      <c r="AD108" s="123"/>
      <c r="AE108" s="3"/>
      <c r="AF108" s="122">
        <f t="shared" si="15"/>
        <v>0</v>
      </c>
      <c r="AG108" s="3"/>
    </row>
    <row r="109" spans="23:33" x14ac:dyDescent="0.3">
      <c r="W109" s="1">
        <f t="shared" si="12"/>
        <v>107</v>
      </c>
      <c r="Z109" s="129"/>
      <c r="AA109" s="1">
        <f t="shared" si="13"/>
        <v>2739.2756387879672</v>
      </c>
      <c r="AB109" s="127">
        <f t="shared" si="16"/>
        <v>365706.86258712207</v>
      </c>
      <c r="AC109" s="127">
        <f t="shared" si="14"/>
        <v>1.0448767502489202</v>
      </c>
      <c r="AD109" s="123"/>
      <c r="AE109" s="3"/>
      <c r="AF109" s="122">
        <f t="shared" si="15"/>
        <v>0</v>
      </c>
      <c r="AG109" s="3"/>
    </row>
    <row r="110" spans="23:33" x14ac:dyDescent="0.3">
      <c r="W110" s="1">
        <f t="shared" si="12"/>
        <v>108</v>
      </c>
      <c r="Z110" s="129"/>
      <c r="AA110" s="1">
        <f t="shared" si="13"/>
        <v>2660.9774562309076</v>
      </c>
      <c r="AB110" s="127">
        <f t="shared" si="16"/>
        <v>368367.84004335298</v>
      </c>
      <c r="AC110" s="127">
        <f t="shared" si="14"/>
        <v>1.0524795429810085</v>
      </c>
      <c r="AD110" s="123"/>
      <c r="AE110" s="3"/>
      <c r="AF110" s="122">
        <f t="shared" si="15"/>
        <v>0</v>
      </c>
      <c r="AG110" s="3"/>
    </row>
    <row r="111" spans="23:33" x14ac:dyDescent="0.3">
      <c r="W111" s="1">
        <f t="shared" si="12"/>
        <v>109</v>
      </c>
      <c r="Z111" s="129"/>
      <c r="AA111" s="1">
        <f t="shared" si="13"/>
        <v>2584.9173125571683</v>
      </c>
      <c r="AB111" s="127">
        <f t="shared" si="16"/>
        <v>370952.75735591014</v>
      </c>
      <c r="AC111" s="127">
        <f t="shared" si="14"/>
        <v>1.0598650210168863</v>
      </c>
      <c r="AD111" s="123"/>
      <c r="AE111" s="3"/>
      <c r="AF111" s="122">
        <f t="shared" si="15"/>
        <v>0</v>
      </c>
      <c r="AG111" s="3"/>
    </row>
    <row r="112" spans="23:33" x14ac:dyDescent="0.3">
      <c r="W112" s="1">
        <f t="shared" si="12"/>
        <v>110</v>
      </c>
      <c r="Z112" s="129"/>
      <c r="AA112" s="1">
        <f t="shared" si="13"/>
        <v>2511.0312367028023</v>
      </c>
      <c r="AB112" s="127">
        <f t="shared" si="16"/>
        <v>373463.78859261295</v>
      </c>
      <c r="AC112" s="127">
        <f t="shared" si="14"/>
        <v>1.0670393959788942</v>
      </c>
      <c r="AD112" s="123"/>
      <c r="AE112" s="3"/>
      <c r="AF112" s="122">
        <f t="shared" si="15"/>
        <v>0</v>
      </c>
      <c r="AG112" s="3"/>
    </row>
    <row r="113" spans="23:33" x14ac:dyDescent="0.3">
      <c r="W113" s="1">
        <f t="shared" si="12"/>
        <v>111</v>
      </c>
      <c r="Z113" s="129"/>
      <c r="AA113" s="1">
        <f t="shared" si="13"/>
        <v>2439.2570861230415</v>
      </c>
      <c r="AB113" s="127">
        <f t="shared" si="16"/>
        <v>375903.045678736</v>
      </c>
      <c r="AC113" s="127">
        <f t="shared" si="14"/>
        <v>1.0740087019392457</v>
      </c>
      <c r="AD113" s="123"/>
      <c r="AE113" s="3"/>
      <c r="AF113" s="122">
        <f t="shared" si="15"/>
        <v>0</v>
      </c>
      <c r="AG113" s="3"/>
    </row>
    <row r="114" spans="23:33" x14ac:dyDescent="0.3">
      <c r="W114" s="1">
        <f t="shared" si="12"/>
        <v>112</v>
      </c>
      <c r="Z114" s="129"/>
      <c r="AA114" s="1">
        <f t="shared" si="13"/>
        <v>2369.534494526758</v>
      </c>
      <c r="AB114" s="127">
        <f t="shared" si="16"/>
        <v>378272.58017326274</v>
      </c>
      <c r="AC114" s="127">
        <f t="shared" si="14"/>
        <v>1.0807788004950363</v>
      </c>
      <c r="AD114" s="123"/>
      <c r="AE114" s="3"/>
      <c r="AF114" s="122">
        <f t="shared" si="15"/>
        <v>0</v>
      </c>
      <c r="AG114" s="3"/>
    </row>
    <row r="115" spans="23:33" x14ac:dyDescent="0.3">
      <c r="W115" s="1">
        <f t="shared" si="12"/>
        <v>113</v>
      </c>
      <c r="Z115" s="129"/>
      <c r="AA115" s="1">
        <f t="shared" si="13"/>
        <v>2301.8048211048467</v>
      </c>
      <c r="AB115" s="127">
        <f t="shared" si="16"/>
        <v>380574.3849943676</v>
      </c>
      <c r="AC115" s="127">
        <f t="shared" si="14"/>
        <v>1.087355385698193</v>
      </c>
      <c r="AD115" s="123"/>
      <c r="AE115" s="3"/>
      <c r="AF115" s="122">
        <f t="shared" si="15"/>
        <v>0</v>
      </c>
      <c r="AG115" s="3"/>
    </row>
    <row r="116" spans="23:33" x14ac:dyDescent="0.3">
      <c r="W116" s="1">
        <f t="shared" si="12"/>
        <v>114</v>
      </c>
      <c r="Z116" s="129"/>
      <c r="AA116" s="1">
        <f t="shared" si="13"/>
        <v>2236.0111012098564</v>
      </c>
      <c r="AB116" s="127">
        <f t="shared" si="16"/>
        <v>382810.39609557745</v>
      </c>
      <c r="AC116" s="127">
        <f t="shared" si="14"/>
        <v>1.0937439888445071</v>
      </c>
      <c r="AD116" s="123"/>
      <c r="AE116" s="3"/>
      <c r="AF116" s="122">
        <f t="shared" si="15"/>
        <v>0</v>
      </c>
      <c r="AG116" s="3"/>
    </row>
    <row r="117" spans="23:33" x14ac:dyDescent="0.3">
      <c r="W117" s="1">
        <f t="shared" si="12"/>
        <v>115</v>
      </c>
      <c r="Z117" s="129"/>
      <c r="AA117" s="1">
        <f t="shared" si="13"/>
        <v>2172.0979984453584</v>
      </c>
      <c r="AB117" s="127">
        <f t="shared" si="16"/>
        <v>384982.49409402278</v>
      </c>
      <c r="AC117" s="127">
        <f t="shared" si="14"/>
        <v>1.0999499831257795</v>
      </c>
      <c r="AD117" s="123"/>
      <c r="AE117" s="3"/>
      <c r="AF117" s="122">
        <f t="shared" si="15"/>
        <v>0</v>
      </c>
      <c r="AG117" s="3"/>
    </row>
    <row r="118" spans="23:33" x14ac:dyDescent="0.3">
      <c r="W118" s="1">
        <f t="shared" si="12"/>
        <v>116</v>
      </c>
      <c r="Z118" s="129"/>
      <c r="AA118" s="1">
        <f t="shared" si="13"/>
        <v>2110.0117581247787</v>
      </c>
      <c r="AB118" s="127">
        <f t="shared" si="16"/>
        <v>387092.50585214759</v>
      </c>
      <c r="AC118" s="127">
        <f t="shared" si="14"/>
        <v>1.105978588148993</v>
      </c>
      <c r="AD118" s="123"/>
      <c r="AE118" s="3"/>
      <c r="AF118" s="122">
        <f t="shared" si="15"/>
        <v>0</v>
      </c>
      <c r="AG118" s="3"/>
    </row>
    <row r="119" spans="23:33" x14ac:dyDescent="0.3">
      <c r="W119" s="1">
        <f t="shared" si="12"/>
        <v>117</v>
      </c>
      <c r="Z119" s="129"/>
      <c r="AA119" s="1">
        <f t="shared" si="13"/>
        <v>2049.7001620605374</v>
      </c>
      <c r="AB119" s="127">
        <f t="shared" si="16"/>
        <v>389142.20601420815</v>
      </c>
      <c r="AC119" s="127">
        <f t="shared" si="14"/>
        <v>1.1118348743263089</v>
      </c>
      <c r="AD119" s="123"/>
      <c r="AE119" s="3"/>
      <c r="AF119" s="122">
        <f t="shared" si="15"/>
        <v>0</v>
      </c>
      <c r="AG119" s="3"/>
    </row>
    <row r="120" spans="23:33" x14ac:dyDescent="0.3">
      <c r="W120" s="1">
        <f t="shared" si="12"/>
        <v>118</v>
      </c>
      <c r="Z120" s="129"/>
      <c r="AA120" s="1">
        <f t="shared" si="13"/>
        <v>1991.1124846454743</v>
      </c>
      <c r="AB120" s="127">
        <f t="shared" si="16"/>
        <v>391133.31849885359</v>
      </c>
      <c r="AC120" s="127">
        <f t="shared" si="14"/>
        <v>1.1175237671395817</v>
      </c>
      <c r="AD120" s="123"/>
      <c r="AE120" s="3"/>
      <c r="AF120" s="122">
        <f t="shared" si="15"/>
        <v>0</v>
      </c>
      <c r="AG120" s="3"/>
    </row>
    <row r="121" spans="23:33" x14ac:dyDescent="0.3">
      <c r="W121" s="1">
        <f t="shared" ref="W121:W184" si="17">W120+1</f>
        <v>119</v>
      </c>
      <c r="Z121" s="129"/>
      <c r="AA121" s="1">
        <f t="shared" si="13"/>
        <v>1934.1994501896238</v>
      </c>
      <c r="AB121" s="127">
        <f t="shared" si="16"/>
        <v>393067.51794904319</v>
      </c>
      <c r="AC121" s="127">
        <f t="shared" si="14"/>
        <v>1.1230500512829806</v>
      </c>
      <c r="AD121" s="123"/>
      <c r="AE121" s="3"/>
      <c r="AF121" s="122">
        <f t="shared" si="15"/>
        <v>0</v>
      </c>
      <c r="AG121" s="3"/>
    </row>
    <row r="122" spans="23:33" x14ac:dyDescent="0.3">
      <c r="W122" s="1">
        <f t="shared" si="17"/>
        <v>120</v>
      </c>
      <c r="Z122" s="129"/>
      <c r="AA122" s="1">
        <f t="shared" si="13"/>
        <v>1878.9131914764553</v>
      </c>
      <c r="AB122" s="127">
        <f t="shared" si="16"/>
        <v>394946.43114051962</v>
      </c>
      <c r="AC122" s="127">
        <f t="shared" si="14"/>
        <v>1.128418374687199</v>
      </c>
      <c r="AD122" s="123"/>
      <c r="AE122" s="3"/>
      <c r="AF122" s="122">
        <f t="shared" si="15"/>
        <v>0</v>
      </c>
      <c r="AG122" s="3"/>
    </row>
    <row r="123" spans="23:33" x14ac:dyDescent="0.3">
      <c r="W123" s="1">
        <f t="shared" si="17"/>
        <v>121</v>
      </c>
      <c r="Z123" s="129"/>
      <c r="AA123" s="1">
        <f t="shared" si="13"/>
        <v>1825.2072095037227</v>
      </c>
      <c r="AB123" s="127">
        <f t="shared" si="16"/>
        <v>396771.63835002336</v>
      </c>
      <c r="AC123" s="127">
        <f t="shared" si="14"/>
        <v>1.1336332524286381</v>
      </c>
      <c r="AD123" s="123"/>
      <c r="AE123" s="3"/>
      <c r="AF123" s="122">
        <f t="shared" si="15"/>
        <v>0</v>
      </c>
      <c r="AG123" s="3"/>
    </row>
    <row r="124" spans="23:33" x14ac:dyDescent="0.3">
      <c r="W124" s="1">
        <f t="shared" si="17"/>
        <v>122</v>
      </c>
      <c r="Z124" s="129"/>
      <c r="AA124" s="1">
        <f t="shared" si="13"/>
        <v>1773.0363343750639</v>
      </c>
      <c r="AB124" s="127">
        <f t="shared" si="16"/>
        <v>398544.6746843984</v>
      </c>
      <c r="AC124" s="127">
        <f t="shared" si="14"/>
        <v>1.1386990705268525</v>
      </c>
      <c r="AD124" s="123"/>
      <c r="AE124" s="3"/>
      <c r="AF124" s="122">
        <f t="shared" si="15"/>
        <v>0</v>
      </c>
      <c r="AG124" s="3"/>
    </row>
    <row r="125" spans="23:33" x14ac:dyDescent="0.3">
      <c r="W125" s="1">
        <f t="shared" si="17"/>
        <v>123</v>
      </c>
      <c r="Z125" s="129"/>
      <c r="AA125" s="1">
        <f t="shared" si="13"/>
        <v>1722.3566873094537</v>
      </c>
      <c r="AB125" s="127">
        <f t="shared" si="16"/>
        <v>400267.03137170785</v>
      </c>
      <c r="AC125" s="127">
        <f t="shared" si="14"/>
        <v>1.143620089633451</v>
      </c>
      <c r="AD125" s="123"/>
      <c r="AE125" s="3"/>
      <c r="AF125" s="122">
        <f t="shared" si="15"/>
        <v>0</v>
      </c>
      <c r="AG125" s="3"/>
    </row>
    <row r="126" spans="23:33" x14ac:dyDescent="0.3">
      <c r="W126" s="1">
        <f t="shared" si="17"/>
        <v>124</v>
      </c>
      <c r="Z126" s="129"/>
      <c r="AA126" s="1">
        <f t="shared" si="13"/>
        <v>1673.1256437365632</v>
      </c>
      <c r="AB126" s="127">
        <f t="shared" si="16"/>
        <v>401940.15701544442</v>
      </c>
      <c r="AC126" s="127">
        <f t="shared" si="14"/>
        <v>1.1484004486155555</v>
      </c>
      <c r="AD126" s="123"/>
      <c r="AE126" s="3"/>
      <c r="AF126" s="122">
        <f t="shared" si="15"/>
        <v>0</v>
      </c>
      <c r="AG126" s="3"/>
    </row>
    <row r="127" spans="23:33" x14ac:dyDescent="0.3">
      <c r="W127" s="1">
        <f t="shared" si="17"/>
        <v>125</v>
      </c>
      <c r="Z127" s="129"/>
      <c r="AA127" s="1">
        <f t="shared" si="13"/>
        <v>1625.3017974469847</v>
      </c>
      <c r="AB127" s="127">
        <f t="shared" si="16"/>
        <v>403565.45881289139</v>
      </c>
      <c r="AC127" s="127">
        <f t="shared" si="14"/>
        <v>1.1530441680368326</v>
      </c>
      <c r="AD127" s="123"/>
      <c r="AE127" s="3"/>
      <c r="AF127" s="122">
        <f t="shared" si="15"/>
        <v>0</v>
      </c>
      <c r="AG127" s="3"/>
    </row>
    <row r="128" spans="23:33" x14ac:dyDescent="0.3">
      <c r="W128" s="1">
        <f t="shared" si="17"/>
        <v>126</v>
      </c>
      <c r="Z128" s="129"/>
      <c r="AA128" s="1">
        <f t="shared" si="13"/>
        <v>1578.8449257671671</v>
      </c>
      <c r="AB128" s="127">
        <f t="shared" si="16"/>
        <v>405144.30373865855</v>
      </c>
      <c r="AC128" s="127">
        <f t="shared" si="14"/>
        <v>1.1575551535390245</v>
      </c>
      <c r="AD128" s="123"/>
      <c r="AE128" s="3"/>
      <c r="AF128" s="122">
        <f t="shared" si="15"/>
        <v>0</v>
      </c>
      <c r="AG128" s="3"/>
    </row>
    <row r="129" spans="23:33" x14ac:dyDescent="0.3">
      <c r="W129" s="1">
        <f t="shared" si="17"/>
        <v>127</v>
      </c>
      <c r="Z129" s="129"/>
      <c r="AA129" s="1">
        <f t="shared" si="13"/>
        <v>1533.7159557297807</v>
      </c>
      <c r="AB129" s="127">
        <f t="shared" si="16"/>
        <v>406678.01969438832</v>
      </c>
      <c r="AC129" s="127">
        <f t="shared" si="14"/>
        <v>1.1619371991268237</v>
      </c>
      <c r="AD129" s="123"/>
      <c r="AE129" s="3"/>
      <c r="AF129" s="122">
        <f t="shared" si="15"/>
        <v>0</v>
      </c>
      <c r="AG129" s="3"/>
    </row>
    <row r="130" spans="23:33" x14ac:dyDescent="0.3">
      <c r="W130" s="1">
        <f t="shared" si="17"/>
        <v>128</v>
      </c>
      <c r="Z130" s="129"/>
      <c r="AA130" s="1">
        <f t="shared" si="13"/>
        <v>1489.8769312110437</v>
      </c>
      <c r="AB130" s="127">
        <f t="shared" si="16"/>
        <v>408167.89662559936</v>
      </c>
      <c r="AC130" s="127">
        <f t="shared" si="14"/>
        <v>1.1661939903588552</v>
      </c>
      <c r="AD130" s="123"/>
      <c r="AE130" s="3"/>
      <c r="AF130" s="122">
        <f t="shared" si="15"/>
        <v>0</v>
      </c>
      <c r="AG130" s="3"/>
    </row>
    <row r="131" spans="23:33" x14ac:dyDescent="0.3">
      <c r="W131" s="1">
        <f t="shared" si="17"/>
        <v>129</v>
      </c>
      <c r="Z131" s="129"/>
      <c r="AA131" s="1">
        <f t="shared" ref="AA131:AA192" si="18" xml:space="preserve"> 60989*EXP(-0.029*W131)</f>
        <v>1447.290981007387</v>
      </c>
      <c r="AB131" s="127">
        <f t="shared" si="16"/>
        <v>409615.18760660675</v>
      </c>
      <c r="AC131" s="127">
        <f t="shared" ref="AC131:AC192" si="19">(AB131*100)/(35*10^6)</f>
        <v>1.170329107447448</v>
      </c>
      <c r="AD131" s="123"/>
      <c r="AE131" s="3"/>
      <c r="AF131" s="122">
        <f t="shared" ref="AF131:AF192" si="20">(AE131/(35*10^6))*100</f>
        <v>0</v>
      </c>
      <c r="AG131" s="3"/>
    </row>
    <row r="132" spans="23:33" x14ac:dyDescent="0.3">
      <c r="W132" s="1">
        <f t="shared" si="17"/>
        <v>130</v>
      </c>
      <c r="Z132" s="129"/>
      <c r="AA132" s="1">
        <f t="shared" si="18"/>
        <v>1405.9222878246003</v>
      </c>
      <c r="AB132" s="127">
        <f t="shared" ref="AB132:AB192" si="21">AB131+AA132</f>
        <v>411021.10989443137</v>
      </c>
      <c r="AC132" s="127">
        <f t="shared" si="19"/>
        <v>1.1743460282698039</v>
      </c>
      <c r="AD132" s="123"/>
      <c r="AE132" s="3"/>
      <c r="AF132" s="122">
        <f t="shared" si="20"/>
        <v>0</v>
      </c>
      <c r="AG132" s="3"/>
    </row>
    <row r="133" spans="23:33" x14ac:dyDescent="0.3">
      <c r="W133" s="1">
        <f t="shared" si="17"/>
        <v>131</v>
      </c>
      <c r="Z133" s="129"/>
      <c r="AA133" s="1">
        <f t="shared" si="18"/>
        <v>1365.7360581533731</v>
      </c>
      <c r="AB133" s="127">
        <f t="shared" si="21"/>
        <v>412386.84595258476</v>
      </c>
      <c r="AC133" s="127">
        <f t="shared" si="19"/>
        <v>1.1782481312930992</v>
      </c>
      <c r="AD133" s="123"/>
      <c r="AE133" s="3"/>
      <c r="AF133" s="122">
        <f t="shared" si="20"/>
        <v>0</v>
      </c>
      <c r="AG133" s="3"/>
    </row>
    <row r="134" spans="23:33" x14ac:dyDescent="0.3">
      <c r="W134" s="1">
        <f t="shared" si="17"/>
        <v>132</v>
      </c>
      <c r="Z134" s="129"/>
      <c r="AA134" s="1">
        <f t="shared" si="18"/>
        <v>1326.6984930059073</v>
      </c>
      <c r="AB134" s="127">
        <f t="shared" si="21"/>
        <v>413713.54444559064</v>
      </c>
      <c r="AC134" s="127">
        <f t="shared" si="19"/>
        <v>1.1820386984159734</v>
      </c>
      <c r="AD134" s="123"/>
      <c r="AE134" s="3"/>
      <c r="AF134" s="122">
        <f t="shared" si="20"/>
        <v>0</v>
      </c>
      <c r="AG134" s="3"/>
    </row>
    <row r="135" spans="23:33" x14ac:dyDescent="0.3">
      <c r="W135" s="1">
        <f t="shared" si="17"/>
        <v>133</v>
      </c>
      <c r="Z135" s="129"/>
      <c r="AA135" s="1">
        <f t="shared" si="18"/>
        <v>1288.7767594889713</v>
      </c>
      <c r="AB135" s="127">
        <f t="shared" si="21"/>
        <v>415002.32120507961</v>
      </c>
      <c r="AC135" s="127">
        <f t="shared" si="19"/>
        <v>1.1857209177287988</v>
      </c>
      <c r="AD135" s="123"/>
      <c r="AE135" s="3"/>
      <c r="AF135" s="122">
        <f t="shared" si="20"/>
        <v>0</v>
      </c>
      <c r="AG135" s="3"/>
    </row>
    <row r="136" spans="23:33" x14ac:dyDescent="0.3">
      <c r="W136" s="1">
        <f t="shared" si="17"/>
        <v>134</v>
      </c>
      <c r="Z136" s="129"/>
      <c r="AA136" s="1">
        <f t="shared" si="18"/>
        <v>1251.9389631895044</v>
      </c>
      <c r="AB136" s="127">
        <f t="shared" si="21"/>
        <v>416254.2601682691</v>
      </c>
      <c r="AC136" s="127">
        <f t="shared" si="19"/>
        <v>1.1892978861950547</v>
      </c>
      <c r="AD136" s="123"/>
      <c r="AE136" s="3"/>
      <c r="AF136" s="122">
        <f t="shared" si="20"/>
        <v>0</v>
      </c>
      <c r="AG136" s="3"/>
    </row>
    <row r="137" spans="23:33" x14ac:dyDescent="0.3">
      <c r="W137" s="1">
        <f t="shared" si="17"/>
        <v>135</v>
      </c>
      <c r="Z137" s="129"/>
      <c r="AA137" s="1">
        <f t="shared" si="18"/>
        <v>1216.1541213495354</v>
      </c>
      <c r="AB137" s="127">
        <f t="shared" si="21"/>
        <v>417470.41428961861</v>
      </c>
      <c r="AC137" s="127">
        <f t="shared" si="19"/>
        <v>1.1927726122560531</v>
      </c>
      <c r="AD137" s="123"/>
      <c r="AE137" s="3"/>
      <c r="AF137" s="122">
        <f t="shared" si="20"/>
        <v>0</v>
      </c>
      <c r="AG137" s="3"/>
    </row>
    <row r="138" spans="23:33" x14ac:dyDescent="0.3">
      <c r="W138" s="1">
        <f t="shared" si="17"/>
        <v>136</v>
      </c>
      <c r="Z138" s="129"/>
      <c r="AA138" s="1">
        <f t="shared" si="18"/>
        <v>1181.3921368078554</v>
      </c>
      <c r="AB138" s="127">
        <f t="shared" si="21"/>
        <v>418651.80642642645</v>
      </c>
      <c r="AC138" s="127">
        <f t="shared" si="19"/>
        <v>1.1961480183612185</v>
      </c>
      <c r="AD138" s="123"/>
      <c r="AE138" s="3"/>
      <c r="AF138" s="122">
        <f t="shared" si="20"/>
        <v>0</v>
      </c>
      <c r="AG138" s="3"/>
    </row>
    <row r="139" spans="23:33" x14ac:dyDescent="0.3">
      <c r="W139" s="1">
        <f t="shared" si="17"/>
        <v>137</v>
      </c>
      <c r="Z139" s="129"/>
      <c r="AA139" s="1">
        <f t="shared" si="18"/>
        <v>1147.6237726865345</v>
      </c>
      <c r="AB139" s="127">
        <f t="shared" si="21"/>
        <v>419799.43019911298</v>
      </c>
      <c r="AC139" s="127">
        <f t="shared" si="19"/>
        <v>1.199426943426037</v>
      </c>
      <c r="AD139" s="123"/>
      <c r="AE139" s="3"/>
      <c r="AF139" s="122">
        <f t="shared" si="20"/>
        <v>0</v>
      </c>
      <c r="AG139" s="3"/>
    </row>
    <row r="140" spans="23:33" x14ac:dyDescent="0.3">
      <c r="W140" s="1">
        <f t="shared" si="17"/>
        <v>138</v>
      </c>
      <c r="Z140" s="129"/>
      <c r="AA140" s="1">
        <f t="shared" si="18"/>
        <v>1114.8206278009804</v>
      </c>
      <c r="AB140" s="127">
        <f t="shared" si="21"/>
        <v>420914.25082691398</v>
      </c>
      <c r="AC140" s="127">
        <f t="shared" si="19"/>
        <v>1.2026121452197542</v>
      </c>
      <c r="AD140" s="123"/>
      <c r="AE140" s="3"/>
      <c r="AF140" s="122">
        <f t="shared" si="20"/>
        <v>0</v>
      </c>
      <c r="AG140" s="3"/>
    </row>
    <row r="141" spans="23:33" x14ac:dyDescent="0.3">
      <c r="W141" s="1">
        <f t="shared" si="17"/>
        <v>139</v>
      </c>
      <c r="Z141" s="129"/>
      <c r="AA141" s="1">
        <f t="shared" si="18"/>
        <v>1082.9551127728685</v>
      </c>
      <c r="AB141" s="127">
        <f t="shared" si="21"/>
        <v>421997.20593968686</v>
      </c>
      <c r="AC141" s="127">
        <f t="shared" si="19"/>
        <v>1.2057063026848196</v>
      </c>
      <c r="AD141" s="123"/>
      <c r="AE141" s="3"/>
      <c r="AF141" s="122">
        <f t="shared" si="20"/>
        <v>0</v>
      </c>
      <c r="AG141" s="3"/>
    </row>
    <row r="142" spans="23:33" x14ac:dyDescent="0.3">
      <c r="W142" s="1">
        <f t="shared" si="17"/>
        <v>140</v>
      </c>
      <c r="Z142" s="129"/>
      <c r="AA142" s="1">
        <f t="shared" si="18"/>
        <v>1052.0004268258533</v>
      </c>
      <c r="AB142" s="127">
        <f t="shared" si="21"/>
        <v>423049.20636651269</v>
      </c>
      <c r="AC142" s="127">
        <f t="shared" si="19"/>
        <v>1.2087120181900364</v>
      </c>
      <c r="AD142" s="123"/>
      <c r="AE142" s="3"/>
      <c r="AF142" s="122">
        <f t="shared" si="20"/>
        <v>0</v>
      </c>
      <c r="AG142" s="3"/>
    </row>
    <row r="143" spans="23:33" x14ac:dyDescent="0.3">
      <c r="W143" s="1">
        <f t="shared" si="17"/>
        <v>141</v>
      </c>
      <c r="Z143" s="129"/>
      <c r="AA143" s="1">
        <f t="shared" si="18"/>
        <v>1021.9305352445298</v>
      </c>
      <c r="AB143" s="127">
        <f t="shared" si="21"/>
        <v>424071.13690175721</v>
      </c>
      <c r="AC143" s="127">
        <f t="shared" si="19"/>
        <v>1.2116318197193063</v>
      </c>
      <c r="AD143" s="123"/>
      <c r="AE143" s="3"/>
      <c r="AF143" s="122">
        <f t="shared" si="20"/>
        <v>0</v>
      </c>
      <c r="AG143" s="3"/>
    </row>
    <row r="144" spans="23:33" x14ac:dyDescent="0.3">
      <c r="W144" s="1">
        <f t="shared" si="17"/>
        <v>142</v>
      </c>
      <c r="Z144" s="129"/>
      <c r="AA144" s="1">
        <f t="shared" si="18"/>
        <v>992.72014747770618</v>
      </c>
      <c r="AB144" s="127">
        <f t="shared" si="21"/>
        <v>425063.85704923491</v>
      </c>
      <c r="AC144" s="127">
        <f t="shared" si="19"/>
        <v>1.214468162997814</v>
      </c>
      <c r="AD144" s="123"/>
      <c r="AE144" s="3"/>
      <c r="AF144" s="122">
        <f t="shared" si="20"/>
        <v>0</v>
      </c>
      <c r="AG144" s="3"/>
    </row>
    <row r="145" spans="23:33" x14ac:dyDescent="0.3">
      <c r="W145" s="1">
        <f t="shared" si="17"/>
        <v>143</v>
      </c>
      <c r="Z145" s="129"/>
      <c r="AA145" s="1">
        <f t="shared" si="18"/>
        <v>964.34469586755995</v>
      </c>
      <c r="AB145" s="127">
        <f t="shared" si="21"/>
        <v>426028.20174510247</v>
      </c>
      <c r="AC145" s="127">
        <f t="shared" si="19"/>
        <v>1.2172234335574357</v>
      </c>
      <c r="AD145" s="123"/>
      <c r="AE145" s="3"/>
      <c r="AF145" s="122">
        <f t="shared" si="20"/>
        <v>0</v>
      </c>
      <c r="AG145" s="3"/>
    </row>
    <row r="146" spans="23:33" x14ac:dyDescent="0.3">
      <c r="W146" s="1">
        <f t="shared" si="17"/>
        <v>144</v>
      </c>
      <c r="Z146" s="129"/>
      <c r="AA146" s="1">
        <f t="shared" si="18"/>
        <v>936.78031498678854</v>
      </c>
      <c r="AB146" s="127">
        <f t="shared" si="21"/>
        <v>426964.98206008924</v>
      </c>
      <c r="AC146" s="127">
        <f t="shared" si="19"/>
        <v>1.2198999487431121</v>
      </c>
      <c r="AD146" s="123"/>
      <c r="AE146" s="3"/>
      <c r="AF146" s="122">
        <f t="shared" si="20"/>
        <v>0</v>
      </c>
      <c r="AG146" s="3"/>
    </row>
    <row r="147" spans="23:33" x14ac:dyDescent="0.3">
      <c r="W147" s="1">
        <f t="shared" si="17"/>
        <v>145</v>
      </c>
      <c r="Z147" s="129"/>
      <c r="AA147" s="1">
        <f t="shared" si="18"/>
        <v>910.00382156637863</v>
      </c>
      <c r="AB147" s="127">
        <f t="shared" si="21"/>
        <v>427874.98588165559</v>
      </c>
      <c r="AC147" s="127">
        <f t="shared" si="19"/>
        <v>1.2224999596618731</v>
      </c>
      <c r="AD147" s="123"/>
      <c r="AE147" s="3"/>
      <c r="AF147" s="122">
        <f t="shared" si="20"/>
        <v>0</v>
      </c>
      <c r="AG147" s="3"/>
    </row>
    <row r="148" spans="23:33" x14ac:dyDescent="0.3">
      <c r="W148" s="1">
        <f t="shared" si="17"/>
        <v>146</v>
      </c>
      <c r="Z148" s="129"/>
      <c r="AA148" s="1">
        <f t="shared" si="18"/>
        <v>883.99269499711068</v>
      </c>
      <c r="AB148" s="127">
        <f t="shared" si="21"/>
        <v>428758.97857665271</v>
      </c>
      <c r="AC148" s="127">
        <f t="shared" si="19"/>
        <v>1.2250256530761505</v>
      </c>
      <c r="AD148" s="123"/>
      <c r="AE148" s="3"/>
      <c r="AF148" s="122">
        <f t="shared" si="20"/>
        <v>0</v>
      </c>
      <c r="AG148" s="3"/>
    </row>
    <row r="149" spans="23:33" x14ac:dyDescent="0.3">
      <c r="W149" s="1">
        <f t="shared" si="17"/>
        <v>147</v>
      </c>
      <c r="Z149" s="129"/>
      <c r="AA149" s="1">
        <f t="shared" si="18"/>
        <v>858.72505838839913</v>
      </c>
      <c r="AB149" s="127">
        <f t="shared" si="21"/>
        <v>429617.70363504108</v>
      </c>
      <c r="AC149" s="127">
        <f t="shared" si="19"/>
        <v>1.2274791532429745</v>
      </c>
      <c r="AD149" s="123"/>
      <c r="AE149" s="3"/>
      <c r="AF149" s="122">
        <f t="shared" si="20"/>
        <v>0</v>
      </c>
      <c r="AG149" s="3"/>
    </row>
    <row r="150" spans="23:33" x14ac:dyDescent="0.3">
      <c r="W150" s="1">
        <f t="shared" si="17"/>
        <v>148</v>
      </c>
      <c r="Z150" s="129"/>
      <c r="AA150" s="1">
        <f t="shared" si="18"/>
        <v>834.17966016853745</v>
      </c>
      <c r="AB150" s="127">
        <f t="shared" si="21"/>
        <v>430451.88329520961</v>
      </c>
      <c r="AC150" s="127">
        <f t="shared" si="19"/>
        <v>1.2298625237005989</v>
      </c>
      <c r="AD150" s="123"/>
      <c r="AE150" s="3"/>
      <c r="AF150" s="122">
        <f t="shared" si="20"/>
        <v>0</v>
      </c>
      <c r="AG150" s="3"/>
    </row>
    <row r="151" spans="23:33" x14ac:dyDescent="0.3">
      <c r="W151" s="1">
        <f t="shared" si="17"/>
        <v>149</v>
      </c>
      <c r="Z151" s="129"/>
      <c r="AA151" s="1">
        <f t="shared" si="18"/>
        <v>810.33585621087389</v>
      </c>
      <c r="AB151" s="127">
        <f t="shared" si="21"/>
        <v>431262.21915142046</v>
      </c>
      <c r="AC151" s="127">
        <f t="shared" si="19"/>
        <v>1.2321777690040585</v>
      </c>
      <c r="AD151" s="123"/>
      <c r="AE151" s="3"/>
      <c r="AF151" s="122">
        <f t="shared" si="20"/>
        <v>0</v>
      </c>
      <c r="AG151" s="3"/>
    </row>
    <row r="152" spans="23:33" x14ac:dyDescent="0.3">
      <c r="W152" s="1">
        <f t="shared" si="17"/>
        <v>150</v>
      </c>
      <c r="Z152" s="129"/>
      <c r="AA152" s="1">
        <f t="shared" si="18"/>
        <v>787.17359247088632</v>
      </c>
      <c r="AB152" s="127">
        <f t="shared" si="21"/>
        <v>432049.39274389134</v>
      </c>
      <c r="AC152" s="127">
        <f t="shared" si="19"/>
        <v>1.2344268364111182</v>
      </c>
      <c r="AD152" s="123"/>
      <c r="AE152" s="3"/>
      <c r="AF152" s="122">
        <f t="shared" si="20"/>
        <v>0</v>
      </c>
      <c r="AG152" s="3"/>
    </row>
    <row r="153" spans="23:33" x14ac:dyDescent="0.3">
      <c r="W153" s="1">
        <f t="shared" si="17"/>
        <v>151</v>
      </c>
      <c r="Z153" s="129"/>
      <c r="AA153" s="1">
        <f t="shared" si="18"/>
        <v>764.67338811954448</v>
      </c>
      <c r="AB153" s="127">
        <f t="shared" si="21"/>
        <v>432814.06613201089</v>
      </c>
      <c r="AC153" s="127">
        <f t="shared" si="19"/>
        <v>1.236611617520031</v>
      </c>
      <c r="AD153" s="123"/>
      <c r="AE153" s="3"/>
      <c r="AF153" s="122">
        <f t="shared" si="20"/>
        <v>0</v>
      </c>
      <c r="AG153" s="3"/>
    </row>
    <row r="154" spans="23:33" x14ac:dyDescent="0.3">
      <c r="W154" s="1">
        <f t="shared" si="17"/>
        <v>152</v>
      </c>
      <c r="Z154" s="129"/>
      <c r="AA154" s="1">
        <f t="shared" si="18"/>
        <v>742.81631915878779</v>
      </c>
      <c r="AB154" s="127">
        <f t="shared" si="21"/>
        <v>433556.88245116966</v>
      </c>
      <c r="AC154" s="127">
        <f t="shared" si="19"/>
        <v>1.2387339498604848</v>
      </c>
      <c r="AD154" s="123"/>
      <c r="AE154" s="3"/>
      <c r="AF154" s="122">
        <f t="shared" si="20"/>
        <v>0</v>
      </c>
      <c r="AG154" s="3"/>
    </row>
    <row r="155" spans="23:33" x14ac:dyDescent="0.3">
      <c r="W155" s="1">
        <f t="shared" si="17"/>
        <v>153</v>
      </c>
      <c r="Z155" s="129"/>
      <c r="AA155" s="1">
        <f t="shared" si="18"/>
        <v>721.58400250532691</v>
      </c>
      <c r="AB155" s="127">
        <f t="shared" si="21"/>
        <v>434278.46645367501</v>
      </c>
      <c r="AC155" s="127">
        <f t="shared" si="19"/>
        <v>1.2407956184390716</v>
      </c>
      <c r="AD155" s="123"/>
      <c r="AE155" s="3"/>
      <c r="AF155" s="122">
        <f t="shared" si="20"/>
        <v>0</v>
      </c>
      <c r="AG155" s="3"/>
    </row>
    <row r="156" spans="23:33" x14ac:dyDescent="0.3">
      <c r="W156" s="1">
        <f t="shared" si="17"/>
        <v>154</v>
      </c>
      <c r="Z156" s="129"/>
      <c r="AA156" s="1">
        <f t="shared" si="18"/>
        <v>700.95858052938638</v>
      </c>
      <c r="AB156" s="127">
        <f t="shared" si="21"/>
        <v>434979.42503420438</v>
      </c>
      <c r="AC156" s="127">
        <f t="shared" si="19"/>
        <v>1.2427983572405839</v>
      </c>
      <c r="AD156" s="123"/>
      <c r="AE156" s="3"/>
      <c r="AF156" s="122">
        <f t="shared" si="20"/>
        <v>0</v>
      </c>
      <c r="AG156" s="3"/>
    </row>
    <row r="157" spans="23:33" x14ac:dyDescent="0.3">
      <c r="W157" s="1">
        <f t="shared" si="17"/>
        <v>155</v>
      </c>
      <c r="Z157" s="129"/>
      <c r="AA157" s="1">
        <f t="shared" si="18"/>
        <v>680.92270603538645</v>
      </c>
      <c r="AB157" s="127">
        <f t="shared" si="21"/>
        <v>435660.34774023975</v>
      </c>
      <c r="AC157" s="127">
        <f t="shared" si="19"/>
        <v>1.2447438506863993</v>
      </c>
      <c r="AD157" s="123"/>
      <c r="AE157" s="3"/>
      <c r="AF157" s="122">
        <f t="shared" si="20"/>
        <v>0</v>
      </c>
      <c r="AG157" s="3"/>
    </row>
    <row r="158" spans="23:33" x14ac:dyDescent="0.3">
      <c r="W158" s="1">
        <f t="shared" si="17"/>
        <v>156</v>
      </c>
      <c r="Z158" s="129"/>
      <c r="AA158" s="1">
        <f t="shared" si="18"/>
        <v>661.45952767192853</v>
      </c>
      <c r="AB158" s="127">
        <f t="shared" si="21"/>
        <v>436321.80726791167</v>
      </c>
      <c r="AC158" s="127">
        <f t="shared" si="19"/>
        <v>1.2466337350511763</v>
      </c>
      <c r="AD158" s="123"/>
      <c r="AE158" s="3"/>
      <c r="AF158" s="122">
        <f t="shared" si="20"/>
        <v>0</v>
      </c>
      <c r="AG158" s="3"/>
    </row>
    <row r="159" spans="23:33" x14ac:dyDescent="0.3">
      <c r="W159" s="1">
        <f t="shared" si="17"/>
        <v>157</v>
      </c>
      <c r="Z159" s="129"/>
      <c r="AA159" s="1">
        <f t="shared" si="18"/>
        <v>642.55267575881521</v>
      </c>
      <c r="AB159" s="127">
        <f t="shared" si="21"/>
        <v>436964.35994367051</v>
      </c>
      <c r="AC159" s="127">
        <f t="shared" si="19"/>
        <v>1.2484695998390585</v>
      </c>
      <c r="AD159" s="123"/>
      <c r="AE159" s="3"/>
      <c r="AF159" s="122">
        <f t="shared" si="20"/>
        <v>0</v>
      </c>
      <c r="AG159" s="3"/>
    </row>
    <row r="160" spans="23:33" x14ac:dyDescent="0.3">
      <c r="W160" s="1">
        <f t="shared" si="17"/>
        <v>158</v>
      </c>
      <c r="Z160" s="129"/>
      <c r="AA160" s="1">
        <f t="shared" si="18"/>
        <v>624.18624851918503</v>
      </c>
      <c r="AB160" s="127">
        <f t="shared" si="21"/>
        <v>437588.54619218968</v>
      </c>
      <c r="AC160" s="127">
        <f t="shared" si="19"/>
        <v>1.2502529891205418</v>
      </c>
      <c r="AD160" s="123"/>
      <c r="AE160" s="3"/>
      <c r="AF160" s="122">
        <f t="shared" si="20"/>
        <v>0</v>
      </c>
      <c r="AG160" s="3"/>
    </row>
    <row r="161" spans="23:33" x14ac:dyDescent="0.3">
      <c r="W161" s="1">
        <f t="shared" si="17"/>
        <v>159</v>
      </c>
      <c r="Z161" s="129"/>
      <c r="AA161" s="1">
        <f t="shared" si="18"/>
        <v>606.34479870517976</v>
      </c>
      <c r="AB161" s="127">
        <f t="shared" si="21"/>
        <v>438194.89099089487</v>
      </c>
      <c r="AC161" s="127">
        <f t="shared" si="19"/>
        <v>1.2519854028311281</v>
      </c>
      <c r="AD161" s="123"/>
      <c r="AE161" s="3"/>
      <c r="AF161" s="122">
        <f t="shared" si="20"/>
        <v>0</v>
      </c>
      <c r="AG161" s="3"/>
    </row>
    <row r="162" spans="23:33" x14ac:dyDescent="0.3">
      <c r="W162" s="1">
        <f t="shared" si="17"/>
        <v>160</v>
      </c>
      <c r="Z162" s="129"/>
      <c r="AA162" s="1">
        <f t="shared" si="18"/>
        <v>589.01332060590096</v>
      </c>
      <c r="AB162" s="127">
        <f t="shared" si="21"/>
        <v>438783.90431150078</v>
      </c>
      <c r="AC162" s="127">
        <f t="shared" si="19"/>
        <v>1.2536682980328593</v>
      </c>
      <c r="AD162" s="123"/>
      <c r="AE162" s="3"/>
      <c r="AF162" s="122">
        <f t="shared" si="20"/>
        <v>0</v>
      </c>
      <c r="AG162" s="3"/>
    </row>
    <row r="163" spans="23:33" x14ac:dyDescent="0.3">
      <c r="W163" s="1">
        <f t="shared" si="17"/>
        <v>161</v>
      </c>
      <c r="Z163" s="129"/>
      <c r="AA163" s="1">
        <f t="shared" si="18"/>
        <v>572.1772374267191</v>
      </c>
      <c r="AB163" s="127">
        <f t="shared" si="21"/>
        <v>439356.08154892753</v>
      </c>
      <c r="AC163" s="127">
        <f t="shared" si="19"/>
        <v>1.2553030901397928</v>
      </c>
      <c r="AD163" s="123"/>
      <c r="AE163" s="3"/>
      <c r="AF163" s="122">
        <f t="shared" si="20"/>
        <v>0</v>
      </c>
      <c r="AG163" s="3"/>
    </row>
    <row r="164" spans="23:33" x14ac:dyDescent="0.3">
      <c r="W164" s="1">
        <f t="shared" si="17"/>
        <v>162</v>
      </c>
      <c r="Z164" s="129"/>
      <c r="AA164" s="1">
        <f t="shared" si="18"/>
        <v>555.82238902933273</v>
      </c>
      <c r="AB164" s="127">
        <f t="shared" si="21"/>
        <v>439911.90393795684</v>
      </c>
      <c r="AC164" s="127">
        <f t="shared" si="19"/>
        <v>1.2568911541084482</v>
      </c>
      <c r="AD164" s="123"/>
      <c r="AE164" s="3"/>
      <c r="AF164" s="122">
        <f t="shared" si="20"/>
        <v>0</v>
      </c>
      <c r="AG164" s="3"/>
    </row>
    <row r="165" spans="23:33" x14ac:dyDescent="0.3">
      <c r="W165" s="1">
        <f t="shared" si="17"/>
        <v>163</v>
      </c>
      <c r="Z165" s="129"/>
      <c r="AA165" s="1">
        <f t="shared" si="18"/>
        <v>539.93502002225614</v>
      </c>
      <c r="AB165" s="127">
        <f t="shared" si="21"/>
        <v>440451.83895797911</v>
      </c>
      <c r="AC165" s="127">
        <f t="shared" si="19"/>
        <v>1.258433825594226</v>
      </c>
      <c r="AD165" s="123"/>
      <c r="AE165" s="3"/>
      <c r="AF165" s="122">
        <f t="shared" si="20"/>
        <v>0</v>
      </c>
      <c r="AG165" s="3"/>
    </row>
    <row r="166" spans="23:33" x14ac:dyDescent="0.3">
      <c r="W166" s="1">
        <f t="shared" si="17"/>
        <v>164</v>
      </c>
      <c r="Z166" s="129"/>
      <c r="AA166" s="1">
        <f t="shared" si="18"/>
        <v>524.50176819172566</v>
      </c>
      <c r="AB166" s="127">
        <f t="shared" si="21"/>
        <v>440976.34072617086</v>
      </c>
      <c r="AC166" s="127">
        <f t="shared" si="19"/>
        <v>1.2599324020747737</v>
      </c>
      <c r="AD166" s="123"/>
      <c r="AE166" s="3"/>
      <c r="AF166" s="122">
        <f t="shared" si="20"/>
        <v>0</v>
      </c>
      <c r="AG166" s="3"/>
    </row>
    <row r="167" spans="23:33" x14ac:dyDescent="0.3">
      <c r="W167" s="1">
        <f t="shared" si="17"/>
        <v>165</v>
      </c>
      <c r="Z167" s="129"/>
      <c r="AA167" s="1">
        <f t="shared" si="18"/>
        <v>509.5096532632889</v>
      </c>
      <c r="AB167" s="127">
        <f t="shared" si="21"/>
        <v>441485.85037943418</v>
      </c>
      <c r="AC167" s="127">
        <f t="shared" si="19"/>
        <v>1.2613881439412404</v>
      </c>
      <c r="AD167" s="123"/>
      <c r="AE167" s="3"/>
      <c r="AF167" s="122">
        <f t="shared" si="20"/>
        <v>0</v>
      </c>
      <c r="AG167" s="3"/>
    </row>
    <row r="168" spans="23:33" x14ac:dyDescent="0.3">
      <c r="W168" s="1">
        <f t="shared" si="17"/>
        <v>166</v>
      </c>
      <c r="Z168" s="129"/>
      <c r="AA168" s="1">
        <f t="shared" si="18"/>
        <v>494.94606598462991</v>
      </c>
      <c r="AB168" s="127">
        <f t="shared" si="21"/>
        <v>441980.79644541879</v>
      </c>
      <c r="AC168" s="127">
        <f t="shared" si="19"/>
        <v>1.2628022755583395</v>
      </c>
      <c r="AD168" s="123"/>
      <c r="AE168" s="3"/>
      <c r="AF168" s="122">
        <f t="shared" si="20"/>
        <v>0</v>
      </c>
      <c r="AG168" s="3"/>
    </row>
    <row r="169" spans="23:33" x14ac:dyDescent="0.3">
      <c r="W169" s="1">
        <f t="shared" si="17"/>
        <v>167</v>
      </c>
      <c r="Z169" s="129"/>
      <c r="AA169" s="1">
        <f t="shared" si="18"/>
        <v>480.7987575204441</v>
      </c>
      <c r="AB169" s="127">
        <f t="shared" si="21"/>
        <v>442461.59520293924</v>
      </c>
      <c r="AC169" s="127">
        <f t="shared" si="19"/>
        <v>1.264175986294112</v>
      </c>
      <c r="AD169" s="123"/>
      <c r="AE169" s="3"/>
      <c r="AF169" s="122">
        <f t="shared" si="20"/>
        <v>0</v>
      </c>
      <c r="AG169" s="3"/>
    </row>
    <row r="170" spans="23:33" x14ac:dyDescent="0.3">
      <c r="W170" s="1">
        <f t="shared" si="17"/>
        <v>168</v>
      </c>
      <c r="Z170" s="129"/>
      <c r="AA170" s="1">
        <f t="shared" si="18"/>
        <v>467.05582915044624</v>
      </c>
      <c r="AB170" s="127">
        <f t="shared" si="21"/>
        <v>442928.65103208966</v>
      </c>
      <c r="AC170" s="127">
        <f t="shared" si="19"/>
        <v>1.2655104315202561</v>
      </c>
      <c r="AD170" s="123"/>
      <c r="AE170" s="3"/>
      <c r="AF170" s="122">
        <f t="shared" si="20"/>
        <v>0</v>
      </c>
      <c r="AG170" s="3"/>
    </row>
    <row r="171" spans="23:33" x14ac:dyDescent="0.3">
      <c r="W171" s="1">
        <f t="shared" si="17"/>
        <v>169</v>
      </c>
      <c r="Z171" s="129"/>
      <c r="AA171" s="1">
        <f t="shared" si="18"/>
        <v>453.70572226184476</v>
      </c>
      <c r="AB171" s="127">
        <f t="shared" si="21"/>
        <v>443382.35675435152</v>
      </c>
      <c r="AC171" s="127">
        <f t="shared" si="19"/>
        <v>1.2668067335838615</v>
      </c>
      <c r="AD171" s="123"/>
      <c r="AE171" s="3"/>
      <c r="AF171" s="122">
        <f t="shared" si="20"/>
        <v>0</v>
      </c>
      <c r="AG171" s="3"/>
    </row>
    <row r="172" spans="23:33" x14ac:dyDescent="0.3">
      <c r="W172" s="1">
        <f t="shared" si="17"/>
        <v>170</v>
      </c>
      <c r="Z172" s="129"/>
      <c r="AA172" s="1">
        <f t="shared" si="18"/>
        <v>440.73720862786865</v>
      </c>
      <c r="AB172" s="127">
        <f t="shared" si="21"/>
        <v>443823.09396297939</v>
      </c>
      <c r="AC172" s="127">
        <f t="shared" si="19"/>
        <v>1.2680659827513696</v>
      </c>
      <c r="AD172" s="123"/>
      <c r="AE172" s="3"/>
      <c r="AF172" s="122">
        <f t="shared" si="20"/>
        <v>0</v>
      </c>
      <c r="AG172" s="3"/>
    </row>
    <row r="173" spans="23:33" x14ac:dyDescent="0.3">
      <c r="W173" s="1">
        <f t="shared" si="17"/>
        <v>171</v>
      </c>
      <c r="Z173" s="129"/>
      <c r="AA173" s="1">
        <f t="shared" si="18"/>
        <v>428.13938096416462</v>
      </c>
      <c r="AB173" s="127">
        <f t="shared" si="21"/>
        <v>444251.23334394355</v>
      </c>
      <c r="AC173" s="127">
        <f t="shared" si="19"/>
        <v>1.2692892381255532</v>
      </c>
      <c r="AD173" s="123"/>
      <c r="AE173" s="3"/>
      <c r="AF173" s="122">
        <f t="shared" si="20"/>
        <v>0</v>
      </c>
      <c r="AG173" s="3"/>
    </row>
    <row r="174" spans="23:33" x14ac:dyDescent="0.3">
      <c r="W174" s="1">
        <f t="shared" si="17"/>
        <v>172</v>
      </c>
      <c r="Z174" s="129"/>
      <c r="AA174" s="1">
        <f t="shared" si="18"/>
        <v>415.90164375512961</v>
      </c>
      <c r="AB174" s="127">
        <f t="shared" si="21"/>
        <v>444667.13498769869</v>
      </c>
      <c r="AC174" s="127">
        <f t="shared" si="19"/>
        <v>1.2704775285362822</v>
      </c>
      <c r="AD174" s="123"/>
      <c r="AE174" s="3"/>
      <c r="AF174" s="122">
        <f t="shared" si="20"/>
        <v>0</v>
      </c>
      <c r="AG174" s="3"/>
    </row>
    <row r="175" spans="23:33" x14ac:dyDescent="0.3">
      <c r="W175" s="1">
        <f t="shared" si="17"/>
        <v>173</v>
      </c>
      <c r="Z175" s="129"/>
      <c r="AA175" s="1">
        <f t="shared" si="18"/>
        <v>404.01370434245746</v>
      </c>
      <c r="AB175" s="127">
        <f t="shared" si="21"/>
        <v>445071.14869204117</v>
      </c>
      <c r="AC175" s="127">
        <f t="shared" si="19"/>
        <v>1.271631853405832</v>
      </c>
      <c r="AD175" s="123"/>
      <c r="AE175" s="3"/>
      <c r="AF175" s="122">
        <f t="shared" si="20"/>
        <v>0</v>
      </c>
      <c r="AG175" s="3"/>
    </row>
    <row r="176" spans="23:33" x14ac:dyDescent="0.3">
      <c r="W176" s="1">
        <f t="shared" si="17"/>
        <v>174</v>
      </c>
      <c r="Z176" s="129"/>
      <c r="AA176" s="1">
        <f t="shared" si="18"/>
        <v>392.46556426840624</v>
      </c>
      <c r="AB176" s="127">
        <f t="shared" si="21"/>
        <v>445463.61425630958</v>
      </c>
      <c r="AC176" s="127">
        <f t="shared" si="19"/>
        <v>1.2727531835894559</v>
      </c>
      <c r="AD176" s="123"/>
      <c r="AE176" s="3"/>
      <c r="AF176" s="122">
        <f t="shared" si="20"/>
        <v>0</v>
      </c>
      <c r="AG176" s="3"/>
    </row>
    <row r="177" spans="23:33" x14ac:dyDescent="0.3">
      <c r="W177" s="1">
        <f t="shared" si="17"/>
        <v>175</v>
      </c>
      <c r="Z177" s="129"/>
      <c r="AA177" s="1">
        <f t="shared" si="18"/>
        <v>381.24751086650633</v>
      </c>
      <c r="AB177" s="127">
        <f t="shared" si="21"/>
        <v>445844.86176717607</v>
      </c>
      <c r="AC177" s="127">
        <f t="shared" si="19"/>
        <v>1.2738424621919318</v>
      </c>
      <c r="AD177" s="123"/>
      <c r="AE177" s="3"/>
      <c r="AF177" s="122">
        <f t="shared" si="20"/>
        <v>0</v>
      </c>
      <c r="AG177" s="3"/>
    </row>
    <row r="178" spans="23:33" x14ac:dyDescent="0.3">
      <c r="W178" s="1">
        <f t="shared" si="17"/>
        <v>176</v>
      </c>
      <c r="Z178" s="129"/>
      <c r="AA178" s="1">
        <f t="shared" si="18"/>
        <v>370.35010909263514</v>
      </c>
      <c r="AB178" s="127">
        <f t="shared" si="21"/>
        <v>446215.21187626873</v>
      </c>
      <c r="AC178" s="127">
        <f t="shared" si="19"/>
        <v>1.2749006053607679</v>
      </c>
      <c r="AD178" s="123"/>
      <c r="AE178" s="3"/>
      <c r="AF178" s="122">
        <f t="shared" si="20"/>
        <v>0</v>
      </c>
      <c r="AG178" s="3"/>
    </row>
    <row r="179" spans="23:33" x14ac:dyDescent="0.3">
      <c r="W179" s="1">
        <f t="shared" si="17"/>
        <v>177</v>
      </c>
      <c r="Z179" s="129"/>
      <c r="AA179" s="1">
        <f t="shared" si="18"/>
        <v>359.76419358958901</v>
      </c>
      <c r="AB179" s="127">
        <f t="shared" si="21"/>
        <v>446574.9760698583</v>
      </c>
      <c r="AC179" s="127">
        <f t="shared" si="19"/>
        <v>1.275928503056738</v>
      </c>
      <c r="AD179" s="123"/>
      <c r="AE179" s="3"/>
      <c r="AF179" s="122">
        <f t="shared" si="20"/>
        <v>0</v>
      </c>
      <c r="AG179" s="3"/>
    </row>
    <row r="180" spans="23:33" x14ac:dyDescent="0.3">
      <c r="W180" s="1">
        <f t="shared" si="17"/>
        <v>178</v>
      </c>
      <c r="Z180" s="129"/>
      <c r="AA180" s="1">
        <f t="shared" si="18"/>
        <v>349.48086097847778</v>
      </c>
      <c r="AB180" s="127">
        <f t="shared" si="21"/>
        <v>446924.45693083678</v>
      </c>
      <c r="AC180" s="127">
        <f t="shared" si="19"/>
        <v>1.276927019802391</v>
      </c>
      <c r="AD180" s="123"/>
      <c r="AE180" s="3"/>
      <c r="AF180" s="122">
        <f t="shared" si="20"/>
        <v>0</v>
      </c>
      <c r="AG180" s="3"/>
    </row>
    <row r="181" spans="23:33" x14ac:dyDescent="0.3">
      <c r="W181" s="1">
        <f t="shared" si="17"/>
        <v>179</v>
      </c>
      <c r="Z181" s="129"/>
      <c r="AA181" s="1">
        <f t="shared" si="18"/>
        <v>339.49146237045795</v>
      </c>
      <c r="AB181" s="127">
        <f t="shared" si="21"/>
        <v>447263.94839320722</v>
      </c>
      <c r="AC181" s="127">
        <f t="shared" si="19"/>
        <v>1.2778969954091635</v>
      </c>
      <c r="AD181" s="123"/>
      <c r="AE181" s="3"/>
      <c r="AF181" s="122">
        <f t="shared" si="20"/>
        <v>0</v>
      </c>
      <c r="AG181" s="3"/>
    </row>
    <row r="182" spans="23:33" x14ac:dyDescent="0.3">
      <c r="W182" s="1">
        <f t="shared" si="17"/>
        <v>180</v>
      </c>
      <c r="Z182" s="129"/>
      <c r="AA182" s="1">
        <f t="shared" si="18"/>
        <v>329.78759609250739</v>
      </c>
      <c r="AB182" s="127">
        <f t="shared" si="21"/>
        <v>447593.73598929972</v>
      </c>
      <c r="AC182" s="127">
        <f t="shared" si="19"/>
        <v>1.2788392456837134</v>
      </c>
      <c r="AD182" s="123"/>
      <c r="AE182" s="3"/>
      <c r="AF182" s="122">
        <f t="shared" si="20"/>
        <v>0</v>
      </c>
      <c r="AG182" s="3"/>
    </row>
    <row r="183" spans="23:33" x14ac:dyDescent="0.3">
      <c r="W183" s="1">
        <f t="shared" si="17"/>
        <v>181</v>
      </c>
      <c r="Z183" s="129"/>
      <c r="AA183" s="1">
        <f t="shared" si="18"/>
        <v>320.36110062112425</v>
      </c>
      <c r="AB183" s="127">
        <f t="shared" si="21"/>
        <v>447914.09708992083</v>
      </c>
      <c r="AC183" s="127">
        <f t="shared" si="19"/>
        <v>1.2797545631140597</v>
      </c>
      <c r="AD183" s="123"/>
      <c r="AE183" s="3"/>
      <c r="AF183" s="122">
        <f t="shared" si="20"/>
        <v>0</v>
      </c>
      <c r="AG183" s="3"/>
    </row>
    <row r="184" spans="23:33" x14ac:dyDescent="0.3">
      <c r="W184" s="1">
        <f t="shared" si="17"/>
        <v>182</v>
      </c>
      <c r="Z184" s="129"/>
      <c r="AA184" s="1">
        <f t="shared" si="18"/>
        <v>311.20404771800281</v>
      </c>
      <c r="AB184" s="127">
        <f t="shared" si="21"/>
        <v>448225.30113763886</v>
      </c>
      <c r="AC184" s="127">
        <f t="shared" si="19"/>
        <v>1.2806437175361109</v>
      </c>
      <c r="AD184" s="123"/>
      <c r="AE184" s="3"/>
      <c r="AF184" s="122">
        <f t="shared" si="20"/>
        <v>0</v>
      </c>
      <c r="AG184" s="3"/>
    </row>
    <row r="185" spans="23:33" x14ac:dyDescent="0.3">
      <c r="W185" s="1">
        <f t="shared" ref="W185:W192" si="22">W184+1</f>
        <v>183</v>
      </c>
      <c r="Z185" s="129"/>
      <c r="AA185" s="1">
        <f t="shared" si="18"/>
        <v>302.30873576191891</v>
      </c>
      <c r="AB185" s="127">
        <f t="shared" si="21"/>
        <v>448527.60987340077</v>
      </c>
      <c r="AC185" s="127">
        <f t="shared" si="19"/>
        <v>1.2815074567811451</v>
      </c>
      <c r="AD185" s="123"/>
      <c r="AE185" s="3"/>
      <c r="AF185" s="122">
        <f t="shared" si="20"/>
        <v>0</v>
      </c>
      <c r="AG185" s="3"/>
    </row>
    <row r="186" spans="23:33" x14ac:dyDescent="0.3">
      <c r="W186" s="1">
        <f t="shared" si="22"/>
        <v>184</v>
      </c>
      <c r="Z186" s="129"/>
      <c r="AA186" s="1">
        <f t="shared" si="18"/>
        <v>293.6676832712123</v>
      </c>
      <c r="AB186" s="127">
        <f t="shared" si="21"/>
        <v>448821.27755667199</v>
      </c>
      <c r="AC186" s="127">
        <f t="shared" si="19"/>
        <v>1.2823465073047773</v>
      </c>
      <c r="AD186" s="123"/>
      <c r="AE186" s="3"/>
      <c r="AF186" s="122">
        <f t="shared" si="20"/>
        <v>0</v>
      </c>
      <c r="AG186" s="3"/>
    </row>
    <row r="187" spans="23:33" x14ac:dyDescent="0.3">
      <c r="W187" s="1">
        <f t="shared" si="22"/>
        <v>185</v>
      </c>
      <c r="Z187" s="129"/>
      <c r="AA187" s="1">
        <f t="shared" si="18"/>
        <v>285.2736226114198</v>
      </c>
      <c r="AB187" s="127">
        <f t="shared" si="21"/>
        <v>449106.55117928341</v>
      </c>
      <c r="AC187" s="127">
        <f t="shared" si="19"/>
        <v>1.2831615747979526</v>
      </c>
      <c r="AD187" s="123"/>
      <c r="AE187" s="3"/>
      <c r="AF187" s="122">
        <f t="shared" si="20"/>
        <v>0</v>
      </c>
      <c r="AG187" s="3"/>
    </row>
    <row r="188" spans="23:33" x14ac:dyDescent="0.3">
      <c r="W188" s="1">
        <f t="shared" si="22"/>
        <v>186</v>
      </c>
      <c r="Z188" s="129"/>
      <c r="AA188" s="1">
        <f t="shared" si="18"/>
        <v>277.11949388276594</v>
      </c>
      <c r="AB188" s="127">
        <f t="shared" si="21"/>
        <v>449383.67067316617</v>
      </c>
      <c r="AC188" s="127">
        <f t="shared" si="19"/>
        <v>1.2839533447804747</v>
      </c>
      <c r="AD188" s="123"/>
      <c r="AE188" s="3"/>
      <c r="AF188" s="122">
        <f t="shared" si="20"/>
        <v>0</v>
      </c>
      <c r="AG188" s="3"/>
    </row>
    <row r="189" spans="23:33" x14ac:dyDescent="0.3">
      <c r="W189" s="1">
        <f t="shared" si="22"/>
        <v>187</v>
      </c>
      <c r="Z189" s="129"/>
      <c r="AA189" s="1">
        <f t="shared" si="18"/>
        <v>269.19843898237144</v>
      </c>
      <c r="AB189" s="127">
        <f t="shared" si="21"/>
        <v>449652.86911214853</v>
      </c>
      <c r="AC189" s="127">
        <f t="shared" si="19"/>
        <v>1.2847224831775672</v>
      </c>
      <c r="AD189" s="123"/>
      <c r="AE189" s="3"/>
      <c r="AF189" s="122">
        <f t="shared" si="20"/>
        <v>0</v>
      </c>
      <c r="AG189" s="3"/>
    </row>
    <row r="190" spans="23:33" x14ac:dyDescent="0.3">
      <c r="W190" s="1">
        <f t="shared" si="22"/>
        <v>188</v>
      </c>
      <c r="Z190" s="129"/>
      <c r="AA190" s="1">
        <f t="shared" si="18"/>
        <v>261.50379583618434</v>
      </c>
      <c r="AB190" s="127">
        <f t="shared" si="21"/>
        <v>449914.37290798471</v>
      </c>
      <c r="AC190" s="127">
        <f t="shared" si="19"/>
        <v>1.2854696368799563</v>
      </c>
      <c r="AD190" s="123"/>
      <c r="AE190" s="3"/>
      <c r="AF190" s="122">
        <f t="shared" si="20"/>
        <v>0</v>
      </c>
      <c r="AG190" s="3"/>
    </row>
    <row r="191" spans="23:33" x14ac:dyDescent="0.3">
      <c r="W191" s="1">
        <f t="shared" si="22"/>
        <v>189</v>
      </c>
      <c r="Z191" s="129"/>
      <c r="AA191" s="1">
        <f t="shared" si="18"/>
        <v>254.02909279578304</v>
      </c>
      <c r="AB191" s="127">
        <f t="shared" si="21"/>
        <v>450168.40200078051</v>
      </c>
      <c r="AC191" s="127">
        <f t="shared" si="19"/>
        <v>1.2861954342879443</v>
      </c>
      <c r="AD191" s="123"/>
      <c r="AE191" s="3"/>
      <c r="AF191" s="122">
        <f t="shared" si="20"/>
        <v>0</v>
      </c>
      <c r="AG191" s="3"/>
    </row>
    <row r="192" spans="23:33" x14ac:dyDescent="0.3">
      <c r="W192" s="1">
        <f t="shared" si="22"/>
        <v>190</v>
      </c>
      <c r="Z192" s="130"/>
      <c r="AA192" s="1">
        <f t="shared" si="18"/>
        <v>246.76804319533849</v>
      </c>
      <c r="AB192" s="127">
        <f t="shared" si="21"/>
        <v>450415.17004397587</v>
      </c>
      <c r="AC192" s="127">
        <f t="shared" si="19"/>
        <v>1.2869004858399311</v>
      </c>
      <c r="AD192" s="124"/>
      <c r="AE192" s="3"/>
      <c r="AF192" s="122">
        <f t="shared" si="20"/>
        <v>0</v>
      </c>
      <c r="AG192" s="3"/>
    </row>
    <row r="193" spans="26:26" x14ac:dyDescent="0.3">
      <c r="Z193" s="131"/>
    </row>
  </sheetData>
  <mergeCells count="4">
    <mergeCell ref="S6:T6"/>
    <mergeCell ref="S10:T10"/>
    <mergeCell ref="AD1:AD54"/>
    <mergeCell ref="Z1:Z19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8D7E-1F30-4766-BEA1-AF2893C3D546}">
  <dimension ref="A1:AA68"/>
  <sheetViews>
    <sheetView topLeftCell="P1" zoomScale="82" workbookViewId="0">
      <selection activeCell="G2" sqref="G2:G67"/>
    </sheetView>
  </sheetViews>
  <sheetFormatPr defaultColWidth="8.77734375" defaultRowHeight="14.4" x14ac:dyDescent="0.3"/>
  <cols>
    <col min="1" max="7" width="8.77734375" style="1"/>
    <col min="8" max="8" width="18.5546875" style="1" bestFit="1" customWidth="1"/>
    <col min="9" max="17" width="8.77734375" style="1"/>
    <col min="18" max="18" width="12" style="1" bestFit="1" customWidth="1"/>
    <col min="19" max="22" width="8.77734375" style="1"/>
    <col min="23" max="23" width="12.33203125" style="1" customWidth="1"/>
    <col min="24" max="24" width="20.44140625" style="1" customWidth="1"/>
    <col min="25" max="25" width="18.109375" style="1" customWidth="1"/>
    <col min="26" max="26" width="30.109375" style="1" customWidth="1"/>
    <col min="27" max="27" width="28.6640625" style="1" customWidth="1"/>
    <col min="28" max="16384" width="8.77734375" style="1"/>
  </cols>
  <sheetData>
    <row r="1" spans="1:27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  <c r="V1" s="55" t="s">
        <v>122</v>
      </c>
      <c r="W1" s="55" t="s">
        <v>134</v>
      </c>
      <c r="X1" s="55" t="s">
        <v>116</v>
      </c>
      <c r="Y1" s="55" t="s">
        <v>121</v>
      </c>
      <c r="Z1" s="55" t="s">
        <v>147</v>
      </c>
      <c r="AA1" s="55" t="s">
        <v>148</v>
      </c>
    </row>
    <row r="2" spans="1:27" x14ac:dyDescent="0.3">
      <c r="A2" s="4">
        <v>43862</v>
      </c>
      <c r="B2" s="5">
        <v>602.04696365517248</v>
      </c>
      <c r="C2" s="5">
        <v>592.9343448275863</v>
      </c>
      <c r="D2" s="5">
        <v>9.112618827586207</v>
      </c>
      <c r="E2" s="5">
        <v>213.65517241379311</v>
      </c>
      <c r="F2" s="5">
        <v>0</v>
      </c>
      <c r="G2" s="5">
        <v>17195.096000000001</v>
      </c>
      <c r="H2" s="9">
        <v>2.301798497E-3</v>
      </c>
      <c r="I2" s="5">
        <v>6196</v>
      </c>
      <c r="J2" s="5">
        <v>264.26594599999999</v>
      </c>
      <c r="K2" s="5">
        <v>1.5136059772249821</v>
      </c>
      <c r="L2" s="5">
        <v>2.266436942253768</v>
      </c>
      <c r="N2" s="1">
        <f>A2 -$A$2</f>
        <v>0</v>
      </c>
      <c r="O2" s="1">
        <f>D2/C2</f>
        <v>1.5368681047200898E-2</v>
      </c>
      <c r="P2" s="1" t="str">
        <f>IF(OR(N4&lt;=0, N2&lt;=0)," ", (O4 - O2) / (LN(N4) - LN(N2)))</f>
        <v xml:space="preserve"> </v>
      </c>
      <c r="R2" s="1">
        <f>(O3-O2) / (N3-N2)</f>
        <v>9.7922057095163533E-5</v>
      </c>
      <c r="V2" s="1">
        <f>_xlfn.DAYS($A$67,A2)</f>
        <v>1977</v>
      </c>
      <c r="W2" s="1">
        <v>0</v>
      </c>
      <c r="X2" s="1">
        <f>LN(C2 / $U$4) / V2</f>
        <v>-5.6005622204573879E-8</v>
      </c>
      <c r="Y2" s="1">
        <f xml:space="preserve"> $U$4 * EXP($AA$2 * V2)</f>
        <v>593</v>
      </c>
    </row>
    <row r="3" spans="1:27" x14ac:dyDescent="0.3">
      <c r="A3" s="2">
        <v>43891</v>
      </c>
      <c r="B3" s="3">
        <v>995.68351548387091</v>
      </c>
      <c r="C3" s="3">
        <v>977.87790322580645</v>
      </c>
      <c r="D3" s="3">
        <v>17.805612258064517</v>
      </c>
      <c r="E3" s="3">
        <v>396.96774193548384</v>
      </c>
      <c r="F3" s="3">
        <v>0</v>
      </c>
      <c r="G3" s="3">
        <v>30314.215</v>
      </c>
      <c r="H3" s="10">
        <v>4.0579717890000004E-3</v>
      </c>
      <c r="I3" s="3">
        <v>12306</v>
      </c>
      <c r="J3" s="3">
        <v>551.97397999999998</v>
      </c>
      <c r="K3" s="3">
        <v>1.7882803100753903</v>
      </c>
      <c r="L3" s="3">
        <v>2.55333277803829</v>
      </c>
      <c r="N3" s="1">
        <f t="shared" ref="N3:N66" si="0">A3 -$A$2</f>
        <v>29</v>
      </c>
      <c r="O3" s="1">
        <f t="shared" ref="O3:O66" si="1">D3/C3</f>
        <v>1.8208420702960641E-2</v>
      </c>
      <c r="P3" s="1">
        <f t="shared" ref="P3:P15" si="2">IF(OR(N5&lt;=0, N3&lt;=0)," ", (O5 - O3) / (LN(N5) - LN(N3)))</f>
        <v>0.14551239357926452</v>
      </c>
      <c r="R3" s="1">
        <f t="shared" ref="R3:R15" si="3">(O4-O3) / (N4-N3)</f>
        <v>6.0738270755529698E-5</v>
      </c>
      <c r="V3" s="1">
        <f t="shared" ref="V3:V66" si="4">_xlfn.DAYS($A$67,A3)</f>
        <v>1948</v>
      </c>
      <c r="W3" s="1">
        <f>($V$2-V3)/30</f>
        <v>0.96666666666666667</v>
      </c>
      <c r="X3" s="1">
        <f t="shared" ref="X3:X66" si="5">LN(C3 / $U$4) / V3</f>
        <v>2.5677126279061532E-4</v>
      </c>
      <c r="Y3" s="1">
        <f t="shared" ref="Y3:Y66" si="6" xml:space="preserve"> $U$4 * EXP($AA$2 * V3)</f>
        <v>593</v>
      </c>
    </row>
    <row r="4" spans="1:27" x14ac:dyDescent="0.3">
      <c r="A4" s="2">
        <v>43922</v>
      </c>
      <c r="B4" s="3">
        <v>993.78702863333331</v>
      </c>
      <c r="C4" s="3">
        <v>974.21379999999999</v>
      </c>
      <c r="D4" s="3">
        <v>19.573228633333333</v>
      </c>
      <c r="E4" s="3">
        <v>394.1</v>
      </c>
      <c r="F4" s="3">
        <v>0</v>
      </c>
      <c r="G4" s="3">
        <v>29226.414000000001</v>
      </c>
      <c r="H4" s="10">
        <v>3.9123547609999998E-3</v>
      </c>
      <c r="I4" s="3">
        <v>11823</v>
      </c>
      <c r="J4" s="3">
        <v>587.19685900000002</v>
      </c>
      <c r="K4" s="3">
        <v>1.9695596812378049</v>
      </c>
      <c r="L4" s="3">
        <v>2.5444211321991128</v>
      </c>
      <c r="N4" s="1">
        <f t="shared" si="0"/>
        <v>60</v>
      </c>
      <c r="O4" s="1">
        <f t="shared" si="1"/>
        <v>2.0091307096382061E-2</v>
      </c>
      <c r="P4" s="1">
        <f t="shared" si="2"/>
        <v>0.70517289838974961</v>
      </c>
      <c r="R4" s="1">
        <f t="shared" si="3"/>
        <v>5.4303971092216205E-3</v>
      </c>
      <c r="T4" s="55" t="s">
        <v>120</v>
      </c>
      <c r="U4" s="1">
        <v>593</v>
      </c>
      <c r="V4" s="1">
        <f t="shared" si="4"/>
        <v>1917</v>
      </c>
      <c r="W4" s="1">
        <f t="shared" ref="W4:W67" si="7">($V$2-V4)/30</f>
        <v>2</v>
      </c>
      <c r="X4" s="1">
        <f t="shared" si="5"/>
        <v>2.5896525182237366E-4</v>
      </c>
      <c r="Y4" s="1">
        <f t="shared" si="6"/>
        <v>593</v>
      </c>
    </row>
    <row r="5" spans="1:27" x14ac:dyDescent="0.3">
      <c r="A5" s="2">
        <v>43952</v>
      </c>
      <c r="B5" s="3">
        <v>1064.2122191290323</v>
      </c>
      <c r="C5" s="3">
        <v>899.5852258064516</v>
      </c>
      <c r="D5" s="3">
        <v>164.62699332258063</v>
      </c>
      <c r="E5" s="3">
        <v>4441.2903225806449</v>
      </c>
      <c r="F5" s="3">
        <v>0</v>
      </c>
      <c r="G5" s="3">
        <v>27887.142</v>
      </c>
      <c r="H5" s="10">
        <v>3.7330749119999997E-3</v>
      </c>
      <c r="I5" s="3">
        <v>137680</v>
      </c>
      <c r="J5" s="3">
        <v>5103.4367929999999</v>
      </c>
      <c r="K5" s="3">
        <v>15.46937634838603</v>
      </c>
      <c r="L5" s="3">
        <v>31.053008730690291</v>
      </c>
      <c r="N5" s="1">
        <f t="shared" si="0"/>
        <v>90</v>
      </c>
      <c r="O5" s="1">
        <f t="shared" si="1"/>
        <v>0.18300322037303068</v>
      </c>
      <c r="P5" s="1">
        <f t="shared" si="2"/>
        <v>2.0435735525717598</v>
      </c>
      <c r="R5" s="1">
        <f t="shared" si="3"/>
        <v>1.0700928512370809E-2</v>
      </c>
      <c r="V5" s="1">
        <f t="shared" si="4"/>
        <v>1887</v>
      </c>
      <c r="W5" s="1">
        <f t="shared" si="7"/>
        <v>3</v>
      </c>
      <c r="X5" s="1">
        <f t="shared" si="5"/>
        <v>2.2084758764325579E-4</v>
      </c>
      <c r="Y5" s="1">
        <f t="shared" si="6"/>
        <v>593</v>
      </c>
    </row>
    <row r="6" spans="1:27" x14ac:dyDescent="0.3">
      <c r="A6" s="2">
        <v>43983</v>
      </c>
      <c r="B6" s="3">
        <v>1286.8412305999998</v>
      </c>
      <c r="C6" s="3">
        <v>849.55043333333333</v>
      </c>
      <c r="D6" s="3">
        <v>437.29079726666663</v>
      </c>
      <c r="E6" s="3">
        <v>9289.8666666666668</v>
      </c>
      <c r="F6" s="3">
        <v>0</v>
      </c>
      <c r="G6" s="3">
        <v>25486.512999999999</v>
      </c>
      <c r="H6" s="10">
        <v>3.4117179249999996E-3</v>
      </c>
      <c r="I6" s="3">
        <v>278696</v>
      </c>
      <c r="J6" s="3">
        <v>13118.723918</v>
      </c>
      <c r="K6" s="3">
        <v>33.981721044388394</v>
      </c>
      <c r="L6" s="3">
        <v>68.779204938706215</v>
      </c>
      <c r="N6" s="1">
        <f t="shared" si="0"/>
        <v>121</v>
      </c>
      <c r="O6" s="1">
        <f t="shared" si="1"/>
        <v>0.51473200425652577</v>
      </c>
      <c r="P6" s="1">
        <f t="shared" si="2"/>
        <v>2.7644165726223191</v>
      </c>
      <c r="R6" s="1">
        <f t="shared" si="3"/>
        <v>2.4191985419648673E-2</v>
      </c>
      <c r="V6" s="1">
        <f t="shared" si="4"/>
        <v>1856</v>
      </c>
      <c r="W6" s="1">
        <f t="shared" si="7"/>
        <v>4.0333333333333332</v>
      </c>
      <c r="X6" s="1">
        <f t="shared" si="5"/>
        <v>1.9370307575855219E-4</v>
      </c>
      <c r="Y6" s="1">
        <f t="shared" si="6"/>
        <v>593</v>
      </c>
    </row>
    <row r="7" spans="1:27" x14ac:dyDescent="0.3">
      <c r="A7" s="2">
        <v>44013</v>
      </c>
      <c r="B7" s="3">
        <v>1370.1013428493031</v>
      </c>
      <c r="C7" s="3">
        <v>611.5181878493031</v>
      </c>
      <c r="D7" s="3">
        <v>758.58315500000003</v>
      </c>
      <c r="E7" s="3">
        <v>9094.2258064516136</v>
      </c>
      <c r="F7" s="3">
        <v>0</v>
      </c>
      <c r="G7" s="3">
        <v>18957.063823328397</v>
      </c>
      <c r="H7" s="10">
        <v>2.5389409139999998E-3</v>
      </c>
      <c r="I7" s="3">
        <v>281921</v>
      </c>
      <c r="J7" s="3">
        <v>23516.077805000001</v>
      </c>
      <c r="K7" s="3">
        <v>55.3669375597011</v>
      </c>
      <c r="L7" s="3">
        <v>93.539100903267652</v>
      </c>
      <c r="N7" s="1">
        <f t="shared" si="0"/>
        <v>151</v>
      </c>
      <c r="O7" s="1">
        <f t="shared" si="1"/>
        <v>1.2404915668459859</v>
      </c>
      <c r="P7" s="1">
        <f t="shared" si="2"/>
        <v>5.6917388737296317</v>
      </c>
      <c r="R7" s="1">
        <f t="shared" si="3"/>
        <v>1.2990964649352834E-2</v>
      </c>
      <c r="V7" s="1">
        <f t="shared" si="4"/>
        <v>1826</v>
      </c>
      <c r="W7" s="1">
        <f t="shared" si="7"/>
        <v>5.0333333333333332</v>
      </c>
      <c r="X7" s="1">
        <f t="shared" si="5"/>
        <v>1.6840251202103855E-5</v>
      </c>
      <c r="Y7" s="1">
        <f t="shared" si="6"/>
        <v>593</v>
      </c>
    </row>
    <row r="8" spans="1:27" x14ac:dyDescent="0.3">
      <c r="A8" s="2">
        <v>44044</v>
      </c>
      <c r="B8" s="3">
        <v>1349.9263821612903</v>
      </c>
      <c r="C8" s="3">
        <v>510.71448387096774</v>
      </c>
      <c r="D8" s="3">
        <v>839.21189829032255</v>
      </c>
      <c r="E8" s="3">
        <v>9708.645161290322</v>
      </c>
      <c r="F8" s="3">
        <v>0</v>
      </c>
      <c r="G8" s="3">
        <v>15832.148999999999</v>
      </c>
      <c r="H8" s="10">
        <v>2.11934942E-3</v>
      </c>
      <c r="I8" s="3">
        <v>300968</v>
      </c>
      <c r="J8" s="3">
        <v>26015.568846999999</v>
      </c>
      <c r="K8" s="3">
        <v>62.167234404790882</v>
      </c>
      <c r="L8" s="3">
        <v>119.56864013849288</v>
      </c>
      <c r="N8" s="1">
        <f t="shared" si="0"/>
        <v>182</v>
      </c>
      <c r="O8" s="1">
        <f t="shared" si="1"/>
        <v>1.6432114709759238</v>
      </c>
      <c r="P8" s="1">
        <f t="shared" si="2"/>
        <v>8.6019389798377244</v>
      </c>
      <c r="R8" s="1">
        <f t="shared" si="3"/>
        <v>5.0171240041327669E-2</v>
      </c>
      <c r="V8" s="1">
        <f t="shared" si="4"/>
        <v>1795</v>
      </c>
      <c r="W8" s="1">
        <f t="shared" si="7"/>
        <v>6.0666666666666664</v>
      </c>
      <c r="X8" s="1">
        <f t="shared" si="5"/>
        <v>-8.3222119735882081E-5</v>
      </c>
      <c r="Y8" s="1">
        <f t="shared" si="6"/>
        <v>593</v>
      </c>
    </row>
    <row r="9" spans="1:27" x14ac:dyDescent="0.3">
      <c r="A9" s="2">
        <v>44075</v>
      </c>
      <c r="B9" s="3">
        <v>1373.1743602333333</v>
      </c>
      <c r="C9" s="3">
        <v>327.06153333333333</v>
      </c>
      <c r="D9" s="3">
        <v>1046.1128268999998</v>
      </c>
      <c r="E9" s="3">
        <v>9674.7999999999993</v>
      </c>
      <c r="F9" s="3">
        <v>0</v>
      </c>
      <c r="G9" s="3">
        <v>9811.8459999999995</v>
      </c>
      <c r="H9" s="10">
        <v>1.3134496209999999E-3</v>
      </c>
      <c r="I9" s="3">
        <v>290244</v>
      </c>
      <c r="J9" s="3">
        <v>31383.384806999999</v>
      </c>
      <c r="K9" s="3">
        <v>76.182082712514514</v>
      </c>
      <c r="L9" s="3">
        <v>186.05843499785871</v>
      </c>
      <c r="N9" s="1">
        <f t="shared" si="0"/>
        <v>213</v>
      </c>
      <c r="O9" s="1">
        <f t="shared" si="1"/>
        <v>3.1985199122570815</v>
      </c>
      <c r="P9" s="1">
        <f t="shared" si="2"/>
        <v>4.3125668658713829</v>
      </c>
      <c r="R9" s="1">
        <f t="shared" si="3"/>
        <v>3.1037431131050428E-2</v>
      </c>
      <c r="V9" s="1">
        <f t="shared" si="4"/>
        <v>1764</v>
      </c>
      <c r="W9" s="1">
        <f t="shared" si="7"/>
        <v>7.1</v>
      </c>
      <c r="X9" s="1">
        <f t="shared" si="5"/>
        <v>-3.3732770434916916E-4</v>
      </c>
      <c r="Y9" s="1">
        <f t="shared" si="6"/>
        <v>593</v>
      </c>
    </row>
    <row r="10" spans="1:27" x14ac:dyDescent="0.3">
      <c r="A10" s="2">
        <v>44105</v>
      </c>
      <c r="B10" s="3">
        <v>1504.1009685161289</v>
      </c>
      <c r="C10" s="3">
        <v>293.21748387096773</v>
      </c>
      <c r="D10" s="3">
        <v>1210.8834846451614</v>
      </c>
      <c r="E10" s="3">
        <v>9960.7741935483864</v>
      </c>
      <c r="F10" s="3">
        <v>0</v>
      </c>
      <c r="G10" s="3">
        <v>9089.7420000000002</v>
      </c>
      <c r="H10" s="10">
        <v>1.216786136E-3</v>
      </c>
      <c r="I10" s="3">
        <v>308784</v>
      </c>
      <c r="J10" s="3">
        <v>37537.388024</v>
      </c>
      <c r="K10" s="3">
        <v>80.505465390382568</v>
      </c>
      <c r="L10" s="3">
        <v>213.66828708669618</v>
      </c>
      <c r="N10" s="1">
        <f t="shared" si="0"/>
        <v>243</v>
      </c>
      <c r="O10" s="1">
        <f t="shared" si="1"/>
        <v>4.1296428461885943</v>
      </c>
      <c r="P10" s="1">
        <f t="shared" si="2"/>
        <v>0.7528337557362631</v>
      </c>
      <c r="R10" s="1">
        <f t="shared" si="3"/>
        <v>4.9979483701536381E-3</v>
      </c>
      <c r="V10" s="1">
        <f t="shared" si="4"/>
        <v>1734</v>
      </c>
      <c r="W10" s="1">
        <f t="shared" si="7"/>
        <v>8.1</v>
      </c>
      <c r="X10" s="1">
        <f t="shared" si="5"/>
        <v>-4.0615905395180593E-4</v>
      </c>
      <c r="Y10" s="1">
        <f t="shared" si="6"/>
        <v>593</v>
      </c>
    </row>
    <row r="11" spans="1:27" x14ac:dyDescent="0.3">
      <c r="A11" s="2">
        <v>44136</v>
      </c>
      <c r="B11" s="3">
        <v>1272.3473589666669</v>
      </c>
      <c r="C11" s="3">
        <v>240.76606666666666</v>
      </c>
      <c r="D11" s="3">
        <v>1031.5812923000001</v>
      </c>
      <c r="E11" s="3">
        <v>10897.766666666666</v>
      </c>
      <c r="F11" s="3">
        <v>0</v>
      </c>
      <c r="G11" s="3">
        <v>7222.982</v>
      </c>
      <c r="H11" s="10">
        <v>9.6689481199999994E-4</v>
      </c>
      <c r="I11" s="3">
        <v>326933</v>
      </c>
      <c r="J11" s="3">
        <v>30947.438769</v>
      </c>
      <c r="K11" s="3">
        <v>81.077017610803679</v>
      </c>
      <c r="L11" s="3">
        <v>284.69449091801698</v>
      </c>
      <c r="N11" s="1">
        <f t="shared" si="0"/>
        <v>274</v>
      </c>
      <c r="O11" s="1">
        <f t="shared" si="1"/>
        <v>4.2845792456633571</v>
      </c>
      <c r="P11" s="1">
        <f t="shared" si="2"/>
        <v>-4.0584093584381904</v>
      </c>
      <c r="R11" s="1">
        <f t="shared" si="3"/>
        <v>4.5576532476718039E-4</v>
      </c>
      <c r="V11" s="1">
        <f t="shared" si="4"/>
        <v>1703</v>
      </c>
      <c r="W11" s="1">
        <f t="shared" si="7"/>
        <v>9.1333333333333329</v>
      </c>
      <c r="X11" s="1">
        <f t="shared" si="5"/>
        <v>-5.2928280367085031E-4</v>
      </c>
      <c r="Y11" s="1">
        <f t="shared" si="6"/>
        <v>593</v>
      </c>
    </row>
    <row r="12" spans="1:27" x14ac:dyDescent="0.3">
      <c r="A12" s="2">
        <v>44166</v>
      </c>
      <c r="B12" s="3">
        <v>1086.9858333225807</v>
      </c>
      <c r="C12" s="3">
        <v>205.15932258064518</v>
      </c>
      <c r="D12" s="3">
        <v>881.82651074193552</v>
      </c>
      <c r="E12" s="3">
        <v>7396.8387096774195</v>
      </c>
      <c r="F12" s="3">
        <v>0</v>
      </c>
      <c r="G12" s="3">
        <v>6359.9390000000003</v>
      </c>
      <c r="H12" s="10">
        <v>8.5136471400000004E-4</v>
      </c>
      <c r="I12" s="3">
        <v>229302</v>
      </c>
      <c r="J12" s="3">
        <v>27336.621833000001</v>
      </c>
      <c r="K12" s="3">
        <v>81.125851295270664</v>
      </c>
      <c r="L12" s="3">
        <v>226.77320012031558</v>
      </c>
      <c r="N12" s="1">
        <f t="shared" si="0"/>
        <v>304</v>
      </c>
      <c r="O12" s="1">
        <f t="shared" si="1"/>
        <v>4.2982522054063725</v>
      </c>
      <c r="P12" s="1">
        <f t="shared" si="2"/>
        <v>-12.486223460093161</v>
      </c>
      <c r="R12" s="1">
        <f t="shared" si="3"/>
        <v>-2.6755583361461086E-2</v>
      </c>
      <c r="V12" s="1">
        <f t="shared" si="4"/>
        <v>1673</v>
      </c>
      <c r="W12" s="1">
        <f t="shared" si="7"/>
        <v>10.133333333333333</v>
      </c>
      <c r="X12" s="1">
        <f t="shared" si="5"/>
        <v>-6.3443367506854046E-4</v>
      </c>
      <c r="Y12" s="1">
        <f t="shared" si="6"/>
        <v>593</v>
      </c>
    </row>
    <row r="13" spans="1:27" x14ac:dyDescent="0.3">
      <c r="A13" s="2">
        <v>44197</v>
      </c>
      <c r="B13" s="3">
        <v>936.82342529032269</v>
      </c>
      <c r="C13" s="3">
        <v>209.63509677419356</v>
      </c>
      <c r="D13" s="3">
        <v>727.18832851612899</v>
      </c>
      <c r="E13" s="3">
        <v>7845.5483870967746</v>
      </c>
      <c r="F13" s="3">
        <v>0</v>
      </c>
      <c r="G13" s="3">
        <v>6498.6880000000001</v>
      </c>
      <c r="H13" s="10">
        <v>8.69938165E-4</v>
      </c>
      <c r="I13" s="3">
        <v>243212</v>
      </c>
      <c r="J13" s="3">
        <v>22542.838184</v>
      </c>
      <c r="K13" s="3">
        <v>77.622773821093617</v>
      </c>
      <c r="L13" s="3">
        <v>235.39441154891571</v>
      </c>
      <c r="N13" s="1">
        <f t="shared" si="0"/>
        <v>335</v>
      </c>
      <c r="O13" s="1">
        <f t="shared" si="1"/>
        <v>3.4688291212010789</v>
      </c>
      <c r="P13" s="1">
        <f t="shared" si="2"/>
        <v>-6.3803998134894062</v>
      </c>
      <c r="R13" s="1">
        <f t="shared" si="3"/>
        <v>-4.8002913301222305E-2</v>
      </c>
      <c r="V13" s="1">
        <f t="shared" si="4"/>
        <v>1642</v>
      </c>
      <c r="W13" s="1">
        <f t="shared" si="7"/>
        <v>11.166666666666666</v>
      </c>
      <c r="X13" s="1">
        <f t="shared" si="5"/>
        <v>-6.3326797449857859E-4</v>
      </c>
      <c r="Y13" s="1">
        <f t="shared" si="6"/>
        <v>593</v>
      </c>
    </row>
    <row r="14" spans="1:27" x14ac:dyDescent="0.3">
      <c r="A14" s="2">
        <v>44228</v>
      </c>
      <c r="B14" s="3">
        <v>565.95894557142856</v>
      </c>
      <c r="C14" s="3">
        <v>189.87203571428572</v>
      </c>
      <c r="D14" s="3">
        <v>376.08690985714287</v>
      </c>
      <c r="E14" s="3">
        <v>8735.1428571428569</v>
      </c>
      <c r="F14" s="3">
        <v>0</v>
      </c>
      <c r="G14" s="3">
        <v>5316.4170000000004</v>
      </c>
      <c r="H14" s="10">
        <v>7.1167503999999989E-4</v>
      </c>
      <c r="I14" s="3">
        <v>244584</v>
      </c>
      <c r="J14" s="3">
        <v>10530.433476</v>
      </c>
      <c r="K14" s="3">
        <v>66.45127050291984</v>
      </c>
      <c r="L14" s="3">
        <v>289.36489428876627</v>
      </c>
      <c r="N14" s="1">
        <f t="shared" si="0"/>
        <v>366</v>
      </c>
      <c r="O14" s="1">
        <f t="shared" si="1"/>
        <v>1.9807388088631874</v>
      </c>
      <c r="P14" s="1" t="e">
        <f t="shared" si="2"/>
        <v>#DIV/0!</v>
      </c>
      <c r="R14" s="1">
        <f t="shared" si="3"/>
        <v>1.6180694505922338E-2</v>
      </c>
      <c r="V14" s="1">
        <f t="shared" si="4"/>
        <v>1611</v>
      </c>
      <c r="W14" s="1">
        <f t="shared" si="7"/>
        <v>12.2</v>
      </c>
      <c r="X14" s="1">
        <f t="shared" si="5"/>
        <v>-7.0691747360541123E-4</v>
      </c>
      <c r="Y14" s="1">
        <f t="shared" si="6"/>
        <v>593</v>
      </c>
    </row>
    <row r="15" spans="1:27" x14ac:dyDescent="0.3">
      <c r="A15" s="2">
        <v>44256</v>
      </c>
      <c r="B15" s="3">
        <v>186.48637096774195</v>
      </c>
      <c r="C15" s="3">
        <v>54.309064516129027</v>
      </c>
      <c r="D15" s="3">
        <v>132.17730645161291</v>
      </c>
      <c r="E15" s="3">
        <v>2207.9354838709678</v>
      </c>
      <c r="F15" s="3">
        <v>0</v>
      </c>
      <c r="G15" s="3">
        <v>1683.5809999999999</v>
      </c>
      <c r="H15" s="10">
        <v>2.25370316E-4</v>
      </c>
      <c r="I15" s="3">
        <v>68446</v>
      </c>
      <c r="J15" s="3">
        <v>4097.4965000000002</v>
      </c>
      <c r="K15" s="3">
        <v>70.877729973348394</v>
      </c>
      <c r="L15" s="3">
        <v>255.71187296601707</v>
      </c>
      <c r="N15" s="1">
        <f t="shared" si="0"/>
        <v>394</v>
      </c>
      <c r="O15" s="1">
        <f t="shared" si="1"/>
        <v>2.4337982550290129</v>
      </c>
      <c r="P15" s="1" t="e">
        <f t="shared" si="2"/>
        <v>#DIV/0!</v>
      </c>
      <c r="R15" s="1" t="e">
        <f t="shared" si="3"/>
        <v>#DIV/0!</v>
      </c>
      <c r="V15" s="1">
        <f t="shared" si="4"/>
        <v>1583</v>
      </c>
      <c r="W15" s="1">
        <f t="shared" si="7"/>
        <v>13.133333333333333</v>
      </c>
      <c r="X15" s="1">
        <f t="shared" si="5"/>
        <v>-1.5101094453512775E-3</v>
      </c>
      <c r="Y15" s="1">
        <f t="shared" si="6"/>
        <v>593</v>
      </c>
    </row>
    <row r="16" spans="1:27" x14ac:dyDescent="0.3">
      <c r="A16" s="2">
        <v>44287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10">
        <v>0</v>
      </c>
      <c r="I16" s="3">
        <v>0</v>
      </c>
      <c r="J16" s="3">
        <v>0</v>
      </c>
      <c r="K16" s="3">
        <v>0</v>
      </c>
      <c r="L16" s="3" t="e">
        <v>#DIV/0!</v>
      </c>
      <c r="N16" s="1">
        <f t="shared" si="0"/>
        <v>425</v>
      </c>
      <c r="O16" s="1" t="e">
        <f t="shared" si="1"/>
        <v>#DIV/0!</v>
      </c>
      <c r="V16" s="1">
        <f t="shared" si="4"/>
        <v>1552</v>
      </c>
      <c r="W16" s="1">
        <f t="shared" si="7"/>
        <v>14.166666666666666</v>
      </c>
      <c r="X16" s="1" t="e">
        <f t="shared" si="5"/>
        <v>#NUM!</v>
      </c>
      <c r="Y16" s="1">
        <f t="shared" si="6"/>
        <v>593</v>
      </c>
    </row>
    <row r="17" spans="1:25" x14ac:dyDescent="0.3">
      <c r="A17" s="2">
        <v>44317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10">
        <v>0</v>
      </c>
      <c r="I17" s="3">
        <v>0</v>
      </c>
      <c r="J17" s="3">
        <v>0</v>
      </c>
      <c r="K17" s="3">
        <v>0</v>
      </c>
      <c r="L17" s="3" t="e">
        <v>#DIV/0!</v>
      </c>
      <c r="N17" s="1">
        <f t="shared" si="0"/>
        <v>455</v>
      </c>
      <c r="O17" s="1" t="e">
        <f t="shared" si="1"/>
        <v>#DIV/0!</v>
      </c>
      <c r="V17" s="1">
        <f t="shared" si="4"/>
        <v>1522</v>
      </c>
      <c r="W17" s="1">
        <f t="shared" si="7"/>
        <v>15.166666666666666</v>
      </c>
      <c r="X17" s="1" t="e">
        <f t="shared" si="5"/>
        <v>#NUM!</v>
      </c>
      <c r="Y17" s="1">
        <f t="shared" si="6"/>
        <v>593</v>
      </c>
    </row>
    <row r="18" spans="1:25" x14ac:dyDescent="0.3">
      <c r="A18" s="2">
        <v>44348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10">
        <v>0</v>
      </c>
      <c r="I18" s="3">
        <v>0</v>
      </c>
      <c r="J18" s="3">
        <v>0</v>
      </c>
      <c r="K18" s="3">
        <v>0</v>
      </c>
      <c r="L18" s="3" t="e">
        <v>#DIV/0!</v>
      </c>
      <c r="N18" s="1">
        <f t="shared" si="0"/>
        <v>486</v>
      </c>
      <c r="O18" s="1" t="e">
        <f t="shared" si="1"/>
        <v>#DIV/0!</v>
      </c>
      <c r="V18" s="1">
        <f t="shared" si="4"/>
        <v>1491</v>
      </c>
      <c r="W18" s="1">
        <f t="shared" si="7"/>
        <v>16.2</v>
      </c>
      <c r="X18" s="1" t="e">
        <f t="shared" si="5"/>
        <v>#NUM!</v>
      </c>
      <c r="Y18" s="1">
        <f t="shared" si="6"/>
        <v>593</v>
      </c>
    </row>
    <row r="19" spans="1:25" x14ac:dyDescent="0.3">
      <c r="A19" s="2">
        <v>44378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10">
        <v>0</v>
      </c>
      <c r="I19" s="3">
        <v>0</v>
      </c>
      <c r="J19" s="3">
        <v>0</v>
      </c>
      <c r="K19" s="3">
        <v>0</v>
      </c>
      <c r="L19" s="3" t="e">
        <v>#DIV/0!</v>
      </c>
      <c r="N19" s="1">
        <f t="shared" si="0"/>
        <v>516</v>
      </c>
      <c r="O19" s="1" t="e">
        <f t="shared" si="1"/>
        <v>#DIV/0!</v>
      </c>
      <c r="V19" s="1">
        <f t="shared" si="4"/>
        <v>1461</v>
      </c>
      <c r="W19" s="1">
        <f t="shared" si="7"/>
        <v>17.2</v>
      </c>
      <c r="X19" s="1" t="e">
        <f t="shared" si="5"/>
        <v>#NUM!</v>
      </c>
      <c r="Y19" s="1">
        <f t="shared" si="6"/>
        <v>593</v>
      </c>
    </row>
    <row r="20" spans="1:25" x14ac:dyDescent="0.3">
      <c r="A20" s="2">
        <v>44409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10">
        <v>0</v>
      </c>
      <c r="I20" s="3">
        <v>0</v>
      </c>
      <c r="J20" s="3">
        <v>0</v>
      </c>
      <c r="K20" s="3">
        <v>0</v>
      </c>
      <c r="L20" s="3" t="e">
        <v>#DIV/0!</v>
      </c>
      <c r="N20" s="1">
        <f t="shared" si="0"/>
        <v>547</v>
      </c>
      <c r="O20" s="1" t="e">
        <f t="shared" si="1"/>
        <v>#DIV/0!</v>
      </c>
      <c r="V20" s="1">
        <f t="shared" si="4"/>
        <v>1430</v>
      </c>
      <c r="W20" s="1">
        <f t="shared" si="7"/>
        <v>18.233333333333334</v>
      </c>
      <c r="X20" s="1" t="e">
        <f t="shared" si="5"/>
        <v>#NUM!</v>
      </c>
      <c r="Y20" s="1">
        <f t="shared" si="6"/>
        <v>593</v>
      </c>
    </row>
    <row r="21" spans="1:25" x14ac:dyDescent="0.3">
      <c r="A21" s="2">
        <v>44440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10">
        <v>0</v>
      </c>
      <c r="I21" s="3">
        <v>0</v>
      </c>
      <c r="J21" s="3">
        <v>0</v>
      </c>
      <c r="K21" s="3">
        <v>0</v>
      </c>
      <c r="L21" s="3" t="e">
        <v>#DIV/0!</v>
      </c>
      <c r="N21" s="1">
        <f t="shared" si="0"/>
        <v>578</v>
      </c>
      <c r="O21" s="1" t="e">
        <f t="shared" si="1"/>
        <v>#DIV/0!</v>
      </c>
      <c r="V21" s="1">
        <f t="shared" si="4"/>
        <v>1399</v>
      </c>
      <c r="W21" s="1">
        <f t="shared" si="7"/>
        <v>19.266666666666666</v>
      </c>
      <c r="X21" s="1" t="e">
        <f t="shared" si="5"/>
        <v>#NUM!</v>
      </c>
      <c r="Y21" s="1">
        <f t="shared" si="6"/>
        <v>593</v>
      </c>
    </row>
    <row r="22" spans="1:25" x14ac:dyDescent="0.3">
      <c r="A22" s="2">
        <v>44470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10">
        <v>0</v>
      </c>
      <c r="I22" s="3">
        <v>0</v>
      </c>
      <c r="J22" s="3">
        <v>0</v>
      </c>
      <c r="K22" s="3">
        <v>0</v>
      </c>
      <c r="L22" s="3" t="e">
        <v>#DIV/0!</v>
      </c>
      <c r="N22" s="1">
        <f t="shared" si="0"/>
        <v>608</v>
      </c>
      <c r="O22" s="1" t="e">
        <f t="shared" si="1"/>
        <v>#DIV/0!</v>
      </c>
      <c r="V22" s="1">
        <f t="shared" si="4"/>
        <v>1369</v>
      </c>
      <c r="W22" s="1">
        <f t="shared" si="7"/>
        <v>20.266666666666666</v>
      </c>
      <c r="X22" s="1" t="e">
        <f t="shared" si="5"/>
        <v>#NUM!</v>
      </c>
      <c r="Y22" s="1">
        <f t="shared" si="6"/>
        <v>593</v>
      </c>
    </row>
    <row r="23" spans="1:25" x14ac:dyDescent="0.3">
      <c r="A23" s="2">
        <v>44501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10">
        <v>0</v>
      </c>
      <c r="I23" s="3">
        <v>0</v>
      </c>
      <c r="J23" s="3">
        <v>0</v>
      </c>
      <c r="K23" s="3">
        <v>0</v>
      </c>
      <c r="L23" s="3" t="e">
        <v>#DIV/0!</v>
      </c>
      <c r="N23" s="1">
        <f t="shared" si="0"/>
        <v>639</v>
      </c>
      <c r="O23" s="1" t="e">
        <f t="shared" si="1"/>
        <v>#DIV/0!</v>
      </c>
      <c r="V23" s="1">
        <f t="shared" si="4"/>
        <v>1338</v>
      </c>
      <c r="W23" s="1">
        <f t="shared" si="7"/>
        <v>21.3</v>
      </c>
      <c r="X23" s="1" t="e">
        <f t="shared" si="5"/>
        <v>#NUM!</v>
      </c>
      <c r="Y23" s="1">
        <f t="shared" si="6"/>
        <v>593</v>
      </c>
    </row>
    <row r="24" spans="1:25" x14ac:dyDescent="0.3">
      <c r="A24" s="2">
        <v>44531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10">
        <v>0</v>
      </c>
      <c r="I24" s="3">
        <v>0</v>
      </c>
      <c r="J24" s="3">
        <v>0</v>
      </c>
      <c r="K24" s="3">
        <v>0</v>
      </c>
      <c r="L24" s="3" t="e">
        <v>#DIV/0!</v>
      </c>
      <c r="N24" s="1">
        <f t="shared" si="0"/>
        <v>669</v>
      </c>
      <c r="O24" s="1" t="e">
        <f t="shared" si="1"/>
        <v>#DIV/0!</v>
      </c>
      <c r="V24" s="1">
        <f t="shared" si="4"/>
        <v>1308</v>
      </c>
      <c r="W24" s="1">
        <f t="shared" si="7"/>
        <v>22.3</v>
      </c>
      <c r="X24" s="1" t="e">
        <f t="shared" si="5"/>
        <v>#NUM!</v>
      </c>
      <c r="Y24" s="1">
        <f t="shared" si="6"/>
        <v>593</v>
      </c>
    </row>
    <row r="25" spans="1:25" x14ac:dyDescent="0.3">
      <c r="A25" s="2">
        <v>44562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10">
        <v>0</v>
      </c>
      <c r="I25" s="3">
        <v>0</v>
      </c>
      <c r="J25" s="3">
        <v>0</v>
      </c>
      <c r="K25" s="3">
        <v>0</v>
      </c>
      <c r="L25" s="3" t="e">
        <v>#DIV/0!</v>
      </c>
      <c r="N25" s="1">
        <f t="shared" si="0"/>
        <v>700</v>
      </c>
      <c r="O25" s="1" t="e">
        <f t="shared" si="1"/>
        <v>#DIV/0!</v>
      </c>
      <c r="V25" s="1">
        <f t="shared" si="4"/>
        <v>1277</v>
      </c>
      <c r="W25" s="1">
        <f t="shared" si="7"/>
        <v>23.333333333333332</v>
      </c>
      <c r="X25" s="1" t="e">
        <f t="shared" si="5"/>
        <v>#NUM!</v>
      </c>
      <c r="Y25" s="1">
        <f t="shared" si="6"/>
        <v>593</v>
      </c>
    </row>
    <row r="26" spans="1:25" x14ac:dyDescent="0.3">
      <c r="A26" s="2">
        <v>44593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10">
        <v>0</v>
      </c>
      <c r="I26" s="3">
        <v>0</v>
      </c>
      <c r="J26" s="3">
        <v>0</v>
      </c>
      <c r="K26" s="3">
        <v>0</v>
      </c>
      <c r="L26" s="3" t="e">
        <v>#DIV/0!</v>
      </c>
      <c r="N26" s="1">
        <f t="shared" si="0"/>
        <v>731</v>
      </c>
      <c r="O26" s="1" t="e">
        <f t="shared" si="1"/>
        <v>#DIV/0!</v>
      </c>
      <c r="V26" s="1">
        <f t="shared" si="4"/>
        <v>1246</v>
      </c>
      <c r="W26" s="1">
        <f t="shared" si="7"/>
        <v>24.366666666666667</v>
      </c>
      <c r="X26" s="1" t="e">
        <f t="shared" si="5"/>
        <v>#NUM!</v>
      </c>
      <c r="Y26" s="1">
        <f t="shared" si="6"/>
        <v>593</v>
      </c>
    </row>
    <row r="27" spans="1:25" x14ac:dyDescent="0.3">
      <c r="A27" s="2">
        <v>44621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10">
        <v>0</v>
      </c>
      <c r="I27" s="3">
        <v>0</v>
      </c>
      <c r="J27" s="3">
        <v>0</v>
      </c>
      <c r="K27" s="3">
        <v>0</v>
      </c>
      <c r="L27" s="3" t="e">
        <v>#DIV/0!</v>
      </c>
      <c r="N27" s="1">
        <f t="shared" si="0"/>
        <v>759</v>
      </c>
      <c r="O27" s="1" t="e">
        <f t="shared" si="1"/>
        <v>#DIV/0!</v>
      </c>
      <c r="V27" s="1">
        <f t="shared" si="4"/>
        <v>1218</v>
      </c>
      <c r="W27" s="1">
        <f t="shared" si="7"/>
        <v>25.3</v>
      </c>
      <c r="X27" s="1" t="e">
        <f t="shared" si="5"/>
        <v>#NUM!</v>
      </c>
      <c r="Y27" s="1">
        <f t="shared" si="6"/>
        <v>593</v>
      </c>
    </row>
    <row r="28" spans="1:25" x14ac:dyDescent="0.3">
      <c r="A28" s="2">
        <v>44652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10">
        <v>0</v>
      </c>
      <c r="I28" s="3">
        <v>0</v>
      </c>
      <c r="J28" s="3">
        <v>0</v>
      </c>
      <c r="K28" s="3">
        <v>0</v>
      </c>
      <c r="L28" s="3" t="e">
        <v>#DIV/0!</v>
      </c>
      <c r="N28" s="1">
        <f t="shared" si="0"/>
        <v>790</v>
      </c>
      <c r="O28" s="1" t="e">
        <f t="shared" si="1"/>
        <v>#DIV/0!</v>
      </c>
      <c r="V28" s="1">
        <f t="shared" si="4"/>
        <v>1187</v>
      </c>
      <c r="W28" s="1">
        <f t="shared" si="7"/>
        <v>26.333333333333332</v>
      </c>
      <c r="X28" s="1" t="e">
        <f t="shared" si="5"/>
        <v>#NUM!</v>
      </c>
      <c r="Y28" s="1">
        <f t="shared" si="6"/>
        <v>593</v>
      </c>
    </row>
    <row r="29" spans="1:25" x14ac:dyDescent="0.3">
      <c r="A29" s="2">
        <v>44682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10">
        <v>0</v>
      </c>
      <c r="I29" s="3">
        <v>0</v>
      </c>
      <c r="J29" s="3">
        <v>0</v>
      </c>
      <c r="K29" s="3">
        <v>0</v>
      </c>
      <c r="L29" s="3" t="e">
        <v>#DIV/0!</v>
      </c>
      <c r="N29" s="1">
        <f t="shared" si="0"/>
        <v>820</v>
      </c>
      <c r="O29" s="1" t="e">
        <f t="shared" si="1"/>
        <v>#DIV/0!</v>
      </c>
      <c r="V29" s="1">
        <f t="shared" si="4"/>
        <v>1157</v>
      </c>
      <c r="W29" s="1">
        <f t="shared" si="7"/>
        <v>27.333333333333332</v>
      </c>
      <c r="X29" s="1" t="e">
        <f t="shared" si="5"/>
        <v>#NUM!</v>
      </c>
      <c r="Y29" s="1">
        <f t="shared" si="6"/>
        <v>593</v>
      </c>
    </row>
    <row r="30" spans="1:25" x14ac:dyDescent="0.3">
      <c r="A30" s="2">
        <v>44713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10">
        <v>0</v>
      </c>
      <c r="I30" s="3">
        <v>0</v>
      </c>
      <c r="J30" s="3">
        <v>0</v>
      </c>
      <c r="K30" s="3">
        <v>0</v>
      </c>
      <c r="L30" s="3" t="e">
        <v>#DIV/0!</v>
      </c>
      <c r="N30" s="1">
        <f t="shared" si="0"/>
        <v>851</v>
      </c>
      <c r="O30" s="1" t="e">
        <f t="shared" si="1"/>
        <v>#DIV/0!</v>
      </c>
      <c r="V30" s="1">
        <f t="shared" si="4"/>
        <v>1126</v>
      </c>
      <c r="W30" s="1">
        <f t="shared" si="7"/>
        <v>28.366666666666667</v>
      </c>
      <c r="X30" s="1" t="e">
        <f t="shared" si="5"/>
        <v>#NUM!</v>
      </c>
      <c r="Y30" s="1">
        <f t="shared" si="6"/>
        <v>593</v>
      </c>
    </row>
    <row r="31" spans="1:25" x14ac:dyDescent="0.3">
      <c r="A31" s="2">
        <v>44743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10">
        <v>0</v>
      </c>
      <c r="I31" s="3">
        <v>0</v>
      </c>
      <c r="J31" s="3">
        <v>0</v>
      </c>
      <c r="K31" s="3">
        <v>0</v>
      </c>
      <c r="L31" s="3" t="e">
        <v>#DIV/0!</v>
      </c>
      <c r="N31" s="1">
        <f t="shared" si="0"/>
        <v>881</v>
      </c>
      <c r="O31" s="1" t="e">
        <f t="shared" si="1"/>
        <v>#DIV/0!</v>
      </c>
      <c r="V31" s="1">
        <f t="shared" si="4"/>
        <v>1096</v>
      </c>
      <c r="W31" s="1">
        <f t="shared" si="7"/>
        <v>29.366666666666667</v>
      </c>
      <c r="X31" s="1" t="e">
        <f t="shared" si="5"/>
        <v>#NUM!</v>
      </c>
      <c r="Y31" s="1">
        <f t="shared" si="6"/>
        <v>593</v>
      </c>
    </row>
    <row r="32" spans="1:25" x14ac:dyDescent="0.3">
      <c r="A32" s="2">
        <v>44774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10">
        <v>0</v>
      </c>
      <c r="I32" s="3">
        <v>0</v>
      </c>
      <c r="J32" s="3">
        <v>0</v>
      </c>
      <c r="K32" s="3">
        <v>0</v>
      </c>
      <c r="L32" s="3" t="e">
        <v>#DIV/0!</v>
      </c>
      <c r="N32" s="1">
        <f t="shared" si="0"/>
        <v>912</v>
      </c>
      <c r="O32" s="1" t="e">
        <f t="shared" si="1"/>
        <v>#DIV/0!</v>
      </c>
      <c r="V32" s="1">
        <f t="shared" si="4"/>
        <v>1065</v>
      </c>
      <c r="W32" s="1">
        <f t="shared" si="7"/>
        <v>30.4</v>
      </c>
      <c r="X32" s="1" t="e">
        <f t="shared" si="5"/>
        <v>#NUM!</v>
      </c>
      <c r="Y32" s="1">
        <f t="shared" si="6"/>
        <v>593</v>
      </c>
    </row>
    <row r="33" spans="1:25" x14ac:dyDescent="0.3">
      <c r="A33" s="2">
        <v>44805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10">
        <v>0</v>
      </c>
      <c r="I33" s="3">
        <v>0</v>
      </c>
      <c r="J33" s="3">
        <v>0</v>
      </c>
      <c r="K33" s="3">
        <v>0</v>
      </c>
      <c r="L33" s="3" t="e">
        <v>#DIV/0!</v>
      </c>
      <c r="N33" s="1">
        <f t="shared" si="0"/>
        <v>943</v>
      </c>
      <c r="O33" s="1" t="e">
        <f t="shared" si="1"/>
        <v>#DIV/0!</v>
      </c>
      <c r="V33" s="1">
        <f t="shared" si="4"/>
        <v>1034</v>
      </c>
      <c r="W33" s="1">
        <f t="shared" si="7"/>
        <v>31.433333333333334</v>
      </c>
      <c r="X33" s="1" t="e">
        <f t="shared" si="5"/>
        <v>#NUM!</v>
      </c>
      <c r="Y33" s="1">
        <f t="shared" si="6"/>
        <v>593</v>
      </c>
    </row>
    <row r="34" spans="1:25" x14ac:dyDescent="0.3">
      <c r="A34" s="2">
        <v>44835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10">
        <v>0</v>
      </c>
      <c r="I34" s="3">
        <v>0</v>
      </c>
      <c r="J34" s="3">
        <v>0</v>
      </c>
      <c r="K34" s="3">
        <v>0</v>
      </c>
      <c r="L34" s="3" t="e">
        <v>#DIV/0!</v>
      </c>
      <c r="N34" s="1">
        <f t="shared" si="0"/>
        <v>973</v>
      </c>
      <c r="O34" s="1" t="e">
        <f t="shared" si="1"/>
        <v>#DIV/0!</v>
      </c>
      <c r="V34" s="1">
        <f t="shared" si="4"/>
        <v>1004</v>
      </c>
      <c r="W34" s="1">
        <f t="shared" si="7"/>
        <v>32.43333333333333</v>
      </c>
      <c r="X34" s="1" t="e">
        <f t="shared" si="5"/>
        <v>#NUM!</v>
      </c>
      <c r="Y34" s="1">
        <f t="shared" si="6"/>
        <v>593</v>
      </c>
    </row>
    <row r="35" spans="1:25" x14ac:dyDescent="0.3">
      <c r="A35" s="2">
        <v>44866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10">
        <v>0</v>
      </c>
      <c r="I35" s="3">
        <v>0</v>
      </c>
      <c r="J35" s="3">
        <v>0</v>
      </c>
      <c r="K35" s="3">
        <v>0</v>
      </c>
      <c r="L35" s="3" t="e">
        <v>#DIV/0!</v>
      </c>
      <c r="N35" s="1">
        <f t="shared" si="0"/>
        <v>1004</v>
      </c>
      <c r="O35" s="1" t="e">
        <f t="shared" si="1"/>
        <v>#DIV/0!</v>
      </c>
      <c r="V35" s="1">
        <f t="shared" si="4"/>
        <v>973</v>
      </c>
      <c r="W35" s="1">
        <f t="shared" si="7"/>
        <v>33.466666666666669</v>
      </c>
      <c r="X35" s="1" t="e">
        <f t="shared" si="5"/>
        <v>#NUM!</v>
      </c>
      <c r="Y35" s="1">
        <f t="shared" si="6"/>
        <v>593</v>
      </c>
    </row>
    <row r="36" spans="1:25" x14ac:dyDescent="0.3">
      <c r="A36" s="2">
        <v>44896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10">
        <v>0</v>
      </c>
      <c r="I36" s="3">
        <v>0</v>
      </c>
      <c r="J36" s="3">
        <v>0</v>
      </c>
      <c r="K36" s="3">
        <v>0</v>
      </c>
      <c r="L36" s="3" t="e">
        <v>#DIV/0!</v>
      </c>
      <c r="N36" s="1">
        <f t="shared" si="0"/>
        <v>1034</v>
      </c>
      <c r="O36" s="1" t="e">
        <f t="shared" si="1"/>
        <v>#DIV/0!</v>
      </c>
      <c r="V36" s="1">
        <f t="shared" si="4"/>
        <v>943</v>
      </c>
      <c r="W36" s="1">
        <f t="shared" si="7"/>
        <v>34.466666666666669</v>
      </c>
      <c r="X36" s="1" t="e">
        <f t="shared" si="5"/>
        <v>#NUM!</v>
      </c>
      <c r="Y36" s="1">
        <f t="shared" si="6"/>
        <v>593</v>
      </c>
    </row>
    <row r="37" spans="1:25" x14ac:dyDescent="0.3">
      <c r="A37" s="2">
        <v>44927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10">
        <v>0</v>
      </c>
      <c r="I37" s="3">
        <v>0</v>
      </c>
      <c r="J37" s="3">
        <v>0</v>
      </c>
      <c r="K37" s="3">
        <v>0</v>
      </c>
      <c r="L37" s="3" t="e">
        <v>#DIV/0!</v>
      </c>
      <c r="N37" s="1">
        <f t="shared" si="0"/>
        <v>1065</v>
      </c>
      <c r="O37" s="1" t="e">
        <f t="shared" si="1"/>
        <v>#DIV/0!</v>
      </c>
      <c r="V37" s="1">
        <f t="shared" si="4"/>
        <v>912</v>
      </c>
      <c r="W37" s="1">
        <f t="shared" si="7"/>
        <v>35.5</v>
      </c>
      <c r="X37" s="1" t="e">
        <f t="shared" si="5"/>
        <v>#NUM!</v>
      </c>
      <c r="Y37" s="1">
        <f t="shared" si="6"/>
        <v>593</v>
      </c>
    </row>
    <row r="38" spans="1:25" x14ac:dyDescent="0.3">
      <c r="A38" s="2">
        <v>44958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10">
        <v>0</v>
      </c>
      <c r="I38" s="3">
        <v>0</v>
      </c>
      <c r="J38" s="3">
        <v>0</v>
      </c>
      <c r="K38" s="3">
        <v>0</v>
      </c>
      <c r="L38" s="3" t="e">
        <v>#DIV/0!</v>
      </c>
      <c r="N38" s="1">
        <f t="shared" si="0"/>
        <v>1096</v>
      </c>
      <c r="O38" s="1" t="e">
        <f t="shared" si="1"/>
        <v>#DIV/0!</v>
      </c>
      <c r="V38" s="1">
        <f t="shared" si="4"/>
        <v>881</v>
      </c>
      <c r="W38" s="1">
        <f t="shared" si="7"/>
        <v>36.533333333333331</v>
      </c>
      <c r="X38" s="1" t="e">
        <f t="shared" si="5"/>
        <v>#NUM!</v>
      </c>
      <c r="Y38" s="1">
        <f t="shared" si="6"/>
        <v>593</v>
      </c>
    </row>
    <row r="39" spans="1:25" x14ac:dyDescent="0.3">
      <c r="A39" s="2">
        <v>44986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10">
        <v>0</v>
      </c>
      <c r="I39" s="3">
        <v>0</v>
      </c>
      <c r="J39" s="3">
        <v>0</v>
      </c>
      <c r="K39" s="3">
        <v>0</v>
      </c>
      <c r="L39" s="3" t="e">
        <v>#DIV/0!</v>
      </c>
      <c r="N39" s="1">
        <f t="shared" si="0"/>
        <v>1124</v>
      </c>
      <c r="O39" s="1" t="e">
        <f t="shared" si="1"/>
        <v>#DIV/0!</v>
      </c>
      <c r="V39" s="1">
        <f t="shared" si="4"/>
        <v>853</v>
      </c>
      <c r="W39" s="1">
        <f t="shared" si="7"/>
        <v>37.466666666666669</v>
      </c>
      <c r="X39" s="1" t="e">
        <f t="shared" si="5"/>
        <v>#NUM!</v>
      </c>
      <c r="Y39" s="1">
        <f t="shared" si="6"/>
        <v>593</v>
      </c>
    </row>
    <row r="40" spans="1:25" x14ac:dyDescent="0.3">
      <c r="A40" s="2">
        <v>45017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10">
        <v>0</v>
      </c>
      <c r="I40" s="3">
        <v>0</v>
      </c>
      <c r="J40" s="3">
        <v>0</v>
      </c>
      <c r="K40" s="3">
        <v>0</v>
      </c>
      <c r="L40" s="3" t="e">
        <v>#DIV/0!</v>
      </c>
      <c r="N40" s="1">
        <f t="shared" si="0"/>
        <v>1155</v>
      </c>
      <c r="O40" s="1" t="e">
        <f t="shared" si="1"/>
        <v>#DIV/0!</v>
      </c>
      <c r="V40" s="1">
        <f t="shared" si="4"/>
        <v>822</v>
      </c>
      <c r="W40" s="1">
        <f t="shared" si="7"/>
        <v>38.5</v>
      </c>
      <c r="X40" s="1" t="e">
        <f t="shared" si="5"/>
        <v>#NUM!</v>
      </c>
      <c r="Y40" s="1">
        <f t="shared" si="6"/>
        <v>593</v>
      </c>
    </row>
    <row r="41" spans="1:25" x14ac:dyDescent="0.3">
      <c r="A41" s="2">
        <v>45047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10">
        <v>0</v>
      </c>
      <c r="I41" s="3">
        <v>0</v>
      </c>
      <c r="J41" s="3">
        <v>0</v>
      </c>
      <c r="K41" s="3">
        <v>0</v>
      </c>
      <c r="L41" s="3" t="e">
        <v>#DIV/0!</v>
      </c>
      <c r="N41" s="1">
        <f t="shared" si="0"/>
        <v>1185</v>
      </c>
      <c r="O41" s="1" t="e">
        <f t="shared" si="1"/>
        <v>#DIV/0!</v>
      </c>
      <c r="V41" s="1">
        <f t="shared" si="4"/>
        <v>792</v>
      </c>
      <c r="W41" s="1">
        <f t="shared" si="7"/>
        <v>39.5</v>
      </c>
      <c r="X41" s="1" t="e">
        <f t="shared" si="5"/>
        <v>#NUM!</v>
      </c>
      <c r="Y41" s="1">
        <f t="shared" si="6"/>
        <v>593</v>
      </c>
    </row>
    <row r="42" spans="1:25" x14ac:dyDescent="0.3">
      <c r="A42" s="2">
        <v>45078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10">
        <v>0</v>
      </c>
      <c r="I42" s="3">
        <v>0</v>
      </c>
      <c r="J42" s="3">
        <v>0</v>
      </c>
      <c r="K42" s="3">
        <v>0</v>
      </c>
      <c r="L42" s="3" t="e">
        <v>#DIV/0!</v>
      </c>
      <c r="N42" s="1">
        <f t="shared" si="0"/>
        <v>1216</v>
      </c>
      <c r="O42" s="1" t="e">
        <f t="shared" si="1"/>
        <v>#DIV/0!</v>
      </c>
      <c r="V42" s="1">
        <f t="shared" si="4"/>
        <v>761</v>
      </c>
      <c r="W42" s="1">
        <f t="shared" si="7"/>
        <v>40.533333333333331</v>
      </c>
      <c r="X42" s="1" t="e">
        <f t="shared" si="5"/>
        <v>#NUM!</v>
      </c>
      <c r="Y42" s="1">
        <f t="shared" si="6"/>
        <v>593</v>
      </c>
    </row>
    <row r="43" spans="1:25" x14ac:dyDescent="0.3">
      <c r="A43" s="2">
        <v>45108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0">
        <v>0</v>
      </c>
      <c r="I43" s="1">
        <v>0</v>
      </c>
      <c r="J43" s="1">
        <v>0</v>
      </c>
      <c r="K43" s="3">
        <v>0</v>
      </c>
      <c r="L43" s="3" t="e">
        <v>#DIV/0!</v>
      </c>
      <c r="N43" s="1">
        <f t="shared" si="0"/>
        <v>1246</v>
      </c>
      <c r="O43" s="1" t="e">
        <f t="shared" si="1"/>
        <v>#DIV/0!</v>
      </c>
      <c r="V43" s="1">
        <f t="shared" si="4"/>
        <v>731</v>
      </c>
      <c r="W43" s="1">
        <f t="shared" si="7"/>
        <v>41.533333333333331</v>
      </c>
      <c r="X43" s="1" t="e">
        <f t="shared" si="5"/>
        <v>#NUM!</v>
      </c>
      <c r="Y43" s="1">
        <f t="shared" si="6"/>
        <v>593</v>
      </c>
    </row>
    <row r="44" spans="1:25" x14ac:dyDescent="0.3">
      <c r="A44" s="2">
        <v>45139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0">
        <v>0</v>
      </c>
      <c r="I44" s="1">
        <v>0</v>
      </c>
      <c r="J44" s="1">
        <v>0</v>
      </c>
      <c r="K44" s="1">
        <v>0</v>
      </c>
      <c r="L44" s="1" t="e">
        <v>#DIV/0!</v>
      </c>
      <c r="N44" s="1">
        <f t="shared" si="0"/>
        <v>1277</v>
      </c>
      <c r="O44" s="1" t="e">
        <f t="shared" si="1"/>
        <v>#DIV/0!</v>
      </c>
      <c r="V44" s="1">
        <f t="shared" si="4"/>
        <v>700</v>
      </c>
      <c r="W44" s="1">
        <f t="shared" si="7"/>
        <v>42.56666666666667</v>
      </c>
      <c r="X44" s="1" t="e">
        <f t="shared" si="5"/>
        <v>#NUM!</v>
      </c>
      <c r="Y44" s="1">
        <f t="shared" si="6"/>
        <v>593</v>
      </c>
    </row>
    <row r="45" spans="1:25" x14ac:dyDescent="0.3">
      <c r="A45" s="2">
        <v>45170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0">
        <v>0</v>
      </c>
      <c r="I45" s="1">
        <v>0</v>
      </c>
      <c r="J45" s="1">
        <v>0</v>
      </c>
      <c r="K45" s="1">
        <v>0</v>
      </c>
      <c r="L45" s="1" t="e">
        <v>#DIV/0!</v>
      </c>
      <c r="N45" s="1">
        <f t="shared" si="0"/>
        <v>1308</v>
      </c>
      <c r="O45" s="1" t="e">
        <f t="shared" si="1"/>
        <v>#DIV/0!</v>
      </c>
      <c r="V45" s="1">
        <f t="shared" si="4"/>
        <v>669</v>
      </c>
      <c r="W45" s="1">
        <f t="shared" si="7"/>
        <v>43.6</v>
      </c>
      <c r="X45" s="1" t="e">
        <f t="shared" si="5"/>
        <v>#NUM!</v>
      </c>
      <c r="Y45" s="1">
        <f t="shared" si="6"/>
        <v>593</v>
      </c>
    </row>
    <row r="46" spans="1:25" x14ac:dyDescent="0.3">
      <c r="A46" s="2">
        <v>45200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0">
        <v>0</v>
      </c>
      <c r="I46" s="1">
        <v>0</v>
      </c>
      <c r="J46" s="1">
        <v>0</v>
      </c>
      <c r="K46" s="1">
        <v>0</v>
      </c>
      <c r="L46" s="1" t="e">
        <v>#DIV/0!</v>
      </c>
      <c r="N46" s="1">
        <f t="shared" si="0"/>
        <v>1338</v>
      </c>
      <c r="O46" s="1" t="e">
        <f t="shared" si="1"/>
        <v>#DIV/0!</v>
      </c>
      <c r="V46" s="1">
        <f t="shared" si="4"/>
        <v>639</v>
      </c>
      <c r="W46" s="1">
        <f t="shared" si="7"/>
        <v>44.6</v>
      </c>
      <c r="X46" s="1" t="e">
        <f t="shared" si="5"/>
        <v>#NUM!</v>
      </c>
      <c r="Y46" s="1">
        <f t="shared" si="6"/>
        <v>593</v>
      </c>
    </row>
    <row r="47" spans="1:25" x14ac:dyDescent="0.3">
      <c r="A47" s="2">
        <v>45231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0">
        <v>0</v>
      </c>
      <c r="I47" s="1">
        <v>0</v>
      </c>
      <c r="J47" s="1">
        <v>0</v>
      </c>
      <c r="K47" s="1">
        <v>0</v>
      </c>
      <c r="L47" s="1" t="e">
        <v>#DIV/0!</v>
      </c>
      <c r="N47" s="1">
        <f t="shared" si="0"/>
        <v>1369</v>
      </c>
      <c r="O47" s="1" t="e">
        <f t="shared" si="1"/>
        <v>#DIV/0!</v>
      </c>
      <c r="V47" s="1">
        <f t="shared" si="4"/>
        <v>608</v>
      </c>
      <c r="W47" s="1">
        <f t="shared" si="7"/>
        <v>45.633333333333333</v>
      </c>
      <c r="X47" s="1" t="e">
        <f t="shared" si="5"/>
        <v>#NUM!</v>
      </c>
      <c r="Y47" s="1">
        <f t="shared" si="6"/>
        <v>593</v>
      </c>
    </row>
    <row r="48" spans="1:25" x14ac:dyDescent="0.3">
      <c r="A48" s="2">
        <v>45261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0">
        <v>0</v>
      </c>
      <c r="I48" s="1">
        <v>0</v>
      </c>
      <c r="J48" s="1">
        <v>0</v>
      </c>
      <c r="K48" s="1">
        <v>0</v>
      </c>
      <c r="L48" s="1" t="e">
        <v>#DIV/0!</v>
      </c>
      <c r="N48" s="1">
        <f t="shared" si="0"/>
        <v>1399</v>
      </c>
      <c r="O48" s="1" t="e">
        <f t="shared" si="1"/>
        <v>#DIV/0!</v>
      </c>
      <c r="V48" s="1">
        <f t="shared" si="4"/>
        <v>578</v>
      </c>
      <c r="W48" s="1">
        <f t="shared" si="7"/>
        <v>46.633333333333333</v>
      </c>
      <c r="X48" s="1" t="e">
        <f t="shared" si="5"/>
        <v>#NUM!</v>
      </c>
      <c r="Y48" s="1">
        <f t="shared" si="6"/>
        <v>593</v>
      </c>
    </row>
    <row r="49" spans="1:25" x14ac:dyDescent="0.3">
      <c r="A49" s="2">
        <v>45292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0">
        <v>0</v>
      </c>
      <c r="I49" s="1">
        <v>0</v>
      </c>
      <c r="J49" s="1">
        <v>0</v>
      </c>
      <c r="K49" s="1">
        <v>0</v>
      </c>
      <c r="L49" s="1" t="e">
        <v>#DIV/0!</v>
      </c>
      <c r="N49" s="1">
        <f t="shared" si="0"/>
        <v>1430</v>
      </c>
      <c r="O49" s="1" t="e">
        <f t="shared" si="1"/>
        <v>#DIV/0!</v>
      </c>
      <c r="V49" s="1">
        <f t="shared" si="4"/>
        <v>547</v>
      </c>
      <c r="W49" s="1">
        <f t="shared" si="7"/>
        <v>47.666666666666664</v>
      </c>
      <c r="X49" s="1" t="e">
        <f t="shared" si="5"/>
        <v>#NUM!</v>
      </c>
      <c r="Y49" s="1">
        <f t="shared" si="6"/>
        <v>593</v>
      </c>
    </row>
    <row r="50" spans="1:25" x14ac:dyDescent="0.3">
      <c r="A50" s="2">
        <v>45323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0">
        <v>0</v>
      </c>
      <c r="I50" s="1">
        <v>0</v>
      </c>
      <c r="J50" s="1">
        <v>0</v>
      </c>
      <c r="K50" s="1">
        <v>0</v>
      </c>
      <c r="L50" s="1" t="e">
        <v>#DIV/0!</v>
      </c>
      <c r="N50" s="1">
        <f t="shared" si="0"/>
        <v>1461</v>
      </c>
      <c r="O50" s="1" t="e">
        <f t="shared" si="1"/>
        <v>#DIV/0!</v>
      </c>
      <c r="V50" s="1">
        <f t="shared" si="4"/>
        <v>516</v>
      </c>
      <c r="W50" s="1">
        <f t="shared" si="7"/>
        <v>48.7</v>
      </c>
      <c r="X50" s="1" t="e">
        <f t="shared" si="5"/>
        <v>#NUM!</v>
      </c>
      <c r="Y50" s="1">
        <f t="shared" si="6"/>
        <v>593</v>
      </c>
    </row>
    <row r="51" spans="1:25" x14ac:dyDescent="0.3">
      <c r="A51" s="2">
        <v>45352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0">
        <v>0</v>
      </c>
      <c r="I51" s="1">
        <v>0</v>
      </c>
      <c r="J51" s="1">
        <v>0</v>
      </c>
      <c r="K51" s="1">
        <v>0</v>
      </c>
      <c r="L51" s="1" t="e">
        <v>#DIV/0!</v>
      </c>
      <c r="N51" s="1">
        <f t="shared" si="0"/>
        <v>1490</v>
      </c>
      <c r="O51" s="1" t="e">
        <f t="shared" si="1"/>
        <v>#DIV/0!</v>
      </c>
      <c r="V51" s="1">
        <f t="shared" si="4"/>
        <v>487</v>
      </c>
      <c r="W51" s="1">
        <f t="shared" si="7"/>
        <v>49.666666666666664</v>
      </c>
      <c r="X51" s="1" t="e">
        <f t="shared" si="5"/>
        <v>#NUM!</v>
      </c>
      <c r="Y51" s="1">
        <f t="shared" si="6"/>
        <v>593</v>
      </c>
    </row>
    <row r="52" spans="1:25" x14ac:dyDescent="0.3">
      <c r="A52" s="2">
        <v>45383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0">
        <v>0</v>
      </c>
      <c r="I52" s="1">
        <v>0</v>
      </c>
      <c r="J52" s="1">
        <v>0</v>
      </c>
      <c r="K52" s="1">
        <v>0</v>
      </c>
      <c r="L52" s="1" t="e">
        <v>#DIV/0!</v>
      </c>
      <c r="N52" s="1">
        <f t="shared" si="0"/>
        <v>1521</v>
      </c>
      <c r="O52" s="1" t="e">
        <f t="shared" si="1"/>
        <v>#DIV/0!</v>
      </c>
      <c r="V52" s="1">
        <f t="shared" si="4"/>
        <v>456</v>
      </c>
      <c r="W52" s="1">
        <f t="shared" si="7"/>
        <v>50.7</v>
      </c>
      <c r="X52" s="1" t="e">
        <f t="shared" si="5"/>
        <v>#NUM!</v>
      </c>
      <c r="Y52" s="1">
        <f t="shared" si="6"/>
        <v>593</v>
      </c>
    </row>
    <row r="53" spans="1:25" x14ac:dyDescent="0.3">
      <c r="A53" s="2">
        <v>45413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0">
        <v>0</v>
      </c>
      <c r="I53" s="1">
        <v>0</v>
      </c>
      <c r="J53" s="1">
        <v>0</v>
      </c>
      <c r="K53" s="1">
        <v>0</v>
      </c>
      <c r="L53" s="1" t="e">
        <v>#DIV/0!</v>
      </c>
      <c r="N53" s="1">
        <f t="shared" si="0"/>
        <v>1551</v>
      </c>
      <c r="O53" s="1" t="e">
        <f t="shared" si="1"/>
        <v>#DIV/0!</v>
      </c>
      <c r="V53" s="1">
        <f t="shared" si="4"/>
        <v>426</v>
      </c>
      <c r="W53" s="1">
        <f t="shared" si="7"/>
        <v>51.7</v>
      </c>
      <c r="X53" s="1" t="e">
        <f t="shared" si="5"/>
        <v>#NUM!</v>
      </c>
      <c r="Y53" s="1">
        <f t="shared" si="6"/>
        <v>593</v>
      </c>
    </row>
    <row r="54" spans="1:25" x14ac:dyDescent="0.3">
      <c r="A54" s="2">
        <v>45444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0">
        <v>0</v>
      </c>
      <c r="I54" s="1">
        <v>0</v>
      </c>
      <c r="J54" s="1">
        <v>0</v>
      </c>
      <c r="K54" s="1">
        <v>0</v>
      </c>
      <c r="L54" s="1" t="e">
        <v>#DIV/0!</v>
      </c>
      <c r="N54" s="1">
        <f t="shared" si="0"/>
        <v>1582</v>
      </c>
      <c r="O54" s="1" t="e">
        <f t="shared" si="1"/>
        <v>#DIV/0!</v>
      </c>
      <c r="V54" s="1">
        <f t="shared" si="4"/>
        <v>395</v>
      </c>
      <c r="W54" s="1">
        <f t="shared" si="7"/>
        <v>52.733333333333334</v>
      </c>
      <c r="X54" s="1" t="e">
        <f t="shared" si="5"/>
        <v>#NUM!</v>
      </c>
      <c r="Y54" s="1">
        <f t="shared" si="6"/>
        <v>593</v>
      </c>
    </row>
    <row r="55" spans="1:25" x14ac:dyDescent="0.3">
      <c r="A55" s="2">
        <v>45474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0">
        <v>0</v>
      </c>
      <c r="I55" s="1">
        <v>0</v>
      </c>
      <c r="J55" s="1">
        <v>0</v>
      </c>
      <c r="K55" s="1">
        <v>0</v>
      </c>
      <c r="L55" s="1" t="e">
        <v>#DIV/0!</v>
      </c>
      <c r="N55" s="1">
        <f t="shared" si="0"/>
        <v>1612</v>
      </c>
      <c r="O55" s="1" t="e">
        <f t="shared" si="1"/>
        <v>#DIV/0!</v>
      </c>
      <c r="V55" s="1">
        <f t="shared" si="4"/>
        <v>365</v>
      </c>
      <c r="W55" s="1">
        <f t="shared" si="7"/>
        <v>53.733333333333334</v>
      </c>
      <c r="X55" s="1" t="e">
        <f t="shared" si="5"/>
        <v>#NUM!</v>
      </c>
      <c r="Y55" s="1">
        <f t="shared" si="6"/>
        <v>593</v>
      </c>
    </row>
    <row r="56" spans="1:25" x14ac:dyDescent="0.3">
      <c r="A56" s="2">
        <v>45505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0">
        <v>0</v>
      </c>
      <c r="I56" s="1">
        <v>0</v>
      </c>
      <c r="J56" s="1">
        <v>0</v>
      </c>
      <c r="K56" s="1">
        <v>0</v>
      </c>
      <c r="L56" s="1" t="e">
        <v>#DIV/0!</v>
      </c>
      <c r="N56" s="1">
        <f t="shared" si="0"/>
        <v>1643</v>
      </c>
      <c r="O56" s="1" t="e">
        <f t="shared" si="1"/>
        <v>#DIV/0!</v>
      </c>
      <c r="V56" s="1">
        <f t="shared" si="4"/>
        <v>334</v>
      </c>
      <c r="W56" s="1">
        <f t="shared" si="7"/>
        <v>54.766666666666666</v>
      </c>
      <c r="X56" s="1" t="e">
        <f t="shared" si="5"/>
        <v>#NUM!</v>
      </c>
      <c r="Y56" s="1">
        <f t="shared" si="6"/>
        <v>593</v>
      </c>
    </row>
    <row r="57" spans="1:25" x14ac:dyDescent="0.3">
      <c r="A57" s="2">
        <v>45536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0">
        <v>0</v>
      </c>
      <c r="I57" s="1">
        <v>0</v>
      </c>
      <c r="J57" s="1">
        <v>0</v>
      </c>
      <c r="K57" s="1">
        <v>0</v>
      </c>
      <c r="L57" s="1" t="e">
        <v>#DIV/0!</v>
      </c>
      <c r="N57" s="1">
        <f t="shared" si="0"/>
        <v>1674</v>
      </c>
      <c r="O57" s="1" t="e">
        <f t="shared" si="1"/>
        <v>#DIV/0!</v>
      </c>
      <c r="V57" s="1">
        <f t="shared" si="4"/>
        <v>303</v>
      </c>
      <c r="W57" s="1">
        <f t="shared" si="7"/>
        <v>55.8</v>
      </c>
      <c r="X57" s="1" t="e">
        <f t="shared" si="5"/>
        <v>#NUM!</v>
      </c>
      <c r="Y57" s="1">
        <f t="shared" si="6"/>
        <v>593</v>
      </c>
    </row>
    <row r="58" spans="1:25" x14ac:dyDescent="0.3">
      <c r="A58" s="2">
        <v>45566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0">
        <v>0</v>
      </c>
      <c r="I58" s="1">
        <v>0</v>
      </c>
      <c r="J58" s="1">
        <v>0</v>
      </c>
      <c r="K58" s="1">
        <v>0</v>
      </c>
      <c r="L58" s="1" t="e">
        <v>#DIV/0!</v>
      </c>
      <c r="N58" s="1">
        <f t="shared" si="0"/>
        <v>1704</v>
      </c>
      <c r="O58" s="1" t="e">
        <f t="shared" si="1"/>
        <v>#DIV/0!</v>
      </c>
      <c r="V58" s="1">
        <f t="shared" si="4"/>
        <v>273</v>
      </c>
      <c r="W58" s="1">
        <f t="shared" si="7"/>
        <v>56.8</v>
      </c>
      <c r="X58" s="1" t="e">
        <f t="shared" si="5"/>
        <v>#NUM!</v>
      </c>
      <c r="Y58" s="1">
        <f t="shared" si="6"/>
        <v>593</v>
      </c>
    </row>
    <row r="59" spans="1:25" x14ac:dyDescent="0.3">
      <c r="A59" s="2">
        <v>45597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0">
        <v>0</v>
      </c>
      <c r="I59" s="1">
        <v>0</v>
      </c>
      <c r="J59" s="1">
        <v>0</v>
      </c>
      <c r="K59" s="1">
        <v>0</v>
      </c>
      <c r="L59" s="1" t="e">
        <v>#DIV/0!</v>
      </c>
      <c r="N59" s="1">
        <f t="shared" si="0"/>
        <v>1735</v>
      </c>
      <c r="O59" s="1" t="e">
        <f t="shared" si="1"/>
        <v>#DIV/0!</v>
      </c>
      <c r="V59" s="1">
        <f t="shared" si="4"/>
        <v>242</v>
      </c>
      <c r="W59" s="1">
        <f t="shared" si="7"/>
        <v>57.833333333333336</v>
      </c>
      <c r="X59" s="1" t="e">
        <f t="shared" si="5"/>
        <v>#NUM!</v>
      </c>
      <c r="Y59" s="1">
        <f t="shared" si="6"/>
        <v>593</v>
      </c>
    </row>
    <row r="60" spans="1:25" x14ac:dyDescent="0.3">
      <c r="A60" s="2">
        <v>45627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0">
        <v>0</v>
      </c>
      <c r="I60" s="1">
        <v>0</v>
      </c>
      <c r="J60" s="1">
        <v>0</v>
      </c>
      <c r="K60" s="1">
        <v>0</v>
      </c>
      <c r="L60" s="1" t="e">
        <v>#DIV/0!</v>
      </c>
      <c r="N60" s="1">
        <f t="shared" si="0"/>
        <v>1765</v>
      </c>
      <c r="O60" s="1" t="e">
        <f t="shared" si="1"/>
        <v>#DIV/0!</v>
      </c>
      <c r="V60" s="1">
        <f t="shared" si="4"/>
        <v>212</v>
      </c>
      <c r="W60" s="1">
        <f t="shared" si="7"/>
        <v>58.833333333333336</v>
      </c>
      <c r="X60" s="1" t="e">
        <f t="shared" si="5"/>
        <v>#NUM!</v>
      </c>
      <c r="Y60" s="1">
        <f t="shared" si="6"/>
        <v>593</v>
      </c>
    </row>
    <row r="61" spans="1:25" x14ac:dyDescent="0.3">
      <c r="A61" s="2">
        <v>45658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0">
        <v>0</v>
      </c>
      <c r="I61" s="1">
        <v>0</v>
      </c>
      <c r="J61" s="1">
        <v>0</v>
      </c>
      <c r="K61" s="1">
        <v>0</v>
      </c>
      <c r="L61" s="1" t="e">
        <v>#DIV/0!</v>
      </c>
      <c r="N61" s="1">
        <f t="shared" si="0"/>
        <v>1796</v>
      </c>
      <c r="O61" s="1" t="e">
        <f t="shared" si="1"/>
        <v>#DIV/0!</v>
      </c>
      <c r="V61" s="1">
        <f t="shared" si="4"/>
        <v>181</v>
      </c>
      <c r="W61" s="1">
        <f t="shared" si="7"/>
        <v>59.866666666666667</v>
      </c>
      <c r="X61" s="1" t="e">
        <f t="shared" si="5"/>
        <v>#NUM!</v>
      </c>
      <c r="Y61" s="1">
        <f t="shared" si="6"/>
        <v>593</v>
      </c>
    </row>
    <row r="62" spans="1:25" x14ac:dyDescent="0.3">
      <c r="A62" s="2">
        <v>45689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0">
        <v>0</v>
      </c>
      <c r="I62" s="1">
        <v>0</v>
      </c>
      <c r="J62" s="1">
        <v>0</v>
      </c>
      <c r="K62" s="1">
        <v>0</v>
      </c>
      <c r="L62" s="1" t="e">
        <v>#DIV/0!</v>
      </c>
      <c r="N62" s="1">
        <f t="shared" si="0"/>
        <v>1827</v>
      </c>
      <c r="O62" s="1" t="e">
        <f t="shared" si="1"/>
        <v>#DIV/0!</v>
      </c>
      <c r="V62" s="1">
        <f t="shared" si="4"/>
        <v>150</v>
      </c>
      <c r="W62" s="1">
        <f t="shared" si="7"/>
        <v>60.9</v>
      </c>
      <c r="X62" s="1" t="e">
        <f t="shared" si="5"/>
        <v>#NUM!</v>
      </c>
      <c r="Y62" s="1">
        <f t="shared" si="6"/>
        <v>593</v>
      </c>
    </row>
    <row r="63" spans="1:25" x14ac:dyDescent="0.3">
      <c r="A63" s="2">
        <v>45717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0">
        <v>0</v>
      </c>
      <c r="I63" s="1">
        <v>0</v>
      </c>
      <c r="J63" s="1">
        <v>0</v>
      </c>
      <c r="K63" s="1">
        <v>0</v>
      </c>
      <c r="L63" s="1" t="e">
        <v>#DIV/0!</v>
      </c>
      <c r="N63" s="1">
        <f t="shared" si="0"/>
        <v>1855</v>
      </c>
      <c r="O63" s="1" t="e">
        <f t="shared" si="1"/>
        <v>#DIV/0!</v>
      </c>
      <c r="V63" s="1">
        <f t="shared" si="4"/>
        <v>122</v>
      </c>
      <c r="W63" s="1">
        <f t="shared" si="7"/>
        <v>61.833333333333336</v>
      </c>
      <c r="X63" s="1" t="e">
        <f t="shared" si="5"/>
        <v>#NUM!</v>
      </c>
      <c r="Y63" s="1">
        <f t="shared" si="6"/>
        <v>593</v>
      </c>
    </row>
    <row r="64" spans="1:25" x14ac:dyDescent="0.3">
      <c r="A64" s="2">
        <v>45748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0">
        <v>0</v>
      </c>
      <c r="I64" s="1">
        <v>0</v>
      </c>
      <c r="J64" s="1">
        <v>0</v>
      </c>
      <c r="K64" s="1">
        <v>0</v>
      </c>
      <c r="L64" s="1" t="e">
        <v>#DIV/0!</v>
      </c>
      <c r="N64" s="1">
        <f t="shared" si="0"/>
        <v>1886</v>
      </c>
      <c r="O64" s="1" t="e">
        <f t="shared" si="1"/>
        <v>#DIV/0!</v>
      </c>
      <c r="V64" s="1">
        <f t="shared" si="4"/>
        <v>91</v>
      </c>
      <c r="W64" s="1">
        <f t="shared" si="7"/>
        <v>62.866666666666667</v>
      </c>
      <c r="X64" s="1" t="e">
        <f t="shared" si="5"/>
        <v>#NUM!</v>
      </c>
      <c r="Y64" s="1">
        <f t="shared" si="6"/>
        <v>593</v>
      </c>
    </row>
    <row r="65" spans="1:25" x14ac:dyDescent="0.3">
      <c r="A65" s="2">
        <v>45778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0">
        <v>0</v>
      </c>
      <c r="I65" s="1">
        <v>0</v>
      </c>
      <c r="J65" s="1">
        <v>0</v>
      </c>
      <c r="K65" s="1">
        <v>0</v>
      </c>
      <c r="L65" s="1" t="e">
        <v>#DIV/0!</v>
      </c>
      <c r="N65" s="1">
        <f t="shared" si="0"/>
        <v>1916</v>
      </c>
      <c r="O65" s="1" t="e">
        <f t="shared" si="1"/>
        <v>#DIV/0!</v>
      </c>
      <c r="V65" s="1">
        <f t="shared" si="4"/>
        <v>61</v>
      </c>
      <c r="W65" s="1">
        <f t="shared" si="7"/>
        <v>63.866666666666667</v>
      </c>
      <c r="X65" s="1" t="e">
        <f t="shared" si="5"/>
        <v>#NUM!</v>
      </c>
      <c r="Y65" s="1">
        <f t="shared" si="6"/>
        <v>593</v>
      </c>
    </row>
    <row r="66" spans="1:25" x14ac:dyDescent="0.3">
      <c r="A66" s="2">
        <v>45809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0">
        <v>0</v>
      </c>
      <c r="I66" s="1">
        <v>0</v>
      </c>
      <c r="J66" s="1">
        <v>0</v>
      </c>
      <c r="K66" s="1">
        <v>0</v>
      </c>
      <c r="L66" s="1" t="e">
        <v>#DIV/0!</v>
      </c>
      <c r="N66" s="1">
        <f t="shared" si="0"/>
        <v>1947</v>
      </c>
      <c r="O66" s="1" t="e">
        <f t="shared" si="1"/>
        <v>#DIV/0!</v>
      </c>
      <c r="V66" s="1">
        <f t="shared" si="4"/>
        <v>30</v>
      </c>
      <c r="W66" s="1">
        <f t="shared" si="7"/>
        <v>64.900000000000006</v>
      </c>
      <c r="X66" s="1" t="e">
        <f t="shared" si="5"/>
        <v>#NUM!</v>
      </c>
      <c r="Y66" s="1">
        <f t="shared" si="6"/>
        <v>593</v>
      </c>
    </row>
    <row r="67" spans="1:25" x14ac:dyDescent="0.3">
      <c r="A67" s="2">
        <v>45839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0">
        <v>0</v>
      </c>
      <c r="I67" s="1">
        <v>0</v>
      </c>
      <c r="J67" s="1">
        <v>0</v>
      </c>
      <c r="K67" s="1">
        <v>0</v>
      </c>
      <c r="L67" s="1" t="e">
        <v>#DIV/0!</v>
      </c>
      <c r="N67" s="1">
        <f>A67 -$A$2</f>
        <v>1977</v>
      </c>
      <c r="O67" s="1" t="e">
        <f>D67/C67</f>
        <v>#DIV/0!</v>
      </c>
      <c r="V67" s="1">
        <f t="shared" ref="V67" si="8">_xlfn.DAYS($A$67,A67)</f>
        <v>0</v>
      </c>
      <c r="W67" s="1">
        <f t="shared" si="7"/>
        <v>65.900000000000006</v>
      </c>
      <c r="X67" s="1" t="e">
        <f>LN(C67 / $U$4) / V67</f>
        <v>#NUM!</v>
      </c>
      <c r="Y67" s="1">
        <f xml:space="preserve"> $U$4 * EXP($AA$2 * V67)</f>
        <v>593</v>
      </c>
    </row>
    <row r="68" spans="1:25" x14ac:dyDescent="0.3">
      <c r="X68" s="1" t="e">
        <f>LN(C68 / $U$4) / V68</f>
        <v>#NUM!</v>
      </c>
      <c r="Y68" s="1">
        <f xml:space="preserve"> $U$4 * EXP($AA$2 * V68)</f>
        <v>593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2D8F-FC67-47AD-AAD2-D43E5079F032}">
  <dimension ref="A1:AL360"/>
  <sheetViews>
    <sheetView topLeftCell="U1" zoomScale="35" workbookViewId="0">
      <selection activeCell="AD1" sqref="AD1:AD69"/>
    </sheetView>
  </sheetViews>
  <sheetFormatPr defaultColWidth="8.77734375" defaultRowHeight="14.4" x14ac:dyDescent="0.3"/>
  <cols>
    <col min="1" max="7" width="8.88671875" style="1" bestFit="1" customWidth="1"/>
    <col min="8" max="8" width="18.6640625" style="1" bestFit="1" customWidth="1"/>
    <col min="9" max="9" width="11.44140625" style="1" bestFit="1" customWidth="1"/>
    <col min="10" max="10" width="10.44140625" style="1" bestFit="1" customWidth="1"/>
    <col min="11" max="12" width="8.88671875" style="1" bestFit="1" customWidth="1"/>
    <col min="13" max="13" width="8.77734375" style="1"/>
    <col min="14" max="16" width="8.88671875" style="1" bestFit="1" customWidth="1"/>
    <col min="17" max="17" width="8.77734375" style="1"/>
    <col min="18" max="18" width="12.6640625" style="1" bestFit="1" customWidth="1"/>
    <col min="19" max="22" width="8.77734375" style="1"/>
    <col min="23" max="23" width="12.6640625" style="1" customWidth="1"/>
    <col min="24" max="24" width="26.109375" style="1" customWidth="1"/>
    <col min="25" max="25" width="22.88671875" style="1" customWidth="1"/>
    <col min="26" max="26" width="11.33203125" style="1" customWidth="1"/>
    <col min="27" max="27" width="44.33203125" style="1" customWidth="1"/>
    <col min="28" max="28" width="28.5546875" style="1" customWidth="1"/>
    <col min="29" max="29" width="17.6640625" style="1" customWidth="1"/>
    <col min="30" max="30" width="8.77734375" style="1"/>
    <col min="31" max="31" width="17" style="1" customWidth="1"/>
    <col min="32" max="32" width="17.44140625" style="1" customWidth="1"/>
    <col min="33" max="35" width="8.77734375" style="1"/>
    <col min="36" max="36" width="16.109375" style="1" customWidth="1"/>
    <col min="37" max="37" width="12.21875" style="1" customWidth="1"/>
    <col min="38" max="16384" width="8.77734375" style="1"/>
  </cols>
  <sheetData>
    <row r="1" spans="1:38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  <c r="V1" s="55" t="s">
        <v>117</v>
      </c>
      <c r="W1" s="55" t="s">
        <v>140</v>
      </c>
      <c r="X1" s="55" t="s">
        <v>116</v>
      </c>
      <c r="Y1" s="55" t="s">
        <v>121</v>
      </c>
      <c r="Z1" s="128" t="s">
        <v>184</v>
      </c>
      <c r="AA1" s="55" t="s">
        <v>185</v>
      </c>
      <c r="AB1" s="55" t="s">
        <v>186</v>
      </c>
      <c r="AC1" s="55" t="s">
        <v>180</v>
      </c>
      <c r="AD1" s="140" t="s">
        <v>187</v>
      </c>
      <c r="AE1" s="55" t="s">
        <v>156</v>
      </c>
      <c r="AF1" s="55" t="s">
        <v>180</v>
      </c>
    </row>
    <row r="2" spans="1:38" x14ac:dyDescent="0.3">
      <c r="A2" s="4">
        <v>43800</v>
      </c>
      <c r="B2" s="5">
        <v>550.12727477419344</v>
      </c>
      <c r="C2" s="5">
        <v>540.55967741935478</v>
      </c>
      <c r="D2" s="5">
        <v>9.5675973548387105</v>
      </c>
      <c r="E2" s="5">
        <v>918.61290322580646</v>
      </c>
      <c r="F2" s="5">
        <v>0</v>
      </c>
      <c r="G2" s="5">
        <v>16757.349999999999</v>
      </c>
      <c r="H2" s="9">
        <v>2.2432002139999999E-3</v>
      </c>
      <c r="I2" s="5">
        <v>28477</v>
      </c>
      <c r="J2" s="5">
        <v>296.59551800000003</v>
      </c>
      <c r="K2" s="5">
        <v>1.7391606985430508</v>
      </c>
      <c r="L2" s="5">
        <v>10.688720746418737</v>
      </c>
      <c r="N2" s="1">
        <f>A2 -$A$2</f>
        <v>0</v>
      </c>
      <c r="O2" s="1">
        <f>D2/C2</f>
        <v>1.7699428489588154E-2</v>
      </c>
      <c r="P2" s="1" t="str">
        <f>IF(OR(N4&lt;=0, N2&lt;=0)," ", (O4 - O2) / (LN(N4) - LN(N2)))</f>
        <v xml:space="preserve"> </v>
      </c>
      <c r="R2" s="1">
        <f>(O3-O2) / (N3-N2)</f>
        <v>-3.9911197776424805E-4</v>
      </c>
      <c r="V2" s="1">
        <f>_xlfn.DAYS($A$69,A2)</f>
        <v>2039</v>
      </c>
      <c r="W2" s="1">
        <v>0</v>
      </c>
      <c r="X2" s="1">
        <f>LN(C2 / $U$4) / V2</f>
        <v>-3.9933121895584411E-7</v>
      </c>
      <c r="Y2" s="1">
        <f xml:space="preserve">  $U$4 * EXP($AB$2 * V2)</f>
        <v>541</v>
      </c>
      <c r="Z2" s="129"/>
      <c r="AA2" s="1">
        <f>36934*EXP(-0.014*W2)</f>
        <v>36934</v>
      </c>
      <c r="AC2" s="1">
        <f>(AB2*100)/(35*10^6)</f>
        <v>0</v>
      </c>
      <c r="AD2" s="141"/>
      <c r="AE2" s="3">
        <f>G2</f>
        <v>16757.349999999999</v>
      </c>
      <c r="AF2" s="1">
        <f>(AE2*100)/(35*10^6)</f>
        <v>4.7878142857142848E-2</v>
      </c>
      <c r="AI2" s="117" t="s">
        <v>135</v>
      </c>
      <c r="AJ2" s="149" t="s">
        <v>188</v>
      </c>
      <c r="AK2" s="149">
        <f>12*0.014</f>
        <v>0.16800000000000001</v>
      </c>
      <c r="AL2" s="149" t="s">
        <v>189</v>
      </c>
    </row>
    <row r="3" spans="1:38" x14ac:dyDescent="0.3">
      <c r="A3" s="2">
        <v>43831</v>
      </c>
      <c r="B3" s="3">
        <v>1125.5809248064518</v>
      </c>
      <c r="C3" s="3">
        <v>1119.6167741935485</v>
      </c>
      <c r="D3" s="3">
        <v>5.964150612903226</v>
      </c>
      <c r="E3" s="3">
        <v>968.09677419354841</v>
      </c>
      <c r="F3" s="3">
        <v>0</v>
      </c>
      <c r="G3" s="3">
        <v>34708.120000000003</v>
      </c>
      <c r="H3" s="10">
        <v>4.6461559939999994E-3</v>
      </c>
      <c r="I3" s="3">
        <v>30011</v>
      </c>
      <c r="J3" s="3">
        <v>184.88866899999999</v>
      </c>
      <c r="K3" s="3">
        <v>0.52987310654085451</v>
      </c>
      <c r="L3" s="3">
        <v>5.4385886587922361</v>
      </c>
      <c r="N3" s="1">
        <f t="shared" ref="N3:N66" si="0">A3 -$A$2</f>
        <v>31</v>
      </c>
      <c r="O3" s="1">
        <f t="shared" ref="O3:O66" si="1">D3/C3</f>
        <v>5.3269571788964656E-3</v>
      </c>
      <c r="P3" s="1">
        <f t="shared" ref="P3:P66" si="2">IF(OR(N5&lt;=0, N3&lt;=0)," ", (O5 - O3) / (LN(N5) - LN(N3)))</f>
        <v>1.1962573385597605E-2</v>
      </c>
      <c r="R3" s="1">
        <f t="shared" ref="R3:R66" si="3">(O4-O3) / (N4-N3)</f>
        <v>2.1654912530177944E-4</v>
      </c>
      <c r="V3" s="1">
        <f t="shared" ref="V3:V66" si="4">_xlfn.DAYS($A$69,A3)</f>
        <v>2008</v>
      </c>
      <c r="W3" s="1">
        <f>($V$2-V3)/30</f>
        <v>1.0333333333333334</v>
      </c>
      <c r="X3" s="1">
        <f t="shared" ref="X3:X66" si="5">LN(C3 / $U$4) / V3</f>
        <v>3.6221238097207842E-4</v>
      </c>
      <c r="Y3" s="1">
        <f t="shared" ref="Y3:Y66" si="6" xml:space="preserve">  $U$4 * EXP($AB$2 * V3)</f>
        <v>541</v>
      </c>
      <c r="Z3" s="129"/>
      <c r="AA3" s="1">
        <f t="shared" ref="AA3:AA66" si="7">36934*EXP(-0.014*W3)</f>
        <v>36403.534419185155</v>
      </c>
      <c r="AC3" s="1">
        <f t="shared" ref="AC3:AC66" si="8">(AB3*100)/(35*10^6)</f>
        <v>0</v>
      </c>
      <c r="AD3" s="141"/>
      <c r="AE3" s="3">
        <f>AE2+G3</f>
        <v>51465.47</v>
      </c>
      <c r="AF3" s="1">
        <f t="shared" ref="AF3:AF66" si="9">(AE3*100)/(35*10^6)</f>
        <v>0.14704420000000001</v>
      </c>
      <c r="AJ3" s="120" t="s">
        <v>190</v>
      </c>
      <c r="AK3" s="120" t="s">
        <v>191</v>
      </c>
    </row>
    <row r="4" spans="1:38" x14ac:dyDescent="0.3">
      <c r="A4" s="2">
        <v>43862</v>
      </c>
      <c r="B4" s="3">
        <v>1049.5592684482758</v>
      </c>
      <c r="C4" s="3">
        <v>1037.0729310344827</v>
      </c>
      <c r="D4" s="3">
        <v>12.486337413793104</v>
      </c>
      <c r="E4" s="3">
        <v>9194.9655172413786</v>
      </c>
      <c r="F4" s="3">
        <v>0</v>
      </c>
      <c r="G4" s="3">
        <v>30075.115000000002</v>
      </c>
      <c r="H4" s="10">
        <v>4.0259649860000003E-3</v>
      </c>
      <c r="I4" s="3">
        <v>266654</v>
      </c>
      <c r="J4" s="3">
        <v>362.10378500000002</v>
      </c>
      <c r="K4" s="3">
        <v>1.1896743508590581</v>
      </c>
      <c r="L4" s="3">
        <v>55.767046250695962</v>
      </c>
      <c r="N4" s="1">
        <f t="shared" si="0"/>
        <v>62</v>
      </c>
      <c r="O4" s="1">
        <f t="shared" si="1"/>
        <v>1.2039980063251628E-2</v>
      </c>
      <c r="P4" s="1">
        <f t="shared" si="2"/>
        <v>1.189522261691657E-2</v>
      </c>
      <c r="R4" s="1">
        <f t="shared" si="3"/>
        <v>2.1272900191781095E-4</v>
      </c>
      <c r="T4" s="55" t="s">
        <v>118</v>
      </c>
      <c r="U4" s="1">
        <v>541</v>
      </c>
      <c r="V4" s="1">
        <f t="shared" si="4"/>
        <v>1977</v>
      </c>
      <c r="W4" s="1">
        <f t="shared" ref="W4:W67" si="10">($V$2-V4)/30</f>
        <v>2.0666666666666669</v>
      </c>
      <c r="X4" s="1">
        <f t="shared" si="5"/>
        <v>3.2915440352883764E-4</v>
      </c>
      <c r="Y4" s="1">
        <f t="shared" si="6"/>
        <v>541</v>
      </c>
      <c r="Z4" s="129"/>
      <c r="AA4" s="1">
        <f t="shared" si="7"/>
        <v>35880.687664720812</v>
      </c>
      <c r="AC4" s="1">
        <f t="shared" si="8"/>
        <v>0</v>
      </c>
      <c r="AD4" s="141"/>
      <c r="AE4" s="3">
        <f t="shared" ref="AE4:AE67" si="11">AE3+G4</f>
        <v>81540.585000000006</v>
      </c>
      <c r="AF4" s="1">
        <f t="shared" si="9"/>
        <v>0.23297310000000002</v>
      </c>
    </row>
    <row r="5" spans="1:38" x14ac:dyDescent="0.3">
      <c r="A5" s="2">
        <v>43891</v>
      </c>
      <c r="B5" s="3">
        <v>1144.4646544193549</v>
      </c>
      <c r="C5" s="3">
        <v>1123.9976451612904</v>
      </c>
      <c r="D5" s="3">
        <v>20.467009258064518</v>
      </c>
      <c r="E5" s="3">
        <v>12144.645161290322</v>
      </c>
      <c r="F5" s="3">
        <v>0</v>
      </c>
      <c r="G5" s="3">
        <v>34843.927000000003</v>
      </c>
      <c r="H5" s="10">
        <v>4.6643356190000001E-3</v>
      </c>
      <c r="I5" s="3">
        <v>376484</v>
      </c>
      <c r="J5" s="3">
        <v>634.47728700000005</v>
      </c>
      <c r="K5" s="3">
        <v>1.7883478689386409</v>
      </c>
      <c r="L5" s="3">
        <v>67.960452999456678</v>
      </c>
      <c r="N5" s="1">
        <f t="shared" si="0"/>
        <v>91</v>
      </c>
      <c r="O5" s="1">
        <f t="shared" si="1"/>
        <v>1.8209121118868146E-2</v>
      </c>
      <c r="P5" s="1">
        <f t="shared" si="2"/>
        <v>3.9709910940359952E-3</v>
      </c>
      <c r="R5" s="1">
        <f t="shared" si="3"/>
        <v>6.0728272509524276E-5</v>
      </c>
      <c r="V5" s="1">
        <f t="shared" si="4"/>
        <v>1948</v>
      </c>
      <c r="W5" s="1">
        <f t="shared" si="10"/>
        <v>3.0333333333333332</v>
      </c>
      <c r="X5" s="1">
        <f t="shared" si="5"/>
        <v>3.7537354032480885E-4</v>
      </c>
      <c r="Y5" s="1">
        <f t="shared" si="6"/>
        <v>541</v>
      </c>
      <c r="Z5" s="129"/>
      <c r="AA5" s="1">
        <f t="shared" si="7"/>
        <v>35398.37337966443</v>
      </c>
      <c r="AC5" s="1">
        <f t="shared" si="8"/>
        <v>0</v>
      </c>
      <c r="AD5" s="141"/>
      <c r="AE5" s="3">
        <f t="shared" si="11"/>
        <v>116384.51200000002</v>
      </c>
      <c r="AF5" s="1">
        <f t="shared" si="9"/>
        <v>0.33252717714285718</v>
      </c>
    </row>
    <row r="6" spans="1:38" x14ac:dyDescent="0.3">
      <c r="A6" s="2">
        <v>43922</v>
      </c>
      <c r="B6" s="3">
        <v>1142.2845716666666</v>
      </c>
      <c r="C6" s="3">
        <v>1119.7861666666665</v>
      </c>
      <c r="D6" s="3">
        <v>22.498404999999998</v>
      </c>
      <c r="E6" s="3">
        <v>12057.7</v>
      </c>
      <c r="F6" s="3">
        <v>0</v>
      </c>
      <c r="G6" s="3">
        <v>33593.584999999999</v>
      </c>
      <c r="H6" s="10">
        <v>4.4969602590000006E-3</v>
      </c>
      <c r="I6" s="3">
        <v>361731</v>
      </c>
      <c r="J6" s="3">
        <v>674.95214999999996</v>
      </c>
      <c r="K6" s="3">
        <v>1.9695972052895174</v>
      </c>
      <c r="L6" s="3">
        <v>67.727682050010429</v>
      </c>
      <c r="N6" s="1">
        <f t="shared" si="0"/>
        <v>122</v>
      </c>
      <c r="O6" s="1">
        <f t="shared" si="1"/>
        <v>2.0091697566663399E-2</v>
      </c>
      <c r="P6" s="1">
        <f t="shared" si="2"/>
        <v>1.030449537986023E-2</v>
      </c>
      <c r="R6" s="1">
        <f t="shared" si="3"/>
        <v>5.154181038673789E-6</v>
      </c>
      <c r="V6" s="1">
        <f t="shared" si="4"/>
        <v>1917</v>
      </c>
      <c r="W6" s="1">
        <f t="shared" si="10"/>
        <v>4.0666666666666664</v>
      </c>
      <c r="X6" s="1">
        <f t="shared" si="5"/>
        <v>3.7948552143743749E-4</v>
      </c>
      <c r="Y6" s="1">
        <f t="shared" si="6"/>
        <v>541</v>
      </c>
      <c r="Z6" s="129"/>
      <c r="AA6" s="1">
        <f t="shared" si="7"/>
        <v>34889.96327800351</v>
      </c>
      <c r="AC6" s="1">
        <f t="shared" si="8"/>
        <v>0</v>
      </c>
      <c r="AD6" s="141"/>
      <c r="AE6" s="3">
        <f t="shared" si="11"/>
        <v>149978.09700000001</v>
      </c>
      <c r="AF6" s="1">
        <f t="shared" si="9"/>
        <v>0.42850884857142862</v>
      </c>
    </row>
    <row r="7" spans="1:38" x14ac:dyDescent="0.3">
      <c r="A7" s="2">
        <v>43952</v>
      </c>
      <c r="B7" s="3">
        <v>1166.5222307096776</v>
      </c>
      <c r="C7" s="3">
        <v>1143.3731290322582</v>
      </c>
      <c r="D7" s="3">
        <v>23.149101677419356</v>
      </c>
      <c r="E7" s="3">
        <v>11446.903225806451</v>
      </c>
      <c r="F7" s="3">
        <v>0</v>
      </c>
      <c r="G7" s="3">
        <v>35444.567000000003</v>
      </c>
      <c r="H7" s="10">
        <v>4.7447394869999998E-3</v>
      </c>
      <c r="I7" s="3">
        <v>354854</v>
      </c>
      <c r="J7" s="3">
        <v>717.62215200000003</v>
      </c>
      <c r="K7" s="3">
        <v>1.9844543951242255</v>
      </c>
      <c r="L7" s="3">
        <v>62.970460020008133</v>
      </c>
      <c r="N7" s="1">
        <f t="shared" si="0"/>
        <v>152</v>
      </c>
      <c r="O7" s="1">
        <f t="shared" si="1"/>
        <v>2.0246322997823613E-2</v>
      </c>
      <c r="P7" s="1">
        <f t="shared" si="2"/>
        <v>5.6030777117438701E-3</v>
      </c>
      <c r="R7" s="1">
        <f t="shared" si="3"/>
        <v>1.2978993232370636E-4</v>
      </c>
      <c r="V7" s="1">
        <f t="shared" si="4"/>
        <v>1887</v>
      </c>
      <c r="W7" s="1">
        <f t="shared" si="10"/>
        <v>5.0666666666666664</v>
      </c>
      <c r="X7" s="1">
        <f t="shared" si="5"/>
        <v>3.9656533056354402E-4</v>
      </c>
      <c r="Y7" s="1">
        <f t="shared" si="6"/>
        <v>541</v>
      </c>
      <c r="Z7" s="129"/>
      <c r="AA7" s="1">
        <f t="shared" si="7"/>
        <v>34404.907107860694</v>
      </c>
      <c r="AC7" s="1">
        <f t="shared" si="8"/>
        <v>0</v>
      </c>
      <c r="AD7" s="141"/>
      <c r="AE7" s="3">
        <f t="shared" si="11"/>
        <v>185422.66400000002</v>
      </c>
      <c r="AF7" s="1">
        <f t="shared" si="9"/>
        <v>0.52977904000000009</v>
      </c>
    </row>
    <row r="8" spans="1:38" x14ac:dyDescent="0.3">
      <c r="A8" s="2">
        <v>43983</v>
      </c>
      <c r="B8" s="3">
        <v>1213.8644404333334</v>
      </c>
      <c r="C8" s="3">
        <v>1185.1022333333335</v>
      </c>
      <c r="D8" s="3">
        <v>28.762207100000001</v>
      </c>
      <c r="E8" s="3">
        <v>10563.033333333333</v>
      </c>
      <c r="F8" s="3">
        <v>0</v>
      </c>
      <c r="G8" s="3">
        <v>35553.067000000003</v>
      </c>
      <c r="H8" s="10">
        <v>4.7592636959999995E-3</v>
      </c>
      <c r="I8" s="3">
        <v>316891</v>
      </c>
      <c r="J8" s="3">
        <v>862.86621300000002</v>
      </c>
      <c r="K8" s="3">
        <v>2.3694743944992962</v>
      </c>
      <c r="L8" s="3">
        <v>56.062139781077114</v>
      </c>
      <c r="N8" s="1">
        <f t="shared" si="0"/>
        <v>183</v>
      </c>
      <c r="O8" s="1">
        <f t="shared" si="1"/>
        <v>2.426981089985851E-2</v>
      </c>
      <c r="P8" s="1">
        <f t="shared" si="2"/>
        <v>3.2749242502139093E-3</v>
      </c>
      <c r="R8" s="1">
        <f t="shared" si="3"/>
        <v>-7.1098141167311635E-5</v>
      </c>
      <c r="V8" s="1">
        <f t="shared" si="4"/>
        <v>1856</v>
      </c>
      <c r="W8" s="1">
        <f t="shared" si="10"/>
        <v>6.1</v>
      </c>
      <c r="X8" s="1">
        <f t="shared" si="5"/>
        <v>4.2250271759514823E-4</v>
      </c>
      <c r="Y8" s="1">
        <f t="shared" si="6"/>
        <v>541</v>
      </c>
      <c r="Z8" s="129"/>
      <c r="AA8" s="1">
        <f t="shared" si="7"/>
        <v>33910.765692583387</v>
      </c>
      <c r="AC8" s="1">
        <f t="shared" si="8"/>
        <v>0</v>
      </c>
      <c r="AD8" s="141"/>
      <c r="AE8" s="3">
        <f t="shared" si="11"/>
        <v>220975.73100000003</v>
      </c>
      <c r="AF8" s="1">
        <f t="shared" si="9"/>
        <v>0.63135923142857142</v>
      </c>
    </row>
    <row r="9" spans="1:38" x14ac:dyDescent="0.3">
      <c r="A9" s="2">
        <v>44013</v>
      </c>
      <c r="B9" s="3">
        <v>1158.4096482810644</v>
      </c>
      <c r="C9" s="3">
        <v>1133.3214621842903</v>
      </c>
      <c r="D9" s="3">
        <v>25.088186096774194</v>
      </c>
      <c r="E9" s="3">
        <v>9129.0967741935492</v>
      </c>
      <c r="F9" s="3">
        <v>0</v>
      </c>
      <c r="G9" s="3">
        <v>35132.965327712998</v>
      </c>
      <c r="H9" s="10">
        <v>4.7053976249999997E-3</v>
      </c>
      <c r="I9" s="3">
        <v>283002</v>
      </c>
      <c r="J9" s="3">
        <v>777.73376900000005</v>
      </c>
      <c r="K9" s="3">
        <v>2.165743882917579</v>
      </c>
      <c r="L9" s="3">
        <v>50.665406776692137</v>
      </c>
      <c r="N9" s="1">
        <f t="shared" si="0"/>
        <v>213</v>
      </c>
      <c r="O9" s="1">
        <f t="shared" si="1"/>
        <v>2.2136866664839161E-2</v>
      </c>
      <c r="P9" s="1">
        <f t="shared" si="2"/>
        <v>2.4087182358941361E-2</v>
      </c>
      <c r="R9" s="1">
        <f t="shared" si="3"/>
        <v>9.9196168723983248E-5</v>
      </c>
      <c r="V9" s="1">
        <f t="shared" si="4"/>
        <v>1826</v>
      </c>
      <c r="W9" s="1">
        <f t="shared" si="10"/>
        <v>7.1</v>
      </c>
      <c r="X9" s="1">
        <f t="shared" si="5"/>
        <v>4.0497736500083782E-4</v>
      </c>
      <c r="Y9" s="1">
        <f t="shared" si="6"/>
        <v>541</v>
      </c>
      <c r="Z9" s="129"/>
      <c r="AA9" s="1">
        <f t="shared" si="7"/>
        <v>33439.322773529784</v>
      </c>
      <c r="AC9" s="1">
        <f t="shared" si="8"/>
        <v>0</v>
      </c>
      <c r="AD9" s="141"/>
      <c r="AE9" s="3">
        <f t="shared" si="11"/>
        <v>256108.69632771303</v>
      </c>
      <c r="AF9" s="1">
        <f t="shared" si="9"/>
        <v>0.7317391323648943</v>
      </c>
    </row>
    <row r="10" spans="1:38" x14ac:dyDescent="0.3">
      <c r="A10" s="2">
        <v>44044</v>
      </c>
      <c r="B10" s="3">
        <v>1206.3692802258065</v>
      </c>
      <c r="C10" s="3">
        <v>1176.7023225806452</v>
      </c>
      <c r="D10" s="3">
        <v>29.666957645161293</v>
      </c>
      <c r="E10" s="3">
        <v>9626.7419354838712</v>
      </c>
      <c r="F10" s="3">
        <v>0</v>
      </c>
      <c r="G10" s="3">
        <v>36477.771999999997</v>
      </c>
      <c r="H10" s="10">
        <v>4.8830480889999993E-3</v>
      </c>
      <c r="I10" s="3">
        <v>298429</v>
      </c>
      <c r="J10" s="3">
        <v>919.67568700000004</v>
      </c>
      <c r="K10" s="3">
        <v>2.4591937254576206</v>
      </c>
      <c r="L10" s="3">
        <v>51.45760339200541</v>
      </c>
      <c r="N10" s="1">
        <f t="shared" si="0"/>
        <v>244</v>
      </c>
      <c r="O10" s="1">
        <f t="shared" si="1"/>
        <v>2.5211947895282642E-2</v>
      </c>
      <c r="P10" s="1">
        <f t="shared" si="2"/>
        <v>5.0702939115068534E-2</v>
      </c>
      <c r="R10" s="1">
        <f t="shared" si="3"/>
        <v>9.9312464273415218E-5</v>
      </c>
      <c r="V10" s="1">
        <f t="shared" si="4"/>
        <v>1795</v>
      </c>
      <c r="W10" s="1">
        <f t="shared" si="10"/>
        <v>8.1333333333333329</v>
      </c>
      <c r="X10" s="1">
        <f t="shared" si="5"/>
        <v>4.3289798575493564E-4</v>
      </c>
      <c r="Y10" s="1">
        <f t="shared" si="6"/>
        <v>541</v>
      </c>
      <c r="Z10" s="129"/>
      <c r="AA10" s="1">
        <f t="shared" si="7"/>
        <v>32959.049589549832</v>
      </c>
      <c r="AC10" s="1">
        <f t="shared" si="8"/>
        <v>0</v>
      </c>
      <c r="AD10" s="141"/>
      <c r="AE10" s="3">
        <f t="shared" si="11"/>
        <v>292586.46832771302</v>
      </c>
      <c r="AF10" s="1">
        <f t="shared" si="9"/>
        <v>0.83596133807918005</v>
      </c>
    </row>
    <row r="11" spans="1:38" x14ac:dyDescent="0.3">
      <c r="A11" s="2">
        <v>44075</v>
      </c>
      <c r="B11" s="3">
        <v>1107.6074896</v>
      </c>
      <c r="C11" s="3">
        <v>1077.1346666666666</v>
      </c>
      <c r="D11" s="3">
        <v>30.472822933333337</v>
      </c>
      <c r="E11" s="3">
        <v>9592.7666666666664</v>
      </c>
      <c r="F11" s="3">
        <v>0</v>
      </c>
      <c r="G11" s="3">
        <v>32314.04</v>
      </c>
      <c r="H11" s="10">
        <v>4.3256756820000001E-3</v>
      </c>
      <c r="I11" s="3">
        <v>287783</v>
      </c>
      <c r="J11" s="3">
        <v>914.18468800000005</v>
      </c>
      <c r="K11" s="3">
        <v>2.751229403869258</v>
      </c>
      <c r="L11" s="3">
        <v>56.015822020397323</v>
      </c>
      <c r="N11" s="1">
        <f t="shared" si="0"/>
        <v>275</v>
      </c>
      <c r="O11" s="1">
        <f t="shared" si="1"/>
        <v>2.8290634287758513E-2</v>
      </c>
      <c r="P11" s="1">
        <f t="shared" si="2"/>
        <v>5.8805763173067627E-2</v>
      </c>
      <c r="R11" s="1">
        <f t="shared" si="3"/>
        <v>2.7451158345762245E-4</v>
      </c>
      <c r="V11" s="1">
        <f t="shared" si="4"/>
        <v>1764</v>
      </c>
      <c r="W11" s="1">
        <f t="shared" si="10"/>
        <v>9.1666666666666661</v>
      </c>
      <c r="X11" s="1">
        <f t="shared" si="5"/>
        <v>3.9038573082819428E-4</v>
      </c>
      <c r="Y11" s="1">
        <f t="shared" si="6"/>
        <v>541</v>
      </c>
      <c r="Z11" s="129"/>
      <c r="AA11" s="1">
        <f t="shared" si="7"/>
        <v>32485.674342253958</v>
      </c>
      <c r="AC11" s="1">
        <f t="shared" si="8"/>
        <v>0</v>
      </c>
      <c r="AD11" s="141"/>
      <c r="AE11" s="3">
        <f t="shared" si="11"/>
        <v>324900.508327713</v>
      </c>
      <c r="AF11" s="1">
        <f t="shared" si="9"/>
        <v>0.92828716665060862</v>
      </c>
    </row>
    <row r="12" spans="1:38" x14ac:dyDescent="0.3">
      <c r="A12" s="2">
        <v>44105</v>
      </c>
      <c r="B12" s="3">
        <v>1000.9459903225805</v>
      </c>
      <c r="C12" s="3">
        <v>965.6738064516129</v>
      </c>
      <c r="D12" s="3">
        <v>35.272183870967737</v>
      </c>
      <c r="E12" s="3">
        <v>9876.354838709678</v>
      </c>
      <c r="F12" s="3">
        <v>0</v>
      </c>
      <c r="G12" s="3">
        <v>29935.887999999999</v>
      </c>
      <c r="H12" s="10">
        <v>4.0073275520000002E-3</v>
      </c>
      <c r="I12" s="3">
        <v>306167</v>
      </c>
      <c r="J12" s="3">
        <v>1093.4376999999999</v>
      </c>
      <c r="K12" s="3">
        <v>3.5238848261533442</v>
      </c>
      <c r="L12" s="3">
        <v>64.328447400658362</v>
      </c>
      <c r="N12" s="1">
        <f t="shared" si="0"/>
        <v>305</v>
      </c>
      <c r="O12" s="1">
        <f t="shared" si="1"/>
        <v>3.6525981791487187E-2</v>
      </c>
      <c r="P12" s="1">
        <f t="shared" si="2"/>
        <v>5.3075973556793513E-4</v>
      </c>
      <c r="R12" s="1">
        <f t="shared" si="3"/>
        <v>1.1438073399241004E-4</v>
      </c>
      <c r="V12" s="1">
        <f t="shared" si="4"/>
        <v>1734</v>
      </c>
      <c r="W12" s="1">
        <f t="shared" si="10"/>
        <v>10.166666666666666</v>
      </c>
      <c r="X12" s="1">
        <f t="shared" si="5"/>
        <v>3.3414465043854637E-4</v>
      </c>
      <c r="Y12" s="1">
        <f t="shared" si="6"/>
        <v>541</v>
      </c>
      <c r="Z12" s="129"/>
      <c r="AA12" s="1">
        <f t="shared" si="7"/>
        <v>32034.043692619693</v>
      </c>
      <c r="AC12" s="1">
        <f t="shared" si="8"/>
        <v>0</v>
      </c>
      <c r="AD12" s="141"/>
      <c r="AE12" s="3">
        <f t="shared" si="11"/>
        <v>354836.39632771298</v>
      </c>
      <c r="AF12" s="1">
        <f t="shared" si="9"/>
        <v>1.013818275222037</v>
      </c>
    </row>
    <row r="13" spans="1:38" x14ac:dyDescent="0.3">
      <c r="A13" s="2">
        <v>44136</v>
      </c>
      <c r="B13" s="3">
        <v>1075.9468419333332</v>
      </c>
      <c r="C13" s="3">
        <v>1034.4928666666667</v>
      </c>
      <c r="D13" s="3">
        <v>41.453975266666667</v>
      </c>
      <c r="E13" s="3">
        <v>10806.066666666668</v>
      </c>
      <c r="F13" s="3">
        <v>0</v>
      </c>
      <c r="G13" s="3">
        <v>31034.786</v>
      </c>
      <c r="H13" s="10">
        <v>4.1544300559999995E-3</v>
      </c>
      <c r="I13" s="3">
        <v>324182</v>
      </c>
      <c r="J13" s="3">
        <v>1243.6192579999999</v>
      </c>
      <c r="K13" s="3">
        <v>3.8527902728149086</v>
      </c>
      <c r="L13" s="3">
        <v>65.701756203506605</v>
      </c>
      <c r="N13" s="1">
        <f t="shared" si="0"/>
        <v>336</v>
      </c>
      <c r="O13" s="1">
        <f t="shared" si="1"/>
        <v>4.0071784545251898E-2</v>
      </c>
      <c r="P13" s="1">
        <f t="shared" si="2"/>
        <v>-9.2723604197449169E-2</v>
      </c>
      <c r="R13" s="1">
        <f t="shared" si="3"/>
        <v>-1.1496779374974726E-4</v>
      </c>
      <c r="V13" s="1">
        <f t="shared" si="4"/>
        <v>1703</v>
      </c>
      <c r="W13" s="1">
        <f t="shared" si="10"/>
        <v>11.2</v>
      </c>
      <c r="X13" s="1">
        <f t="shared" si="5"/>
        <v>3.8065021895167998E-4</v>
      </c>
      <c r="Y13" s="1">
        <f t="shared" si="6"/>
        <v>541</v>
      </c>
      <c r="Z13" s="129"/>
      <c r="AA13" s="1">
        <f t="shared" si="7"/>
        <v>31573.953867708944</v>
      </c>
      <c r="AC13" s="1">
        <f t="shared" si="8"/>
        <v>0</v>
      </c>
      <c r="AD13" s="141"/>
      <c r="AE13" s="3">
        <f t="shared" si="11"/>
        <v>385871.182327713</v>
      </c>
      <c r="AF13" s="1">
        <f t="shared" si="9"/>
        <v>1.1024890923648942</v>
      </c>
    </row>
    <row r="14" spans="1:38" x14ac:dyDescent="0.3">
      <c r="A14" s="2">
        <v>44166</v>
      </c>
      <c r="B14" s="3">
        <v>1034.1450551612902</v>
      </c>
      <c r="C14" s="3">
        <v>997.60983870967743</v>
      </c>
      <c r="D14" s="3">
        <v>36.535216451612904</v>
      </c>
      <c r="E14" s="3">
        <v>7506.4193548387093</v>
      </c>
      <c r="F14" s="3">
        <v>0</v>
      </c>
      <c r="G14" s="3">
        <v>30925.904999999999</v>
      </c>
      <c r="H14" s="10">
        <v>4.1398548489999997E-3</v>
      </c>
      <c r="I14" s="3">
        <v>232699</v>
      </c>
      <c r="J14" s="3">
        <v>1132.5917099999999</v>
      </c>
      <c r="K14" s="3">
        <v>3.5328908908155725</v>
      </c>
      <c r="L14" s="3">
        <v>47.326995610961106</v>
      </c>
      <c r="N14" s="1">
        <f t="shared" si="0"/>
        <v>366</v>
      </c>
      <c r="O14" s="1">
        <f t="shared" si="1"/>
        <v>3.6622750732759481E-2</v>
      </c>
      <c r="P14" s="1">
        <f t="shared" si="2"/>
        <v>-0.12095230407013818</v>
      </c>
      <c r="R14" s="1">
        <f t="shared" si="3"/>
        <v>-3.8772879521645768E-4</v>
      </c>
      <c r="V14" s="1">
        <f t="shared" si="4"/>
        <v>1673</v>
      </c>
      <c r="W14" s="1">
        <f t="shared" si="10"/>
        <v>12.2</v>
      </c>
      <c r="X14" s="1">
        <f t="shared" si="5"/>
        <v>3.6577583852367019E-4</v>
      </c>
      <c r="Y14" s="1">
        <f t="shared" si="6"/>
        <v>541</v>
      </c>
      <c r="Z14" s="129"/>
      <c r="AA14" s="1">
        <f t="shared" si="7"/>
        <v>31134.998371616675</v>
      </c>
      <c r="AC14" s="1">
        <f t="shared" si="8"/>
        <v>0</v>
      </c>
      <c r="AD14" s="141"/>
      <c r="AE14" s="3">
        <f t="shared" si="11"/>
        <v>416797.08732771303</v>
      </c>
      <c r="AF14" s="1">
        <f t="shared" si="9"/>
        <v>1.1908488209363228</v>
      </c>
    </row>
    <row r="15" spans="1:38" x14ac:dyDescent="0.3">
      <c r="A15" s="2">
        <v>44197</v>
      </c>
      <c r="B15" s="3">
        <v>1178.6788825806452</v>
      </c>
      <c r="C15" s="3">
        <v>1150.376</v>
      </c>
      <c r="D15" s="3">
        <v>28.302882580645161</v>
      </c>
      <c r="E15" s="3">
        <v>8816.7741935483864</v>
      </c>
      <c r="F15" s="3">
        <v>0</v>
      </c>
      <c r="G15" s="3">
        <v>35661.656000000003</v>
      </c>
      <c r="H15" s="10">
        <v>4.7737998150000002E-3</v>
      </c>
      <c r="I15" s="3">
        <v>273320</v>
      </c>
      <c r="J15" s="3">
        <v>877.38936000000001</v>
      </c>
      <c r="K15" s="3">
        <v>2.4012377755235361</v>
      </c>
      <c r="L15" s="3">
        <v>48.206626635622293</v>
      </c>
      <c r="N15" s="1">
        <f t="shared" si="0"/>
        <v>397</v>
      </c>
      <c r="O15" s="1">
        <f t="shared" si="1"/>
        <v>2.4603158081049292E-2</v>
      </c>
      <c r="P15" s="1">
        <f t="shared" si="2"/>
        <v>0.16902428041265974</v>
      </c>
      <c r="R15" s="1">
        <f t="shared" si="3"/>
        <v>-2.2284570137520273E-4</v>
      </c>
      <c r="V15" s="1">
        <f t="shared" si="4"/>
        <v>1642</v>
      </c>
      <c r="W15" s="1">
        <f t="shared" si="10"/>
        <v>13.233333333333333</v>
      </c>
      <c r="X15" s="1">
        <f t="shared" si="5"/>
        <v>4.5945483897315319E-4</v>
      </c>
      <c r="Y15" s="1">
        <f t="shared" si="6"/>
        <v>541</v>
      </c>
      <c r="Z15" s="129"/>
      <c r="AA15" s="1">
        <f t="shared" si="7"/>
        <v>30687.821109612323</v>
      </c>
      <c r="AC15" s="1">
        <f t="shared" si="8"/>
        <v>0</v>
      </c>
      <c r="AD15" s="141"/>
      <c r="AE15" s="3">
        <f t="shared" si="11"/>
        <v>452458.74332771305</v>
      </c>
      <c r="AF15" s="1">
        <f t="shared" si="9"/>
        <v>1.2927392666506086</v>
      </c>
    </row>
    <row r="16" spans="1:38" x14ac:dyDescent="0.3">
      <c r="A16" s="2">
        <v>44228</v>
      </c>
      <c r="B16" s="3">
        <v>1068.5886659285713</v>
      </c>
      <c r="C16" s="3">
        <v>1050.0088214285713</v>
      </c>
      <c r="D16" s="3">
        <v>18.5798445</v>
      </c>
      <c r="E16" s="3">
        <v>9817.0714285714294</v>
      </c>
      <c r="F16" s="3">
        <v>0</v>
      </c>
      <c r="G16" s="3">
        <v>29400.246999999999</v>
      </c>
      <c r="H16" s="10">
        <v>3.9356246849999998E-3</v>
      </c>
      <c r="I16" s="3">
        <v>274878</v>
      </c>
      <c r="J16" s="3">
        <v>520.23564599999997</v>
      </c>
      <c r="K16" s="3">
        <v>1.7387274535477757</v>
      </c>
      <c r="L16" s="3">
        <v>58.806568679508025</v>
      </c>
      <c r="N16" s="1">
        <f t="shared" si="0"/>
        <v>428</v>
      </c>
      <c r="O16" s="1">
        <f t="shared" si="1"/>
        <v>1.7694941338418008E-2</v>
      </c>
      <c r="P16" s="1">
        <f t="shared" si="2"/>
        <v>0.46327050470517533</v>
      </c>
      <c r="R16" s="1">
        <f t="shared" si="3"/>
        <v>1.0831297972901423E-3</v>
      </c>
      <c r="V16" s="1">
        <f t="shared" si="4"/>
        <v>1611</v>
      </c>
      <c r="W16" s="1">
        <f t="shared" si="10"/>
        <v>14.266666666666667</v>
      </c>
      <c r="X16" s="1">
        <f t="shared" si="5"/>
        <v>4.1162915309145894E-4</v>
      </c>
      <c r="Y16" s="1">
        <f t="shared" si="6"/>
        <v>541</v>
      </c>
      <c r="Z16" s="129"/>
      <c r="AA16" s="1">
        <f t="shared" si="7"/>
        <v>30247.066443211374</v>
      </c>
      <c r="AC16" s="1">
        <f t="shared" si="8"/>
        <v>0</v>
      </c>
      <c r="AD16" s="141"/>
      <c r="AE16" s="3">
        <f t="shared" si="11"/>
        <v>481858.99032771302</v>
      </c>
      <c r="AF16" s="1">
        <f t="shared" si="9"/>
        <v>1.3767399723648943</v>
      </c>
    </row>
    <row r="17" spans="1:32" x14ac:dyDescent="0.3">
      <c r="A17" s="2">
        <v>44256</v>
      </c>
      <c r="B17" s="3">
        <v>1000.002755967742</v>
      </c>
      <c r="C17" s="3">
        <v>954.18054838709679</v>
      </c>
      <c r="D17" s="3">
        <v>45.822207580645163</v>
      </c>
      <c r="E17" s="3">
        <v>8344.7096774193542</v>
      </c>
      <c r="F17" s="3">
        <v>0</v>
      </c>
      <c r="G17" s="3">
        <v>29579.597000000002</v>
      </c>
      <c r="H17" s="10">
        <v>3.9596331309999996E-3</v>
      </c>
      <c r="I17" s="3">
        <v>258686</v>
      </c>
      <c r="J17" s="3">
        <v>1420.488435</v>
      </c>
      <c r="K17" s="3">
        <v>4.5822081296467241</v>
      </c>
      <c r="L17" s="3">
        <v>55.006942887017694</v>
      </c>
      <c r="N17" s="1">
        <f t="shared" si="0"/>
        <v>456</v>
      </c>
      <c r="O17" s="1">
        <f t="shared" si="1"/>
        <v>4.8022575662541991E-2</v>
      </c>
      <c r="P17" s="1">
        <f t="shared" si="2"/>
        <v>1.688535646549217E-2</v>
      </c>
      <c r="R17" s="1">
        <f t="shared" si="3"/>
        <v>9.5159833346009309E-4</v>
      </c>
      <c r="V17" s="1">
        <f t="shared" si="4"/>
        <v>1583</v>
      </c>
      <c r="W17" s="1">
        <f t="shared" si="10"/>
        <v>15.2</v>
      </c>
      <c r="X17" s="1">
        <f t="shared" si="5"/>
        <v>3.5845459808593605E-4</v>
      </c>
      <c r="Y17" s="1">
        <f t="shared" si="6"/>
        <v>541</v>
      </c>
      <c r="Z17" s="129"/>
      <c r="AA17" s="1">
        <f t="shared" si="7"/>
        <v>29854.409056716748</v>
      </c>
      <c r="AC17" s="1">
        <f t="shared" si="8"/>
        <v>0</v>
      </c>
      <c r="AD17" s="141"/>
      <c r="AE17" s="3">
        <f t="shared" si="11"/>
        <v>511438.58732771303</v>
      </c>
      <c r="AF17" s="1">
        <f t="shared" si="9"/>
        <v>1.4612531066506085</v>
      </c>
    </row>
    <row r="18" spans="1:32" x14ac:dyDescent="0.3">
      <c r="A18" s="2">
        <v>44287</v>
      </c>
      <c r="B18" s="3">
        <v>1115.4891548000001</v>
      </c>
      <c r="C18" s="3">
        <v>1035.2355</v>
      </c>
      <c r="D18" s="3">
        <v>80.253654800000007</v>
      </c>
      <c r="E18" s="3">
        <v>9129.8333333333339</v>
      </c>
      <c r="F18" s="3">
        <v>0</v>
      </c>
      <c r="G18" s="3">
        <v>31057.064999999999</v>
      </c>
      <c r="H18" s="10">
        <v>4.1568166299999999E-3</v>
      </c>
      <c r="I18" s="3">
        <v>273895</v>
      </c>
      <c r="J18" s="3">
        <v>2407.6096440000001</v>
      </c>
      <c r="K18" s="3">
        <v>7.1944809552531215</v>
      </c>
      <c r="L18" s="3">
        <v>55.470301878171682</v>
      </c>
      <c r="N18" s="1">
        <f t="shared" si="0"/>
        <v>487</v>
      </c>
      <c r="O18" s="1">
        <f t="shared" si="1"/>
        <v>7.7522123999804876E-2</v>
      </c>
      <c r="P18" s="1">
        <f t="shared" si="2"/>
        <v>0.19114234496701796</v>
      </c>
      <c r="R18" s="1">
        <f t="shared" si="3"/>
        <v>-9.1265302451909219E-4</v>
      </c>
      <c r="V18" s="1">
        <f t="shared" si="4"/>
        <v>1552</v>
      </c>
      <c r="W18" s="1">
        <f t="shared" si="10"/>
        <v>16.233333333333334</v>
      </c>
      <c r="X18" s="1">
        <f t="shared" si="5"/>
        <v>4.1814751108403973E-4</v>
      </c>
      <c r="Y18" s="1">
        <f t="shared" si="6"/>
        <v>541</v>
      </c>
      <c r="Z18" s="129"/>
      <c r="AA18" s="1">
        <f t="shared" si="7"/>
        <v>29425.624293621629</v>
      </c>
      <c r="AC18" s="1">
        <f t="shared" si="8"/>
        <v>0</v>
      </c>
      <c r="AD18" s="141"/>
      <c r="AE18" s="3">
        <f t="shared" si="11"/>
        <v>542495.65232771297</v>
      </c>
      <c r="AF18" s="1">
        <f t="shared" si="9"/>
        <v>1.5499875780791801</v>
      </c>
    </row>
    <row r="19" spans="1:32" x14ac:dyDescent="0.3">
      <c r="A19" s="2">
        <v>44317</v>
      </c>
      <c r="B19" s="3">
        <v>889.14846741935492</v>
      </c>
      <c r="C19" s="3">
        <v>846.69312903225807</v>
      </c>
      <c r="D19" s="3">
        <v>42.455338387096774</v>
      </c>
      <c r="E19" s="3">
        <v>7968.0322580645161</v>
      </c>
      <c r="F19" s="3">
        <v>0</v>
      </c>
      <c r="G19" s="3">
        <v>26247.487000000001</v>
      </c>
      <c r="H19" s="10">
        <v>3.5119163249999999E-3</v>
      </c>
      <c r="I19" s="3">
        <v>247009</v>
      </c>
      <c r="J19" s="3">
        <v>1316.1154899999999</v>
      </c>
      <c r="K19" s="3">
        <v>4.774831194425631</v>
      </c>
      <c r="L19" s="3">
        <v>59.191845992723032</v>
      </c>
      <c r="N19" s="1">
        <f t="shared" si="0"/>
        <v>517</v>
      </c>
      <c r="O19" s="1">
        <f t="shared" si="1"/>
        <v>5.0142533264232111E-2</v>
      </c>
      <c r="P19" s="1">
        <f t="shared" si="2"/>
        <v>1.0251808869171717</v>
      </c>
      <c r="R19" s="1">
        <f t="shared" si="3"/>
        <v>1.6108555267450755E-3</v>
      </c>
      <c r="V19" s="1">
        <f t="shared" si="4"/>
        <v>1522</v>
      </c>
      <c r="W19" s="1">
        <f t="shared" si="10"/>
        <v>17.233333333333334</v>
      </c>
      <c r="X19" s="1">
        <f t="shared" si="5"/>
        <v>2.942963513614196E-4</v>
      </c>
      <c r="Y19" s="1">
        <f t="shared" si="6"/>
        <v>541</v>
      </c>
      <c r="Z19" s="129"/>
      <c r="AA19" s="1">
        <f t="shared" si="7"/>
        <v>29016.535854341899</v>
      </c>
      <c r="AC19" s="1">
        <f t="shared" si="8"/>
        <v>0</v>
      </c>
      <c r="AD19" s="141"/>
      <c r="AE19" s="3">
        <f t="shared" si="11"/>
        <v>568743.13932771294</v>
      </c>
      <c r="AF19" s="1">
        <f t="shared" si="9"/>
        <v>1.6249803980791799</v>
      </c>
    </row>
    <row r="20" spans="1:32" x14ac:dyDescent="0.3">
      <c r="A20" s="2">
        <v>44348</v>
      </c>
      <c r="B20" s="3">
        <v>957.0628003999999</v>
      </c>
      <c r="C20" s="3">
        <v>869.99456666666663</v>
      </c>
      <c r="D20" s="3">
        <v>87.068233733333329</v>
      </c>
      <c r="E20" s="3">
        <v>8490.2999999999993</v>
      </c>
      <c r="F20" s="3">
        <v>0</v>
      </c>
      <c r="G20" s="3">
        <v>26099.837</v>
      </c>
      <c r="H20" s="10">
        <v>3.4921607319999995E-3</v>
      </c>
      <c r="I20" s="3">
        <v>254709</v>
      </c>
      <c r="J20" s="3">
        <v>2612.047012</v>
      </c>
      <c r="K20" s="3">
        <v>9.0974420588642211</v>
      </c>
      <c r="L20" s="3">
        <v>61.382324655897271</v>
      </c>
      <c r="N20" s="1">
        <f t="shared" si="0"/>
        <v>548</v>
      </c>
      <c r="O20" s="1">
        <f t="shared" si="1"/>
        <v>0.10007905459332946</v>
      </c>
      <c r="P20" s="1">
        <f t="shared" si="2"/>
        <v>0.34019360906375823</v>
      </c>
      <c r="R20" s="1">
        <f t="shared" si="3"/>
        <v>2.1467640728884468E-3</v>
      </c>
      <c r="V20" s="1">
        <f t="shared" si="4"/>
        <v>1491</v>
      </c>
      <c r="W20" s="1">
        <f t="shared" si="10"/>
        <v>18.266666666666666</v>
      </c>
      <c r="X20" s="1">
        <f t="shared" si="5"/>
        <v>3.1862353291208488E-4</v>
      </c>
      <c r="Y20" s="1">
        <f t="shared" si="6"/>
        <v>541</v>
      </c>
      <c r="Z20" s="129"/>
      <c r="AA20" s="1">
        <f t="shared" si="7"/>
        <v>28599.785067933488</v>
      </c>
      <c r="AC20" s="1">
        <f t="shared" si="8"/>
        <v>0</v>
      </c>
      <c r="AD20" s="141"/>
      <c r="AE20" s="3">
        <f t="shared" si="11"/>
        <v>594842.97632771288</v>
      </c>
      <c r="AF20" s="1">
        <f t="shared" si="9"/>
        <v>1.6995513609363226</v>
      </c>
    </row>
    <row r="21" spans="1:32" x14ac:dyDescent="0.3">
      <c r="A21" s="2">
        <v>44378</v>
      </c>
      <c r="B21" s="3">
        <v>971.88278074193545</v>
      </c>
      <c r="C21" s="3">
        <v>834.60525806451608</v>
      </c>
      <c r="D21" s="3">
        <v>137.27752267741934</v>
      </c>
      <c r="E21" s="3">
        <v>8430.8709677419356</v>
      </c>
      <c r="F21" s="3">
        <v>0</v>
      </c>
      <c r="G21" s="3">
        <v>25872.762999999999</v>
      </c>
      <c r="H21" s="10">
        <v>3.461778213E-3</v>
      </c>
      <c r="I21" s="3">
        <v>261357</v>
      </c>
      <c r="J21" s="3">
        <v>4255.6032029999997</v>
      </c>
      <c r="K21" s="3">
        <v>14.124905327844338</v>
      </c>
      <c r="L21" s="3">
        <v>63.537213192112489</v>
      </c>
      <c r="N21" s="1">
        <f t="shared" si="0"/>
        <v>578</v>
      </c>
      <c r="O21" s="1">
        <f t="shared" si="1"/>
        <v>0.16448197677998286</v>
      </c>
      <c r="P21" s="1">
        <f t="shared" si="2"/>
        <v>0.15323730469142743</v>
      </c>
      <c r="R21" s="1">
        <f t="shared" si="3"/>
        <v>-9.1928627902974859E-4</v>
      </c>
      <c r="V21" s="1">
        <f t="shared" si="4"/>
        <v>1461</v>
      </c>
      <c r="W21" s="1">
        <f t="shared" si="10"/>
        <v>19.266666666666666</v>
      </c>
      <c r="X21" s="1">
        <f t="shared" si="5"/>
        <v>2.9674167651772107E-4</v>
      </c>
      <c r="Y21" s="1">
        <f t="shared" si="6"/>
        <v>541</v>
      </c>
      <c r="Z21" s="129"/>
      <c r="AA21" s="1">
        <f t="shared" si="7"/>
        <v>28202.177821934878</v>
      </c>
      <c r="AC21" s="1">
        <f t="shared" si="8"/>
        <v>0</v>
      </c>
      <c r="AD21" s="141"/>
      <c r="AE21" s="3">
        <f t="shared" si="11"/>
        <v>620715.73932771292</v>
      </c>
      <c r="AF21" s="1">
        <f t="shared" si="9"/>
        <v>1.7734735409363227</v>
      </c>
    </row>
    <row r="22" spans="1:32" x14ac:dyDescent="0.3">
      <c r="A22" s="2">
        <v>44409</v>
      </c>
      <c r="B22" s="3">
        <v>987.14086903225802</v>
      </c>
      <c r="C22" s="3">
        <v>868.97419354838712</v>
      </c>
      <c r="D22" s="3">
        <v>118.16667548387097</v>
      </c>
      <c r="E22" s="3">
        <v>8689.1612903225814</v>
      </c>
      <c r="F22" s="3">
        <v>0</v>
      </c>
      <c r="G22" s="3">
        <v>26938.2</v>
      </c>
      <c r="H22" s="10">
        <v>3.6043337899999998E-3</v>
      </c>
      <c r="I22" s="3">
        <v>269364</v>
      </c>
      <c r="J22" s="3">
        <v>3663.1669400000001</v>
      </c>
      <c r="K22" s="3">
        <v>11.97059904932469</v>
      </c>
      <c r="L22" s="3">
        <v>62.893797180212481</v>
      </c>
      <c r="N22" s="1">
        <f t="shared" si="0"/>
        <v>609</v>
      </c>
      <c r="O22" s="1">
        <f t="shared" si="1"/>
        <v>0.13598410213006065</v>
      </c>
      <c r="P22" s="1">
        <f t="shared" si="2"/>
        <v>3.3977233605266015</v>
      </c>
      <c r="R22" s="1">
        <f t="shared" si="3"/>
        <v>1.4229639910454744E-3</v>
      </c>
      <c r="V22" s="1">
        <f t="shared" si="4"/>
        <v>1430</v>
      </c>
      <c r="W22" s="1">
        <f t="shared" si="10"/>
        <v>20.3</v>
      </c>
      <c r="X22" s="1">
        <f t="shared" si="5"/>
        <v>3.3139450996904192E-4</v>
      </c>
      <c r="Y22" s="1">
        <f t="shared" si="6"/>
        <v>541</v>
      </c>
      <c r="Z22" s="129"/>
      <c r="AA22" s="1">
        <f t="shared" si="7"/>
        <v>27797.123274944133</v>
      </c>
      <c r="AC22" s="1">
        <f t="shared" si="8"/>
        <v>0</v>
      </c>
      <c r="AD22" s="141"/>
      <c r="AE22" s="3">
        <f t="shared" si="11"/>
        <v>647653.93932771287</v>
      </c>
      <c r="AF22" s="1">
        <f t="shared" si="9"/>
        <v>1.8504398266506081</v>
      </c>
    </row>
    <row r="23" spans="1:32" x14ac:dyDescent="0.3">
      <c r="A23" s="2">
        <v>44440</v>
      </c>
      <c r="B23" s="3">
        <v>1009.1262756333333</v>
      </c>
      <c r="C23" s="3">
        <v>855.12220000000002</v>
      </c>
      <c r="D23" s="3">
        <v>154.00407563333334</v>
      </c>
      <c r="E23" s="3">
        <v>8671.9666666666672</v>
      </c>
      <c r="F23" s="3">
        <v>0</v>
      </c>
      <c r="G23" s="3">
        <v>25653.666000000001</v>
      </c>
      <c r="H23" s="10">
        <v>3.4324630139999997E-3</v>
      </c>
      <c r="I23" s="3">
        <v>260159</v>
      </c>
      <c r="J23" s="3">
        <v>4620.1222690000004</v>
      </c>
      <c r="K23" s="3">
        <v>15.261130281904464</v>
      </c>
      <c r="L23" s="3">
        <v>63.786130146077362</v>
      </c>
      <c r="N23" s="1">
        <f t="shared" si="0"/>
        <v>640</v>
      </c>
      <c r="O23" s="1">
        <f t="shared" si="1"/>
        <v>0.18009598585247036</v>
      </c>
      <c r="P23" s="1">
        <f t="shared" si="2"/>
        <v>4.02115645988221</v>
      </c>
      <c r="R23" s="1">
        <f t="shared" si="3"/>
        <v>9.3410967144374468E-3</v>
      </c>
      <c r="V23" s="1">
        <f t="shared" si="4"/>
        <v>1399</v>
      </c>
      <c r="W23" s="1">
        <f t="shared" si="10"/>
        <v>21.333333333333332</v>
      </c>
      <c r="X23" s="1">
        <f t="shared" si="5"/>
        <v>3.2725168252625332E-4</v>
      </c>
      <c r="Y23" s="1">
        <f t="shared" si="6"/>
        <v>541</v>
      </c>
      <c r="Z23" s="129"/>
      <c r="AA23" s="1">
        <f t="shared" si="7"/>
        <v>27397.886334915296</v>
      </c>
      <c r="AC23" s="1">
        <f t="shared" si="8"/>
        <v>0</v>
      </c>
      <c r="AD23" s="141"/>
      <c r="AE23" s="3">
        <f t="shared" si="11"/>
        <v>673307.60532771284</v>
      </c>
      <c r="AF23" s="1">
        <f t="shared" si="9"/>
        <v>1.9237360152220369</v>
      </c>
    </row>
    <row r="24" spans="1:32" x14ac:dyDescent="0.3">
      <c r="A24" s="2">
        <v>44470</v>
      </c>
      <c r="B24" s="3">
        <v>1201.9034816129033</v>
      </c>
      <c r="C24" s="3">
        <v>823.03616129032253</v>
      </c>
      <c r="D24" s="3">
        <v>378.86732032258067</v>
      </c>
      <c r="E24" s="3">
        <v>9072.5806451612898</v>
      </c>
      <c r="F24" s="3">
        <v>0</v>
      </c>
      <c r="G24" s="3">
        <v>25514.120999999999</v>
      </c>
      <c r="H24" s="10">
        <v>3.4137918800000002E-3</v>
      </c>
      <c r="I24" s="3">
        <v>281250</v>
      </c>
      <c r="J24" s="3">
        <v>11744.886930000001</v>
      </c>
      <c r="K24" s="3">
        <v>31.522274967883185</v>
      </c>
      <c r="L24" s="3">
        <v>69.334399174480666</v>
      </c>
      <c r="N24" s="1">
        <f t="shared" si="0"/>
        <v>670</v>
      </c>
      <c r="O24" s="1">
        <f t="shared" si="1"/>
        <v>0.46032888728559379</v>
      </c>
      <c r="P24" s="1">
        <f t="shared" si="2"/>
        <v>1.1745297286156429</v>
      </c>
      <c r="R24" s="1">
        <f t="shared" si="3"/>
        <v>2.7694199766798433E-3</v>
      </c>
      <c r="V24" s="1">
        <f t="shared" si="4"/>
        <v>1369</v>
      </c>
      <c r="W24" s="1">
        <f t="shared" si="10"/>
        <v>22.333333333333332</v>
      </c>
      <c r="X24" s="1">
        <f t="shared" si="5"/>
        <v>3.0648711413417003E-4</v>
      </c>
      <c r="Y24" s="1">
        <f t="shared" si="6"/>
        <v>541</v>
      </c>
      <c r="Z24" s="129"/>
      <c r="AA24" s="1">
        <f t="shared" si="7"/>
        <v>27016.988432852992</v>
      </c>
      <c r="AC24" s="1">
        <f t="shared" si="8"/>
        <v>0</v>
      </c>
      <c r="AD24" s="141"/>
      <c r="AE24" s="3">
        <f t="shared" si="11"/>
        <v>698821.72632771288</v>
      </c>
      <c r="AF24" s="1">
        <f t="shared" si="9"/>
        <v>1.9966335037934653</v>
      </c>
    </row>
    <row r="25" spans="1:32" x14ac:dyDescent="0.3">
      <c r="A25" s="2">
        <v>44501</v>
      </c>
      <c r="B25" s="3">
        <v>1304.3179605333332</v>
      </c>
      <c r="C25" s="3">
        <v>843.57396666666671</v>
      </c>
      <c r="D25" s="3">
        <v>460.74399386666664</v>
      </c>
      <c r="E25" s="3">
        <v>7611.8</v>
      </c>
      <c r="F25" s="3">
        <v>0</v>
      </c>
      <c r="G25" s="3">
        <v>25307.219000000001</v>
      </c>
      <c r="H25" s="10">
        <v>3.3861083689999999E-3</v>
      </c>
      <c r="I25" s="3">
        <v>228354</v>
      </c>
      <c r="J25" s="3">
        <v>13822.319815999999</v>
      </c>
      <c r="K25" s="3">
        <v>35.324515019195871</v>
      </c>
      <c r="L25" s="3">
        <v>56.754595959358468</v>
      </c>
      <c r="N25" s="1">
        <f t="shared" si="0"/>
        <v>701</v>
      </c>
      <c r="O25" s="1">
        <f t="shared" si="1"/>
        <v>0.54618090656266893</v>
      </c>
      <c r="P25" s="1">
        <f t="shared" si="2"/>
        <v>3.4895402663673543</v>
      </c>
      <c r="R25" s="1">
        <f t="shared" si="3"/>
        <v>5.4971688093284155E-4</v>
      </c>
      <c r="V25" s="1">
        <f t="shared" si="4"/>
        <v>1338</v>
      </c>
      <c r="W25" s="1">
        <f t="shared" si="10"/>
        <v>23.366666666666667</v>
      </c>
      <c r="X25" s="1">
        <f t="shared" si="5"/>
        <v>3.3200919990641908E-4</v>
      </c>
      <c r="Y25" s="1">
        <f t="shared" si="6"/>
        <v>541</v>
      </c>
      <c r="Z25" s="129"/>
      <c r="AA25" s="1">
        <f t="shared" si="7"/>
        <v>26628.956200738918</v>
      </c>
      <c r="AC25" s="1">
        <f t="shared" si="8"/>
        <v>0</v>
      </c>
      <c r="AD25" s="141"/>
      <c r="AE25" s="3">
        <f t="shared" si="11"/>
        <v>724128.94532771292</v>
      </c>
      <c r="AF25" s="1">
        <f t="shared" si="9"/>
        <v>2.0689398437934656</v>
      </c>
    </row>
    <row r="26" spans="1:32" x14ac:dyDescent="0.3">
      <c r="A26" s="2">
        <v>44531</v>
      </c>
      <c r="B26" s="3">
        <v>1281.2841591612903</v>
      </c>
      <c r="C26" s="3">
        <v>819.93138709677419</v>
      </c>
      <c r="D26" s="3">
        <v>461.3527720645161</v>
      </c>
      <c r="E26" s="3">
        <v>7512.5161290322585</v>
      </c>
      <c r="F26" s="3">
        <v>0</v>
      </c>
      <c r="G26" s="3">
        <v>25417.873</v>
      </c>
      <c r="H26" s="10">
        <v>3.4009138870000001E-3</v>
      </c>
      <c r="I26" s="3">
        <v>232888</v>
      </c>
      <c r="J26" s="3">
        <v>14301.935933999999</v>
      </c>
      <c r="K26" s="3">
        <v>36.007061256927642</v>
      </c>
      <c r="L26" s="3">
        <v>57.629485456945986</v>
      </c>
      <c r="N26" s="1">
        <f t="shared" si="0"/>
        <v>731</v>
      </c>
      <c r="O26" s="1">
        <f t="shared" si="1"/>
        <v>0.56267241299065418</v>
      </c>
      <c r="P26" s="1">
        <f t="shared" si="2"/>
        <v>3.366726346905041</v>
      </c>
      <c r="R26" s="1">
        <f t="shared" si="3"/>
        <v>8.8603576646919171E-3</v>
      </c>
      <c r="V26" s="1">
        <f t="shared" si="4"/>
        <v>1308</v>
      </c>
      <c r="W26" s="1">
        <f t="shared" si="10"/>
        <v>24.366666666666667</v>
      </c>
      <c r="X26" s="1">
        <f t="shared" si="5"/>
        <v>3.1789096608463561E-4</v>
      </c>
      <c r="Y26" s="1">
        <f t="shared" si="6"/>
        <v>541</v>
      </c>
      <c r="Z26" s="129"/>
      <c r="AA26" s="1">
        <f t="shared" si="7"/>
        <v>26258.748315831959</v>
      </c>
      <c r="AC26" s="1">
        <f t="shared" si="8"/>
        <v>0</v>
      </c>
      <c r="AD26" s="141"/>
      <c r="AE26" s="3">
        <f t="shared" si="11"/>
        <v>749546.81832771294</v>
      </c>
      <c r="AF26" s="1">
        <f t="shared" si="9"/>
        <v>2.1415623380791802</v>
      </c>
    </row>
    <row r="27" spans="1:32" x14ac:dyDescent="0.3">
      <c r="A27" s="2">
        <v>44562</v>
      </c>
      <c r="B27" s="3">
        <v>1344.3105678387096</v>
      </c>
      <c r="C27" s="3">
        <v>731.65990322580637</v>
      </c>
      <c r="D27" s="3">
        <v>612.65066461290314</v>
      </c>
      <c r="E27" s="3">
        <v>7208.9032258064517</v>
      </c>
      <c r="F27" s="3">
        <v>0</v>
      </c>
      <c r="G27" s="3">
        <v>22681.456999999999</v>
      </c>
      <c r="H27" s="10">
        <v>3.0347811590000001E-3</v>
      </c>
      <c r="I27" s="3">
        <v>223476</v>
      </c>
      <c r="J27" s="3">
        <v>18992.170602999999</v>
      </c>
      <c r="K27" s="3">
        <v>45.573595809626113</v>
      </c>
      <c r="L27" s="3">
        <v>61.972180393878574</v>
      </c>
      <c r="N27" s="1">
        <f t="shared" si="0"/>
        <v>762</v>
      </c>
      <c r="O27" s="1">
        <f t="shared" si="1"/>
        <v>0.83734350059610363</v>
      </c>
      <c r="P27" s="1">
        <f t="shared" si="2"/>
        <v>0.94506761110756232</v>
      </c>
      <c r="R27" s="1">
        <f t="shared" si="3"/>
        <v>-1.8925721668387517E-5</v>
      </c>
      <c r="V27" s="1">
        <f t="shared" si="4"/>
        <v>1277</v>
      </c>
      <c r="W27" s="1">
        <f t="shared" si="10"/>
        <v>25.4</v>
      </c>
      <c r="X27" s="1">
        <f t="shared" si="5"/>
        <v>2.3641073928678993E-4</v>
      </c>
      <c r="Y27" s="1">
        <f t="shared" si="6"/>
        <v>541</v>
      </c>
      <c r="Z27" s="129"/>
      <c r="AA27" s="1">
        <f t="shared" si="7"/>
        <v>25881.606328047568</v>
      </c>
      <c r="AC27" s="1">
        <f t="shared" si="8"/>
        <v>0</v>
      </c>
      <c r="AD27" s="141"/>
      <c r="AE27" s="3">
        <f t="shared" si="11"/>
        <v>772228.275327713</v>
      </c>
      <c r="AF27" s="1">
        <f t="shared" si="9"/>
        <v>2.2063665009363231</v>
      </c>
    </row>
    <row r="28" spans="1:32" x14ac:dyDescent="0.3">
      <c r="A28" s="2">
        <v>44593</v>
      </c>
      <c r="B28" s="3">
        <v>1094.7942350714286</v>
      </c>
      <c r="C28" s="3">
        <v>596.04746428571434</v>
      </c>
      <c r="D28" s="3">
        <v>498.74677078571432</v>
      </c>
      <c r="E28" s="3">
        <v>6281.9642857142853</v>
      </c>
      <c r="F28" s="3">
        <v>0</v>
      </c>
      <c r="G28" s="3">
        <v>16689.329000000002</v>
      </c>
      <c r="H28" s="10">
        <v>2.2330338470000002E-3</v>
      </c>
      <c r="I28" s="3">
        <v>175895</v>
      </c>
      <c r="J28" s="3">
        <v>13964.909582</v>
      </c>
      <c r="K28" s="3">
        <v>45.556210912379726</v>
      </c>
      <c r="L28" s="3">
        <v>66.29052438237629</v>
      </c>
      <c r="N28" s="1">
        <f t="shared" si="0"/>
        <v>793</v>
      </c>
      <c r="O28" s="1">
        <f t="shared" si="1"/>
        <v>0.83675680322438362</v>
      </c>
      <c r="P28" s="1">
        <f t="shared" si="2"/>
        <v>-1.3201038719145028</v>
      </c>
      <c r="R28" s="1">
        <f t="shared" si="3"/>
        <v>2.5380922458493405E-3</v>
      </c>
      <c r="V28" s="1">
        <f t="shared" si="4"/>
        <v>1246</v>
      </c>
      <c r="W28" s="1">
        <f t="shared" si="10"/>
        <v>26.433333333333334</v>
      </c>
      <c r="X28" s="1">
        <f t="shared" si="5"/>
        <v>7.776968146966704E-5</v>
      </c>
      <c r="Y28" s="1">
        <f t="shared" si="6"/>
        <v>541</v>
      </c>
      <c r="Z28" s="129"/>
      <c r="AA28" s="1">
        <f t="shared" si="7"/>
        <v>25509.881052333349</v>
      </c>
      <c r="AC28" s="1">
        <f t="shared" si="8"/>
        <v>0</v>
      </c>
      <c r="AD28" s="141"/>
      <c r="AE28" s="3">
        <f t="shared" si="11"/>
        <v>788917.60432771302</v>
      </c>
      <c r="AF28" s="1">
        <f t="shared" si="9"/>
        <v>2.2540502980791799</v>
      </c>
    </row>
    <row r="29" spans="1:32" x14ac:dyDescent="0.3">
      <c r="A29" s="2">
        <v>44621</v>
      </c>
      <c r="B29" s="3">
        <v>1006.6717487419354</v>
      </c>
      <c r="C29" s="3">
        <v>527.65458064516122</v>
      </c>
      <c r="D29" s="3">
        <v>479.01716809677418</v>
      </c>
      <c r="E29" s="3">
        <v>6757.677419354839</v>
      </c>
      <c r="F29" s="3">
        <v>0</v>
      </c>
      <c r="G29" s="3">
        <v>16357.291999999999</v>
      </c>
      <c r="H29" s="10">
        <v>2.1886072650000002E-3</v>
      </c>
      <c r="I29" s="3">
        <v>209488</v>
      </c>
      <c r="J29" s="3">
        <v>14849.532211</v>
      </c>
      <c r="K29" s="3">
        <v>47.584246671808835</v>
      </c>
      <c r="L29" s="3">
        <v>80.55353064553718</v>
      </c>
      <c r="N29" s="1">
        <f t="shared" si="0"/>
        <v>821</v>
      </c>
      <c r="O29" s="1">
        <f t="shared" si="1"/>
        <v>0.90782338610816515</v>
      </c>
      <c r="P29" s="1">
        <f t="shared" si="2"/>
        <v>-2.8220690007172653</v>
      </c>
      <c r="R29" s="1">
        <f t="shared" si="3"/>
        <v>-5.3484387074961464E-3</v>
      </c>
      <c r="V29" s="1">
        <f t="shared" si="4"/>
        <v>1218</v>
      </c>
      <c r="W29" s="1">
        <f t="shared" si="10"/>
        <v>27.366666666666667</v>
      </c>
      <c r="X29" s="1">
        <f t="shared" si="5"/>
        <v>-2.0506906853979944E-5</v>
      </c>
      <c r="Y29" s="1">
        <f t="shared" si="6"/>
        <v>541</v>
      </c>
      <c r="Z29" s="129"/>
      <c r="AA29" s="1">
        <f t="shared" si="7"/>
        <v>25178.720235709887</v>
      </c>
      <c r="AC29" s="1">
        <f t="shared" si="8"/>
        <v>0</v>
      </c>
      <c r="AD29" s="141"/>
      <c r="AE29" s="3">
        <f t="shared" si="11"/>
        <v>805274.89632771304</v>
      </c>
      <c r="AF29" s="1">
        <f t="shared" si="9"/>
        <v>2.30078541807918</v>
      </c>
    </row>
    <row r="30" spans="1:32" x14ac:dyDescent="0.3">
      <c r="A30" s="2">
        <v>44652</v>
      </c>
      <c r="B30" s="3">
        <v>924.66766099999995</v>
      </c>
      <c r="C30" s="3">
        <v>530.80143333333331</v>
      </c>
      <c r="D30" s="3">
        <v>393.86622766666665</v>
      </c>
      <c r="E30" s="3">
        <v>7128.0666666666666</v>
      </c>
      <c r="F30" s="3">
        <v>0</v>
      </c>
      <c r="G30" s="3">
        <v>15924.043</v>
      </c>
      <c r="H30" s="10">
        <v>2.1306385069999999E-3</v>
      </c>
      <c r="I30" s="3">
        <v>213842</v>
      </c>
      <c r="J30" s="3">
        <v>11815.98683</v>
      </c>
      <c r="K30" s="3">
        <v>42.595436639442141</v>
      </c>
      <c r="L30" s="3">
        <v>84.4649447128471</v>
      </c>
      <c r="N30" s="1">
        <f t="shared" si="0"/>
        <v>852</v>
      </c>
      <c r="O30" s="1">
        <f t="shared" si="1"/>
        <v>0.74202178617578463</v>
      </c>
      <c r="P30" s="1">
        <f t="shared" si="2"/>
        <v>0.10294015155662886</v>
      </c>
      <c r="R30" s="1">
        <f t="shared" si="3"/>
        <v>-1.2151037484250504E-3</v>
      </c>
      <c r="V30" s="1">
        <f t="shared" si="4"/>
        <v>1187</v>
      </c>
      <c r="W30" s="1">
        <f t="shared" si="10"/>
        <v>28.4</v>
      </c>
      <c r="X30" s="1">
        <f t="shared" si="5"/>
        <v>-1.6033088513499519E-5</v>
      </c>
      <c r="Y30" s="1">
        <f t="shared" si="6"/>
        <v>541</v>
      </c>
      <c r="Z30" s="129"/>
      <c r="AA30" s="1">
        <f t="shared" si="7"/>
        <v>24817.090180638399</v>
      </c>
      <c r="AC30" s="1">
        <f t="shared" si="8"/>
        <v>0</v>
      </c>
      <c r="AD30" s="141"/>
      <c r="AE30" s="3">
        <f t="shared" si="11"/>
        <v>821198.93932771299</v>
      </c>
      <c r="AF30" s="1">
        <f t="shared" si="9"/>
        <v>2.3462826837934654</v>
      </c>
    </row>
    <row r="31" spans="1:32" x14ac:dyDescent="0.3">
      <c r="A31" s="2">
        <v>44682</v>
      </c>
      <c r="B31" s="3">
        <v>980.14789764516127</v>
      </c>
      <c r="C31" s="3">
        <v>574.67512903225804</v>
      </c>
      <c r="D31" s="3">
        <v>405.47276861290322</v>
      </c>
      <c r="E31" s="3">
        <v>7737.8064516129034</v>
      </c>
      <c r="F31" s="3">
        <v>0</v>
      </c>
      <c r="G31" s="3">
        <v>17814.929</v>
      </c>
      <c r="H31" s="10">
        <v>2.3836392350000003E-3</v>
      </c>
      <c r="I31" s="3">
        <v>239872</v>
      </c>
      <c r="J31" s="3">
        <v>12569.655827</v>
      </c>
      <c r="K31" s="3">
        <v>41.368529135966661</v>
      </c>
      <c r="L31" s="3">
        <v>84.690031916489801</v>
      </c>
      <c r="N31" s="1">
        <f t="shared" si="0"/>
        <v>882</v>
      </c>
      <c r="O31" s="1">
        <f t="shared" si="1"/>
        <v>0.70556867372303311</v>
      </c>
      <c r="P31" s="1">
        <f t="shared" si="2"/>
        <v>0.38582101535947816</v>
      </c>
      <c r="R31" s="1">
        <f t="shared" si="3"/>
        <v>1.4055276583687336E-3</v>
      </c>
      <c r="V31" s="1">
        <f t="shared" si="4"/>
        <v>1157</v>
      </c>
      <c r="W31" s="1">
        <f t="shared" si="10"/>
        <v>29.4</v>
      </c>
      <c r="X31" s="1">
        <f t="shared" si="5"/>
        <v>5.2191537852039452E-5</v>
      </c>
      <c r="Y31" s="1">
        <f t="shared" si="6"/>
        <v>541</v>
      </c>
      <c r="Z31" s="129"/>
      <c r="AA31" s="1">
        <f t="shared" si="7"/>
        <v>24472.071682877511</v>
      </c>
      <c r="AC31" s="1">
        <f t="shared" si="8"/>
        <v>0</v>
      </c>
      <c r="AD31" s="141"/>
      <c r="AE31" s="3">
        <f t="shared" si="11"/>
        <v>839013.86832771299</v>
      </c>
      <c r="AF31" s="1">
        <f t="shared" si="9"/>
        <v>2.3971824809363227</v>
      </c>
    </row>
    <row r="32" spans="1:32" x14ac:dyDescent="0.3">
      <c r="A32" s="2">
        <v>44713</v>
      </c>
      <c r="B32" s="3">
        <v>714.50807706666671</v>
      </c>
      <c r="C32" s="3">
        <v>408.49106666666665</v>
      </c>
      <c r="D32" s="3">
        <v>306.0170104</v>
      </c>
      <c r="E32" s="3">
        <v>5538.5</v>
      </c>
      <c r="F32" s="3">
        <v>0</v>
      </c>
      <c r="G32" s="3">
        <v>12254.732</v>
      </c>
      <c r="H32" s="10">
        <v>1.6396843339999999E-3</v>
      </c>
      <c r="I32" s="3">
        <v>166155</v>
      </c>
      <c r="J32" s="3">
        <v>9180.5103120000003</v>
      </c>
      <c r="K32" s="3">
        <v>42.829048435158178</v>
      </c>
      <c r="L32" s="3">
        <v>85.279850999597542</v>
      </c>
      <c r="N32" s="1">
        <f t="shared" si="0"/>
        <v>913</v>
      </c>
      <c r="O32" s="1">
        <f t="shared" si="1"/>
        <v>0.74914003113246386</v>
      </c>
      <c r="P32" s="1">
        <f t="shared" si="2"/>
        <v>1.652301581266993</v>
      </c>
      <c r="R32" s="1">
        <f t="shared" si="3"/>
        <v>-5.9232917969835131E-4</v>
      </c>
      <c r="V32" s="1">
        <f t="shared" si="4"/>
        <v>1126</v>
      </c>
      <c r="W32" s="1">
        <f t="shared" si="10"/>
        <v>30.433333333333334</v>
      </c>
      <c r="X32" s="1">
        <f t="shared" si="5"/>
        <v>-2.4951086448543234E-4</v>
      </c>
      <c r="Y32" s="1">
        <f t="shared" si="6"/>
        <v>541</v>
      </c>
      <c r="Z32" s="129"/>
      <c r="AA32" s="1">
        <f t="shared" si="7"/>
        <v>24120.59088689007</v>
      </c>
      <c r="AC32" s="1">
        <f t="shared" si="8"/>
        <v>0</v>
      </c>
      <c r="AD32" s="141"/>
      <c r="AE32" s="3">
        <f t="shared" si="11"/>
        <v>851268.60032771295</v>
      </c>
      <c r="AF32" s="1">
        <f t="shared" si="9"/>
        <v>2.4321960009363224</v>
      </c>
    </row>
    <row r="33" spans="1:32" x14ac:dyDescent="0.3">
      <c r="A33" s="2">
        <v>44743</v>
      </c>
      <c r="B33" s="3">
        <v>337.30251780645159</v>
      </c>
      <c r="C33" s="3">
        <v>194.81825806451613</v>
      </c>
      <c r="D33" s="3">
        <v>142.48425974193549</v>
      </c>
      <c r="E33" s="3">
        <v>2524.516129032258</v>
      </c>
      <c r="F33" s="3">
        <v>0</v>
      </c>
      <c r="G33" s="3">
        <v>6039.366</v>
      </c>
      <c r="H33" s="10">
        <v>8.0806775500000001E-4</v>
      </c>
      <c r="I33" s="3">
        <v>78260</v>
      </c>
      <c r="J33" s="3">
        <v>4417.012052</v>
      </c>
      <c r="K33" s="3">
        <v>42.242275767326092</v>
      </c>
      <c r="L33" s="3">
        <v>81.505202367268353</v>
      </c>
      <c r="N33" s="1">
        <f t="shared" si="0"/>
        <v>943</v>
      </c>
      <c r="O33" s="1">
        <f t="shared" si="1"/>
        <v>0.73137015574151332</v>
      </c>
      <c r="P33" s="1">
        <f t="shared" si="2"/>
        <v>-0.62540573877482253</v>
      </c>
      <c r="R33" s="1">
        <f t="shared" si="3"/>
        <v>4.0204251342437821E-3</v>
      </c>
      <c r="V33" s="1">
        <f t="shared" si="4"/>
        <v>1096</v>
      </c>
      <c r="W33" s="1">
        <f t="shared" si="10"/>
        <v>31.433333333333334</v>
      </c>
      <c r="X33" s="1">
        <f t="shared" si="5"/>
        <v>-9.3189066131349777E-4</v>
      </c>
      <c r="Y33" s="1">
        <f t="shared" si="6"/>
        <v>541</v>
      </c>
      <c r="Z33" s="129"/>
      <c r="AA33" s="1">
        <f t="shared" si="7"/>
        <v>23785.255439731463</v>
      </c>
      <c r="AC33" s="1">
        <f t="shared" si="8"/>
        <v>0</v>
      </c>
      <c r="AD33" s="141"/>
      <c r="AE33" s="3">
        <f t="shared" si="11"/>
        <v>857307.96632771299</v>
      </c>
      <c r="AF33" s="1">
        <f t="shared" si="9"/>
        <v>2.4494513323648941</v>
      </c>
    </row>
    <row r="34" spans="1:32" x14ac:dyDescent="0.3">
      <c r="A34" s="2">
        <v>44774</v>
      </c>
      <c r="B34" s="3">
        <v>390.81598790322499</v>
      </c>
      <c r="C34" s="3">
        <v>210.56858064516101</v>
      </c>
      <c r="D34" s="3">
        <v>180.24740725806399</v>
      </c>
      <c r="E34" s="3">
        <v>2693.1290322580599</v>
      </c>
      <c r="F34" s="3">
        <v>0</v>
      </c>
      <c r="G34" s="3">
        <v>6527.6260000000002</v>
      </c>
      <c r="H34" s="10">
        <v>8.7339699900000004E-4</v>
      </c>
      <c r="I34" s="3">
        <v>83487</v>
      </c>
      <c r="J34" s="3">
        <v>5587.6696250000005</v>
      </c>
      <c r="K34" s="3">
        <v>46.120786466570436</v>
      </c>
      <c r="L34" s="3">
        <v>80.445254155185964</v>
      </c>
      <c r="N34" s="1">
        <f t="shared" si="0"/>
        <v>974</v>
      </c>
      <c r="O34" s="1">
        <f t="shared" si="1"/>
        <v>0.85600333490307057</v>
      </c>
      <c r="P34" s="1">
        <f t="shared" si="2"/>
        <v>-4.0407594420035489</v>
      </c>
      <c r="R34" s="1">
        <f t="shared" si="3"/>
        <v>-5.3050597214302428E-3</v>
      </c>
      <c r="V34" s="1">
        <f t="shared" si="4"/>
        <v>1065</v>
      </c>
      <c r="W34" s="1">
        <f t="shared" si="10"/>
        <v>32.466666666666669</v>
      </c>
      <c r="X34" s="1">
        <f t="shared" si="5"/>
        <v>-8.860167887282471E-4</v>
      </c>
      <c r="Y34" s="1">
        <f t="shared" si="6"/>
        <v>541</v>
      </c>
      <c r="Z34" s="129"/>
      <c r="AA34" s="1">
        <f t="shared" si="7"/>
        <v>23443.639060740108</v>
      </c>
      <c r="AC34" s="1">
        <f t="shared" si="8"/>
        <v>0</v>
      </c>
      <c r="AD34" s="141"/>
      <c r="AE34" s="3">
        <f t="shared" si="11"/>
        <v>863835.59232771304</v>
      </c>
      <c r="AF34" s="1">
        <f t="shared" si="9"/>
        <v>2.4681016923648946</v>
      </c>
    </row>
    <row r="35" spans="1:32" x14ac:dyDescent="0.3">
      <c r="A35" s="2">
        <v>44805</v>
      </c>
      <c r="B35" s="3">
        <v>401.30716769999998</v>
      </c>
      <c r="C35" s="3">
        <v>237.242766666666</v>
      </c>
      <c r="D35" s="3">
        <v>164.06440103333301</v>
      </c>
      <c r="E35" s="3">
        <v>2921.2</v>
      </c>
      <c r="F35" s="3">
        <v>0</v>
      </c>
      <c r="G35" s="3">
        <v>7117.2830000000004</v>
      </c>
      <c r="H35" s="10">
        <v>9.52293162E-4</v>
      </c>
      <c r="I35" s="3">
        <v>87636</v>
      </c>
      <c r="J35" s="3">
        <v>4921.9320310000003</v>
      </c>
      <c r="K35" s="3">
        <v>40.882499551062303</v>
      </c>
      <c r="L35" s="3">
        <v>77.447097832136208</v>
      </c>
      <c r="N35" s="1">
        <f t="shared" si="0"/>
        <v>1005</v>
      </c>
      <c r="O35" s="1">
        <f t="shared" si="1"/>
        <v>0.69154648353873305</v>
      </c>
      <c r="P35" s="1">
        <f t="shared" si="2"/>
        <v>-2.8386968528529191</v>
      </c>
      <c r="R35" s="1">
        <f t="shared" si="3"/>
        <v>-2.7000235185173768E-3</v>
      </c>
      <c r="V35" s="1">
        <f t="shared" si="4"/>
        <v>1034</v>
      </c>
      <c r="W35" s="1">
        <f t="shared" si="10"/>
        <v>33.5</v>
      </c>
      <c r="X35" s="1">
        <f t="shared" si="5"/>
        <v>-7.9722952616484595E-4</v>
      </c>
      <c r="Y35" s="1">
        <f t="shared" si="6"/>
        <v>541</v>
      </c>
      <c r="Z35" s="129"/>
      <c r="AA35" s="1">
        <f t="shared" si="7"/>
        <v>23106.92915629518</v>
      </c>
      <c r="AC35" s="1">
        <f t="shared" si="8"/>
        <v>0</v>
      </c>
      <c r="AD35" s="141"/>
      <c r="AE35" s="3">
        <f t="shared" si="11"/>
        <v>870952.87532771309</v>
      </c>
      <c r="AF35" s="1">
        <f t="shared" si="9"/>
        <v>2.4884367866506087</v>
      </c>
    </row>
    <row r="36" spans="1:32" x14ac:dyDescent="0.3">
      <c r="A36" s="2">
        <v>44835</v>
      </c>
      <c r="B36" s="3">
        <v>554.12204248387104</v>
      </c>
      <c r="C36" s="3">
        <v>344.05854838709598</v>
      </c>
      <c r="D36" s="3">
        <v>210.06349409677401</v>
      </c>
      <c r="E36" s="3">
        <v>3472.6129032258</v>
      </c>
      <c r="F36" s="3">
        <v>0</v>
      </c>
      <c r="G36" s="3">
        <v>10665.815000000001</v>
      </c>
      <c r="H36" s="10">
        <v>1.4270870909999999E-3</v>
      </c>
      <c r="I36" s="3">
        <v>107651</v>
      </c>
      <c r="J36" s="3">
        <v>6511.9683169999998</v>
      </c>
      <c r="K36" s="3">
        <v>37.909247059575065</v>
      </c>
      <c r="L36" s="3">
        <v>63.483499366902571</v>
      </c>
      <c r="N36" s="1">
        <f t="shared" si="0"/>
        <v>1035</v>
      </c>
      <c r="O36" s="1">
        <f t="shared" si="1"/>
        <v>0.61054577798321175</v>
      </c>
      <c r="P36" s="1">
        <f t="shared" si="2"/>
        <v>1.8979837763708645</v>
      </c>
      <c r="R36" s="1">
        <f t="shared" si="3"/>
        <v>-2.7829591192738245E-3</v>
      </c>
      <c r="V36" s="1">
        <f t="shared" si="4"/>
        <v>1004</v>
      </c>
      <c r="W36" s="1">
        <f t="shared" si="10"/>
        <v>34.5</v>
      </c>
      <c r="X36" s="1">
        <f t="shared" si="5"/>
        <v>-4.5080422027446015E-4</v>
      </c>
      <c r="Y36" s="1">
        <f t="shared" si="6"/>
        <v>541</v>
      </c>
      <c r="Z36" s="129"/>
      <c r="AA36" s="1">
        <f t="shared" si="7"/>
        <v>22785.686096478599</v>
      </c>
      <c r="AC36" s="1">
        <f t="shared" si="8"/>
        <v>0</v>
      </c>
      <c r="AD36" s="141"/>
      <c r="AE36" s="3">
        <f t="shared" si="11"/>
        <v>881618.69032771303</v>
      </c>
      <c r="AF36" s="1">
        <f t="shared" si="9"/>
        <v>2.5189105437934658</v>
      </c>
    </row>
    <row r="37" spans="1:32" x14ac:dyDescent="0.3">
      <c r="A37" s="2">
        <v>44866</v>
      </c>
      <c r="B37" s="3">
        <v>480.26740243333336</v>
      </c>
      <c r="C37" s="3">
        <v>315.07943333333333</v>
      </c>
      <c r="D37" s="3">
        <v>165.1879691</v>
      </c>
      <c r="E37" s="3">
        <v>3382.5333333333333</v>
      </c>
      <c r="F37" s="3">
        <v>0</v>
      </c>
      <c r="G37" s="3">
        <v>9452.3829999999998</v>
      </c>
      <c r="H37" s="10">
        <v>1.26472977E-3</v>
      </c>
      <c r="I37" s="3">
        <v>101476</v>
      </c>
      <c r="J37" s="3">
        <v>4955.6390730000003</v>
      </c>
      <c r="K37" s="3">
        <v>34.394999174013272</v>
      </c>
      <c r="L37" s="3">
        <v>67.524109507623635</v>
      </c>
      <c r="N37" s="1">
        <f t="shared" si="0"/>
        <v>1066</v>
      </c>
      <c r="O37" s="1">
        <f t="shared" si="1"/>
        <v>0.52427404528572319</v>
      </c>
      <c r="P37" s="1">
        <f t="shared" si="2"/>
        <v>3.9871738679412863</v>
      </c>
      <c r="R37" s="1">
        <f t="shared" si="3"/>
        <v>6.4987073183841526E-3</v>
      </c>
      <c r="V37" s="1">
        <f t="shared" si="4"/>
        <v>973</v>
      </c>
      <c r="W37" s="1">
        <f t="shared" si="10"/>
        <v>35.533333333333331</v>
      </c>
      <c r="X37" s="1">
        <f t="shared" si="5"/>
        <v>-5.5559558324564848E-4</v>
      </c>
      <c r="Y37" s="1">
        <f t="shared" si="6"/>
        <v>541</v>
      </c>
      <c r="Z37" s="129"/>
      <c r="AA37" s="1">
        <f t="shared" si="7"/>
        <v>22458.426059400754</v>
      </c>
      <c r="AC37" s="1">
        <f t="shared" si="8"/>
        <v>0</v>
      </c>
      <c r="AD37" s="141"/>
      <c r="AE37" s="3">
        <f t="shared" si="11"/>
        <v>891071.07332771306</v>
      </c>
      <c r="AF37" s="1">
        <f t="shared" si="9"/>
        <v>2.5459173523648944</v>
      </c>
    </row>
    <row r="38" spans="1:32" x14ac:dyDescent="0.3">
      <c r="A38" s="2">
        <v>44896</v>
      </c>
      <c r="B38" s="3">
        <v>543.26458980645157</v>
      </c>
      <c r="C38" s="3">
        <v>315.99200000000002</v>
      </c>
      <c r="D38" s="3">
        <v>227.27258980645161</v>
      </c>
      <c r="E38" s="3">
        <v>3148.5806451612902</v>
      </c>
      <c r="F38" s="3">
        <v>0</v>
      </c>
      <c r="G38" s="3">
        <v>9795.7520000000004</v>
      </c>
      <c r="H38" s="10">
        <v>1.310672574E-3</v>
      </c>
      <c r="I38" s="3">
        <v>97606</v>
      </c>
      <c r="J38" s="3">
        <v>7045.4502839999996</v>
      </c>
      <c r="K38" s="3">
        <v>41.83460399791965</v>
      </c>
      <c r="L38" s="3">
        <v>62.672290886906893</v>
      </c>
      <c r="N38" s="1">
        <f t="shared" si="0"/>
        <v>1096</v>
      </c>
      <c r="O38" s="1">
        <f t="shared" si="1"/>
        <v>0.71923526483724776</v>
      </c>
      <c r="P38" s="1">
        <f t="shared" si="2"/>
        <v>2.6278223420430775</v>
      </c>
      <c r="R38" s="1">
        <f t="shared" si="3"/>
        <v>8.6802244913015481E-4</v>
      </c>
      <c r="V38" s="1">
        <f t="shared" si="4"/>
        <v>943</v>
      </c>
      <c r="W38" s="1">
        <f t="shared" si="10"/>
        <v>36.533333333333331</v>
      </c>
      <c r="X38" s="1">
        <f t="shared" si="5"/>
        <v>-5.702040106423461E-4</v>
      </c>
      <c r="Y38" s="1">
        <f t="shared" si="6"/>
        <v>541</v>
      </c>
      <c r="Z38" s="129"/>
      <c r="AA38" s="1">
        <f t="shared" si="7"/>
        <v>22146.198785184148</v>
      </c>
      <c r="AC38" s="1">
        <f t="shared" si="8"/>
        <v>0</v>
      </c>
      <c r="AD38" s="141"/>
      <c r="AE38" s="3">
        <f t="shared" si="11"/>
        <v>900866.82532771304</v>
      </c>
      <c r="AF38" s="1">
        <f t="shared" si="9"/>
        <v>2.5739052152220374</v>
      </c>
    </row>
    <row r="39" spans="1:32" x14ac:dyDescent="0.3">
      <c r="A39" s="2">
        <v>44927</v>
      </c>
      <c r="B39" s="3">
        <v>590.64198177419303</v>
      </c>
      <c r="C39" s="3">
        <v>338.25503225806398</v>
      </c>
      <c r="D39" s="3">
        <v>252.38694951612899</v>
      </c>
      <c r="E39" s="3">
        <v>3243.77419354838</v>
      </c>
      <c r="F39" s="3">
        <v>0</v>
      </c>
      <c r="G39" s="3">
        <v>10485.906000000001</v>
      </c>
      <c r="H39" s="10">
        <v>1.403015245E-3</v>
      </c>
      <c r="I39" s="3">
        <v>100557</v>
      </c>
      <c r="J39" s="3">
        <v>7823.9954349999998</v>
      </c>
      <c r="K39" s="3">
        <v>42.73095331930169</v>
      </c>
      <c r="L39" s="3">
        <v>60.317479347993384</v>
      </c>
      <c r="N39" s="1">
        <f t="shared" si="0"/>
        <v>1127</v>
      </c>
      <c r="O39" s="1">
        <f t="shared" si="1"/>
        <v>0.74614396076028255</v>
      </c>
      <c r="P39" s="1">
        <f t="shared" si="2"/>
        <v>2.4912816077239563</v>
      </c>
      <c r="R39" s="1">
        <f t="shared" si="3"/>
        <v>3.796547903908E-3</v>
      </c>
      <c r="V39" s="1">
        <f t="shared" si="4"/>
        <v>912</v>
      </c>
      <c r="W39" s="1">
        <f t="shared" si="10"/>
        <v>37.56666666666667</v>
      </c>
      <c r="X39" s="1">
        <f t="shared" si="5"/>
        <v>-5.1493326159290367E-4</v>
      </c>
      <c r="Y39" s="1">
        <f t="shared" si="6"/>
        <v>541</v>
      </c>
      <c r="Z39" s="129"/>
      <c r="AA39" s="1">
        <f t="shared" si="7"/>
        <v>21828.123402029771</v>
      </c>
      <c r="AC39" s="1">
        <f t="shared" si="8"/>
        <v>0</v>
      </c>
      <c r="AD39" s="141"/>
      <c r="AE39" s="3">
        <f t="shared" si="11"/>
        <v>911352.731327713</v>
      </c>
      <c r="AF39" s="1">
        <f t="shared" si="9"/>
        <v>2.6038649466506083</v>
      </c>
    </row>
    <row r="40" spans="1:32" x14ac:dyDescent="0.3">
      <c r="A40" s="2">
        <v>44958</v>
      </c>
      <c r="B40" s="3">
        <v>594.64592796428497</v>
      </c>
      <c r="C40" s="3">
        <v>319.04396428571403</v>
      </c>
      <c r="D40" s="3">
        <v>275.601963678571</v>
      </c>
      <c r="E40" s="3">
        <v>3180.8214285714198</v>
      </c>
      <c r="F40" s="3">
        <v>0</v>
      </c>
      <c r="G40" s="3">
        <v>8933.2309999999998</v>
      </c>
      <c r="H40" s="10">
        <v>1.195267178E-3</v>
      </c>
      <c r="I40" s="3">
        <v>89063</v>
      </c>
      <c r="J40" s="3">
        <v>7716.8549830000002</v>
      </c>
      <c r="K40" s="3">
        <v>46.347238031557495</v>
      </c>
      <c r="L40" s="3">
        <v>62.708381480340094</v>
      </c>
      <c r="N40" s="1">
        <f t="shared" si="0"/>
        <v>1158</v>
      </c>
      <c r="O40" s="1">
        <f t="shared" si="1"/>
        <v>0.86383694578143055</v>
      </c>
      <c r="P40" s="1">
        <f t="shared" si="2"/>
        <v>-4.494432160435661</v>
      </c>
      <c r="R40" s="1">
        <f t="shared" si="3"/>
        <v>3.3677874284671853E-4</v>
      </c>
      <c r="V40" s="1">
        <f t="shared" si="4"/>
        <v>881</v>
      </c>
      <c r="W40" s="1">
        <f t="shared" si="10"/>
        <v>38.6</v>
      </c>
      <c r="X40" s="1">
        <f t="shared" si="5"/>
        <v>-5.9942152835452901E-4</v>
      </c>
      <c r="Y40" s="1">
        <f t="shared" si="6"/>
        <v>541</v>
      </c>
      <c r="Z40" s="129"/>
      <c r="AA40" s="1">
        <f t="shared" si="7"/>
        <v>21514.616385228019</v>
      </c>
      <c r="AC40" s="1">
        <f t="shared" si="8"/>
        <v>0</v>
      </c>
      <c r="AD40" s="141"/>
      <c r="AE40" s="3">
        <f t="shared" si="11"/>
        <v>920285.96232771303</v>
      </c>
      <c r="AF40" s="1">
        <f t="shared" si="9"/>
        <v>2.6293884637934659</v>
      </c>
    </row>
    <row r="41" spans="1:32" x14ac:dyDescent="0.3">
      <c r="A41" s="2">
        <v>44986</v>
      </c>
      <c r="B41" s="3">
        <v>635.66835677419294</v>
      </c>
      <c r="C41" s="3">
        <v>339.33680645161201</v>
      </c>
      <c r="D41" s="3">
        <v>296.33155032257997</v>
      </c>
      <c r="E41" s="3">
        <v>3246.5483870967701</v>
      </c>
      <c r="F41" s="3">
        <v>0</v>
      </c>
      <c r="G41" s="3">
        <v>10519.441000000001</v>
      </c>
      <c r="H41" s="10">
        <v>1.4075022309999899E-3</v>
      </c>
      <c r="I41" s="3">
        <v>100643</v>
      </c>
      <c r="J41" s="3">
        <v>9186.2780600000006</v>
      </c>
      <c r="K41" s="3">
        <v>46.617319733573829</v>
      </c>
      <c r="L41" s="3">
        <v>60.176614080539061</v>
      </c>
      <c r="N41" s="1">
        <f t="shared" si="0"/>
        <v>1186</v>
      </c>
      <c r="O41" s="1">
        <f t="shared" si="1"/>
        <v>0.87326675058113867</v>
      </c>
      <c r="P41" s="1">
        <f t="shared" si="2"/>
        <v>-4.6191711910468811</v>
      </c>
      <c r="R41" s="1">
        <f t="shared" si="3"/>
        <v>-7.508970032414109E-3</v>
      </c>
      <c r="V41" s="1">
        <f t="shared" si="4"/>
        <v>853</v>
      </c>
      <c r="W41" s="1">
        <f t="shared" si="10"/>
        <v>39.533333333333331</v>
      </c>
      <c r="X41" s="1">
        <f t="shared" si="5"/>
        <v>-5.4680672372083591E-4</v>
      </c>
      <c r="Y41" s="1">
        <f t="shared" si="6"/>
        <v>541</v>
      </c>
      <c r="Z41" s="129"/>
      <c r="AA41" s="1">
        <f t="shared" si="7"/>
        <v>21235.320769664148</v>
      </c>
      <c r="AC41" s="1">
        <f t="shared" si="8"/>
        <v>0</v>
      </c>
      <c r="AD41" s="141"/>
      <c r="AE41" s="3">
        <f t="shared" si="11"/>
        <v>930805.40332771302</v>
      </c>
      <c r="AF41" s="1">
        <f t="shared" si="9"/>
        <v>2.6594440095077516</v>
      </c>
    </row>
    <row r="42" spans="1:32" x14ac:dyDescent="0.3">
      <c r="A42" s="2">
        <v>45017</v>
      </c>
      <c r="B42" s="3">
        <v>598.13524180000002</v>
      </c>
      <c r="C42" s="3">
        <v>364.60796666666602</v>
      </c>
      <c r="D42" s="3">
        <v>233.52727513333301</v>
      </c>
      <c r="E42" s="3">
        <v>3563.4</v>
      </c>
      <c r="F42" s="3">
        <v>0</v>
      </c>
      <c r="G42" s="3">
        <v>10938.239</v>
      </c>
      <c r="H42" s="10">
        <v>1.463537443E-3</v>
      </c>
      <c r="I42" s="3">
        <v>106902</v>
      </c>
      <c r="J42" s="3">
        <v>7005.8182539999998</v>
      </c>
      <c r="K42" s="3">
        <v>39.042554060276963</v>
      </c>
      <c r="L42" s="3">
        <v>61.471704869494985</v>
      </c>
      <c r="N42" s="1">
        <f t="shared" si="0"/>
        <v>1217</v>
      </c>
      <c r="O42" s="1">
        <f t="shared" si="1"/>
        <v>0.64048867957630129</v>
      </c>
      <c r="P42" s="1">
        <f t="shared" si="2"/>
        <v>4.7243533332012886</v>
      </c>
      <c r="R42" s="1">
        <f t="shared" si="3"/>
        <v>3.6882263572990402E-5</v>
      </c>
      <c r="V42" s="1">
        <f t="shared" si="4"/>
        <v>822</v>
      </c>
      <c r="W42" s="1">
        <f t="shared" si="10"/>
        <v>40.56666666666667</v>
      </c>
      <c r="X42" s="1">
        <f t="shared" si="5"/>
        <v>-4.800444846848457E-4</v>
      </c>
      <c r="Y42" s="1">
        <f t="shared" si="6"/>
        <v>541</v>
      </c>
      <c r="Z42" s="129"/>
      <c r="AA42" s="1">
        <f t="shared" si="7"/>
        <v>20930.3278968134</v>
      </c>
      <c r="AC42" s="1">
        <f t="shared" si="8"/>
        <v>0</v>
      </c>
      <c r="AD42" s="141"/>
      <c r="AE42" s="3">
        <f t="shared" si="11"/>
        <v>941743.64232771297</v>
      </c>
      <c r="AF42" s="1">
        <f t="shared" si="9"/>
        <v>2.6906961209363227</v>
      </c>
    </row>
    <row r="43" spans="1:32" x14ac:dyDescent="0.3">
      <c r="A43" s="2">
        <v>45047</v>
      </c>
      <c r="B43" s="3">
        <v>714.75100380645154</v>
      </c>
      <c r="C43" s="3">
        <v>435.40029032258064</v>
      </c>
      <c r="D43" s="3">
        <v>279.35071348387095</v>
      </c>
      <c r="E43" s="3">
        <v>4250.1290322580644</v>
      </c>
      <c r="F43" s="1">
        <v>0</v>
      </c>
      <c r="G43" s="3">
        <v>13497.409</v>
      </c>
      <c r="H43" s="10">
        <v>1.8059546430000001E-3</v>
      </c>
      <c r="I43" s="3">
        <v>131754</v>
      </c>
      <c r="J43" s="3">
        <v>8659.8721179999993</v>
      </c>
      <c r="K43" s="3">
        <v>39.08364059597973</v>
      </c>
      <c r="L43" s="3">
        <v>61.397436293143372</v>
      </c>
      <c r="N43" s="1">
        <f t="shared" si="0"/>
        <v>1247</v>
      </c>
      <c r="O43" s="1">
        <f t="shared" si="1"/>
        <v>0.641595147483491</v>
      </c>
      <c r="P43" s="1">
        <f t="shared" si="2"/>
        <v>0.4881582003159225</v>
      </c>
      <c r="R43" s="1">
        <f t="shared" si="3"/>
        <v>7.4177432555726898E-3</v>
      </c>
      <c r="V43" s="1">
        <f t="shared" si="4"/>
        <v>792</v>
      </c>
      <c r="W43" s="1">
        <f t="shared" si="10"/>
        <v>41.56666666666667</v>
      </c>
      <c r="X43" s="1">
        <f t="shared" si="5"/>
        <v>-2.7418366572117464E-4</v>
      </c>
      <c r="Y43" s="1">
        <f t="shared" si="6"/>
        <v>541</v>
      </c>
      <c r="Z43" s="129"/>
      <c r="AA43" s="1">
        <f t="shared" si="7"/>
        <v>20639.344939664163</v>
      </c>
      <c r="AC43" s="1">
        <f t="shared" si="8"/>
        <v>0</v>
      </c>
      <c r="AD43" s="141"/>
      <c r="AE43" s="3">
        <f t="shared" si="11"/>
        <v>955241.05132771295</v>
      </c>
      <c r="AF43" s="1">
        <f t="shared" si="9"/>
        <v>2.7292601466506086</v>
      </c>
    </row>
    <row r="44" spans="1:32" s="109" customFormat="1" x14ac:dyDescent="0.3">
      <c r="A44" s="107">
        <v>45078</v>
      </c>
      <c r="B44" s="108">
        <v>937.94683063333332</v>
      </c>
      <c r="C44" s="108">
        <v>501.16173333333336</v>
      </c>
      <c r="D44" s="108">
        <v>436.78509730000002</v>
      </c>
      <c r="E44" s="108">
        <v>4630.2</v>
      </c>
      <c r="F44" s="109">
        <v>0</v>
      </c>
      <c r="G44" s="108">
        <v>15034.852000000001</v>
      </c>
      <c r="H44" s="110">
        <v>2.0116646650000002E-3</v>
      </c>
      <c r="I44" s="108">
        <v>138906</v>
      </c>
      <c r="J44" s="108">
        <v>13103.552919</v>
      </c>
      <c r="K44" s="108">
        <v>46.568215066633144</v>
      </c>
      <c r="L44" s="108">
        <v>58.111044844338998</v>
      </c>
      <c r="N44" s="109">
        <f t="shared" si="0"/>
        <v>1278</v>
      </c>
      <c r="O44" s="109">
        <f t="shared" si="1"/>
        <v>0.8715451884062444</v>
      </c>
      <c r="P44" s="109">
        <f t="shared" si="2"/>
        <v>-3.7404854682099011</v>
      </c>
      <c r="R44" s="109">
        <f t="shared" si="3"/>
        <v>-6.8878765122266095E-3</v>
      </c>
      <c r="V44" s="109">
        <f t="shared" si="4"/>
        <v>761</v>
      </c>
      <c r="W44" s="109">
        <f t="shared" si="10"/>
        <v>42.6</v>
      </c>
      <c r="X44" s="109">
        <f t="shared" si="5"/>
        <v>-1.0051302080485525E-4</v>
      </c>
      <c r="Y44" s="109">
        <f t="shared" si="6"/>
        <v>541</v>
      </c>
      <c r="Z44" s="129"/>
      <c r="AA44" s="1">
        <f t="shared" si="7"/>
        <v>20342.911785901862</v>
      </c>
      <c r="AB44" s="1"/>
      <c r="AC44" s="1">
        <f t="shared" si="8"/>
        <v>0</v>
      </c>
      <c r="AD44" s="141"/>
      <c r="AE44" s="3">
        <f t="shared" si="11"/>
        <v>970275.90332771291</v>
      </c>
      <c r="AF44" s="1">
        <f t="shared" si="9"/>
        <v>2.7722168666506084</v>
      </c>
    </row>
    <row r="45" spans="1:32" x14ac:dyDescent="0.3">
      <c r="A45" s="2">
        <v>45108</v>
      </c>
      <c r="B45" s="3">
        <v>918.0822146774193</v>
      </c>
      <c r="C45" s="3">
        <v>551.43090322580645</v>
      </c>
      <c r="D45" s="3">
        <v>366.65131145161291</v>
      </c>
      <c r="E45" s="3">
        <v>4856.322580645161</v>
      </c>
      <c r="F45" s="1">
        <v>0</v>
      </c>
      <c r="G45" s="3">
        <v>17094.358</v>
      </c>
      <c r="H45" s="10">
        <v>2.2872267679999998E-3</v>
      </c>
      <c r="I45" s="3">
        <v>150546</v>
      </c>
      <c r="J45" s="3">
        <v>11366.190655</v>
      </c>
      <c r="K45" s="3">
        <v>39.936653339967037</v>
      </c>
      <c r="L45" s="3">
        <v>55.392792803333123</v>
      </c>
      <c r="N45" s="1">
        <f t="shared" si="0"/>
        <v>1308</v>
      </c>
      <c r="O45" s="1">
        <f t="shared" si="1"/>
        <v>0.66490889303944611</v>
      </c>
      <c r="P45" s="1">
        <f t="shared" si="2"/>
        <v>1.4503174947535775</v>
      </c>
      <c r="R45" s="1">
        <f t="shared" si="3"/>
        <v>1.0396697213608504E-3</v>
      </c>
      <c r="V45" s="1">
        <f t="shared" si="4"/>
        <v>731</v>
      </c>
      <c r="W45" s="1">
        <f t="shared" si="10"/>
        <v>43.6</v>
      </c>
      <c r="X45" s="1">
        <f t="shared" si="5"/>
        <v>2.6124847053319419E-5</v>
      </c>
      <c r="Y45" s="1">
        <f t="shared" si="6"/>
        <v>541</v>
      </c>
      <c r="Z45" s="129"/>
      <c r="AA45" s="1">
        <f t="shared" si="7"/>
        <v>20060.095355233858</v>
      </c>
      <c r="AC45" s="1">
        <f t="shared" si="8"/>
        <v>0</v>
      </c>
      <c r="AD45" s="141"/>
      <c r="AE45" s="3">
        <f t="shared" si="11"/>
        <v>987370.26132771291</v>
      </c>
      <c r="AF45" s="1">
        <f t="shared" si="9"/>
        <v>2.8210578895077512</v>
      </c>
    </row>
    <row r="46" spans="1:32" s="55" customFormat="1" x14ac:dyDescent="0.3">
      <c r="A46" s="59">
        <v>45139</v>
      </c>
      <c r="B46" s="58">
        <v>1105.0723998387098</v>
      </c>
      <c r="C46" s="58">
        <v>651.13854838709676</v>
      </c>
      <c r="D46" s="58">
        <v>453.9338514516129</v>
      </c>
      <c r="E46" s="58">
        <v>4778.5161290322585</v>
      </c>
      <c r="F46" s="55">
        <v>0</v>
      </c>
      <c r="G46" s="58">
        <v>20185.294999999998</v>
      </c>
      <c r="H46" s="60">
        <v>2.7007944429999998E-3</v>
      </c>
      <c r="I46" s="58">
        <v>148134</v>
      </c>
      <c r="J46" s="58">
        <v>14071.949395</v>
      </c>
      <c r="K46" s="58">
        <v>41.077295163454139</v>
      </c>
      <c r="L46" s="58">
        <v>46.159009972358596</v>
      </c>
      <c r="N46" s="55">
        <f t="shared" si="0"/>
        <v>1339</v>
      </c>
      <c r="O46" s="55">
        <f t="shared" si="1"/>
        <v>0.69713865440163247</v>
      </c>
      <c r="P46" s="55">
        <f t="shared" si="2"/>
        <v>0.91653524813554343</v>
      </c>
      <c r="R46" s="55">
        <f t="shared" si="3"/>
        <v>1.1269870373933344E-3</v>
      </c>
      <c r="V46" s="55">
        <f t="shared" si="4"/>
        <v>700</v>
      </c>
      <c r="W46" s="55">
        <f t="shared" si="10"/>
        <v>44.633333333333333</v>
      </c>
      <c r="X46" s="55">
        <f t="shared" si="5"/>
        <v>2.6471880665942572E-4</v>
      </c>
      <c r="Y46" s="55">
        <f t="shared" si="6"/>
        <v>541</v>
      </c>
      <c r="Z46" s="129"/>
      <c r="AA46" s="1">
        <f t="shared" si="7"/>
        <v>19771.981689402503</v>
      </c>
      <c r="AB46" s="1"/>
      <c r="AC46" s="1">
        <f t="shared" si="8"/>
        <v>0</v>
      </c>
      <c r="AD46" s="141"/>
      <c r="AE46" s="3">
        <f t="shared" si="11"/>
        <v>1007555.556327713</v>
      </c>
      <c r="AF46" s="1">
        <f t="shared" si="9"/>
        <v>2.8787301609363229</v>
      </c>
    </row>
    <row r="47" spans="1:32" x14ac:dyDescent="0.3">
      <c r="A47" s="2">
        <v>45170</v>
      </c>
      <c r="B47" s="3">
        <v>1115.6164486666667</v>
      </c>
      <c r="C47" s="3">
        <v>644.09236666666663</v>
      </c>
      <c r="D47" s="3">
        <v>471.52408200000002</v>
      </c>
      <c r="E47" s="3">
        <v>4246.6333333333332</v>
      </c>
      <c r="F47" s="1">
        <v>0</v>
      </c>
      <c r="G47" s="3">
        <v>19322.771000000001</v>
      </c>
      <c r="H47" s="10">
        <v>2.5853886440000001E-3</v>
      </c>
      <c r="I47" s="3">
        <v>127399</v>
      </c>
      <c r="J47" s="3">
        <v>14145.722460000001</v>
      </c>
      <c r="K47" s="3">
        <v>42.26578790260254</v>
      </c>
      <c r="L47" s="3">
        <v>41.469943943340212</v>
      </c>
      <c r="N47" s="1">
        <f t="shared" si="0"/>
        <v>1370</v>
      </c>
      <c r="O47" s="1">
        <f t="shared" si="1"/>
        <v>0.73207525256082584</v>
      </c>
      <c r="P47" s="1">
        <f t="shared" si="2"/>
        <v>1.1495075285155287</v>
      </c>
      <c r="R47" s="1">
        <f t="shared" si="3"/>
        <v>1.9647621134989414E-4</v>
      </c>
      <c r="V47" s="1">
        <f t="shared" si="4"/>
        <v>669</v>
      </c>
      <c r="W47" s="1">
        <f t="shared" si="10"/>
        <v>45.666666666666664</v>
      </c>
      <c r="X47" s="1">
        <f t="shared" si="5"/>
        <v>2.6072176901989529E-4</v>
      </c>
      <c r="Y47" s="1">
        <f t="shared" si="6"/>
        <v>541</v>
      </c>
      <c r="Z47" s="129"/>
      <c r="AA47" s="1">
        <f t="shared" si="7"/>
        <v>19488.006063942783</v>
      </c>
      <c r="AC47" s="1">
        <f t="shared" si="8"/>
        <v>0</v>
      </c>
      <c r="AD47" s="141"/>
      <c r="AE47" s="3">
        <f t="shared" si="11"/>
        <v>1026878.3273277129</v>
      </c>
      <c r="AF47" s="1">
        <f t="shared" si="9"/>
        <v>2.9339380780791799</v>
      </c>
    </row>
    <row r="48" spans="1:32" x14ac:dyDescent="0.3">
      <c r="A48" s="2">
        <v>45200</v>
      </c>
      <c r="B48" s="3">
        <v>1090.51971</v>
      </c>
      <c r="C48" s="3">
        <v>627.4676774193548</v>
      </c>
      <c r="D48" s="3">
        <v>463.05203258064512</v>
      </c>
      <c r="E48" s="3">
        <v>4974</v>
      </c>
      <c r="F48" s="1">
        <v>0</v>
      </c>
      <c r="G48" s="3">
        <v>19451.498</v>
      </c>
      <c r="H48" s="10">
        <v>2.6026123299999998E-3</v>
      </c>
      <c r="I48" s="3">
        <v>154194</v>
      </c>
      <c r="J48" s="3">
        <v>14354.613009999999</v>
      </c>
      <c r="K48" s="3">
        <v>42.461592242165445</v>
      </c>
      <c r="L48" s="3">
        <v>49.859883346773593</v>
      </c>
      <c r="N48" s="1">
        <f t="shared" si="0"/>
        <v>1400</v>
      </c>
      <c r="O48" s="1">
        <f t="shared" si="1"/>
        <v>0.73796953890132266</v>
      </c>
      <c r="P48" s="1">
        <f t="shared" si="2"/>
        <v>5.6689579532093486</v>
      </c>
      <c r="R48" s="1">
        <f t="shared" si="3"/>
        <v>1.4252075834347844E-3</v>
      </c>
      <c r="V48" s="1">
        <f t="shared" si="4"/>
        <v>639</v>
      </c>
      <c r="W48" s="1">
        <f t="shared" si="10"/>
        <v>46.666666666666664</v>
      </c>
      <c r="X48" s="1">
        <f t="shared" si="5"/>
        <v>2.3203893700170523E-4</v>
      </c>
      <c r="Y48" s="1">
        <f t="shared" si="6"/>
        <v>541</v>
      </c>
      <c r="Z48" s="129"/>
      <c r="AA48" s="1">
        <f t="shared" si="7"/>
        <v>19217.07492223374</v>
      </c>
      <c r="AC48" s="1">
        <f t="shared" si="8"/>
        <v>0</v>
      </c>
      <c r="AD48" s="141"/>
      <c r="AE48" s="3">
        <f t="shared" si="11"/>
        <v>1046329.8253277129</v>
      </c>
      <c r="AF48" s="1">
        <f t="shared" si="9"/>
        <v>2.9895137866506083</v>
      </c>
    </row>
    <row r="49" spans="1:32" x14ac:dyDescent="0.3">
      <c r="A49" s="2">
        <v>45231</v>
      </c>
      <c r="B49" s="3">
        <v>1078.7302222666665</v>
      </c>
      <c r="C49" s="3">
        <v>605.2967666666666</v>
      </c>
      <c r="D49" s="3">
        <v>473.4334556</v>
      </c>
      <c r="E49" s="3">
        <v>5300.4666666666662</v>
      </c>
      <c r="F49" s="1">
        <v>0</v>
      </c>
      <c r="G49" s="3">
        <v>18158.902999999998</v>
      </c>
      <c r="H49" s="10">
        <v>2.4296629969999999E-3</v>
      </c>
      <c r="I49" s="3">
        <v>159014</v>
      </c>
      <c r="J49" s="3">
        <v>14203.003667999999</v>
      </c>
      <c r="K49" s="3">
        <v>43.888031115435396</v>
      </c>
      <c r="L49" s="3">
        <v>55.078561584915121</v>
      </c>
      <c r="N49" s="1">
        <f t="shared" si="0"/>
        <v>1431</v>
      </c>
      <c r="O49" s="1">
        <f t="shared" si="1"/>
        <v>0.78215097398780098</v>
      </c>
      <c r="P49" s="1">
        <f t="shared" si="2"/>
        <v>6.1306331315787777</v>
      </c>
      <c r="R49" s="1">
        <f t="shared" si="3"/>
        <v>6.5864454641213488E-3</v>
      </c>
      <c r="V49" s="1">
        <f t="shared" si="4"/>
        <v>608</v>
      </c>
      <c r="W49" s="1">
        <f t="shared" si="10"/>
        <v>47.7</v>
      </c>
      <c r="X49" s="1">
        <f t="shared" si="5"/>
        <v>1.8470326041620844E-4</v>
      </c>
      <c r="Y49" s="1">
        <f t="shared" si="6"/>
        <v>541</v>
      </c>
      <c r="Z49" s="129"/>
      <c r="AA49" s="1">
        <f t="shared" si="7"/>
        <v>18941.06916032912</v>
      </c>
      <c r="AC49" s="1">
        <f t="shared" si="8"/>
        <v>0</v>
      </c>
      <c r="AD49" s="141"/>
      <c r="AE49" s="3">
        <f t="shared" si="11"/>
        <v>1064488.728327713</v>
      </c>
      <c r="AF49" s="1">
        <f t="shared" si="9"/>
        <v>3.0413963666506088</v>
      </c>
    </row>
    <row r="50" spans="1:32" x14ac:dyDescent="0.3">
      <c r="A50" s="2">
        <v>45261</v>
      </c>
      <c r="B50" s="3">
        <v>1161.4751947741936</v>
      </c>
      <c r="C50" s="3">
        <v>586.67938709677424</v>
      </c>
      <c r="D50" s="3">
        <v>574.79580767741936</v>
      </c>
      <c r="E50" s="3">
        <v>6737.0322580645161</v>
      </c>
      <c r="F50" s="1">
        <v>0</v>
      </c>
      <c r="G50" s="3">
        <v>18187.061000000002</v>
      </c>
      <c r="H50" s="10">
        <v>2.4334305330000004E-3</v>
      </c>
      <c r="I50" s="3">
        <v>208848</v>
      </c>
      <c r="J50" s="3">
        <v>17818.670038</v>
      </c>
      <c r="K50" s="3">
        <v>49.488427326178709</v>
      </c>
      <c r="L50" s="3">
        <v>72.227841012904719</v>
      </c>
      <c r="N50" s="1">
        <f t="shared" si="0"/>
        <v>1461</v>
      </c>
      <c r="O50" s="1">
        <f t="shared" si="1"/>
        <v>0.97974433791144144</v>
      </c>
      <c r="P50" s="1">
        <f t="shared" si="2"/>
        <v>-1.5667874555287786</v>
      </c>
      <c r="R50" s="1">
        <f t="shared" si="3"/>
        <v>1.8814126749104089E-3</v>
      </c>
      <c r="V50" s="1">
        <f t="shared" si="4"/>
        <v>578</v>
      </c>
      <c r="W50" s="1">
        <f t="shared" si="10"/>
        <v>48.7</v>
      </c>
      <c r="X50" s="1">
        <f t="shared" si="5"/>
        <v>1.4024083535270403E-4</v>
      </c>
      <c r="Y50" s="1">
        <f t="shared" si="6"/>
        <v>541</v>
      </c>
      <c r="Z50" s="129"/>
      <c r="AA50" s="1">
        <f t="shared" si="7"/>
        <v>18677.741784713569</v>
      </c>
      <c r="AC50" s="1">
        <f t="shared" si="8"/>
        <v>0</v>
      </c>
      <c r="AD50" s="141"/>
      <c r="AE50" s="3">
        <f t="shared" si="11"/>
        <v>1082675.789327713</v>
      </c>
      <c r="AF50" s="1">
        <f t="shared" si="9"/>
        <v>3.0933593980791798</v>
      </c>
    </row>
    <row r="51" spans="1:32" x14ac:dyDescent="0.3">
      <c r="A51" s="2">
        <v>45292</v>
      </c>
      <c r="B51" s="3">
        <v>1171.6208076774194</v>
      </c>
      <c r="C51" s="3">
        <v>574.86832258064521</v>
      </c>
      <c r="D51" s="3">
        <v>596.75248509677419</v>
      </c>
      <c r="E51" s="3">
        <v>6969.9354838709678</v>
      </c>
      <c r="F51" s="1">
        <v>0</v>
      </c>
      <c r="G51" s="3">
        <v>17820.918000000001</v>
      </c>
      <c r="H51" s="10">
        <v>2.3844405660000002E-3</v>
      </c>
      <c r="I51" s="3">
        <v>216068</v>
      </c>
      <c r="J51" s="3">
        <v>18499.327037999999</v>
      </c>
      <c r="K51" s="3">
        <v>50.933926846157306</v>
      </c>
      <c r="L51" s="3">
        <v>76.260072932269807</v>
      </c>
      <c r="N51" s="1">
        <f t="shared" si="0"/>
        <v>1492</v>
      </c>
      <c r="O51" s="1">
        <f t="shared" si="1"/>
        <v>1.0380681308336641</v>
      </c>
      <c r="P51" s="1">
        <f t="shared" si="2"/>
        <v>-1.590100024174891</v>
      </c>
      <c r="R51" s="1">
        <f t="shared" si="3"/>
        <v>-3.9819662628172983E-3</v>
      </c>
      <c r="V51" s="1">
        <f t="shared" si="4"/>
        <v>547</v>
      </c>
      <c r="W51" s="1">
        <f t="shared" si="10"/>
        <v>49.733333333333334</v>
      </c>
      <c r="X51" s="1">
        <f t="shared" si="5"/>
        <v>1.1100864994118462E-4</v>
      </c>
      <c r="Y51" s="1">
        <f t="shared" si="6"/>
        <v>541</v>
      </c>
      <c r="Z51" s="129"/>
      <c r="AA51" s="1">
        <f t="shared" si="7"/>
        <v>18409.48220968412</v>
      </c>
      <c r="AC51" s="1">
        <f t="shared" si="8"/>
        <v>0</v>
      </c>
      <c r="AD51" s="141"/>
      <c r="AE51" s="3">
        <f t="shared" si="11"/>
        <v>1100496.707327713</v>
      </c>
      <c r="AF51" s="1">
        <f t="shared" si="9"/>
        <v>3.144276306650609</v>
      </c>
    </row>
    <row r="52" spans="1:32" x14ac:dyDescent="0.3">
      <c r="A52" s="2">
        <v>45323</v>
      </c>
      <c r="B52" s="3">
        <v>1170.5968497931035</v>
      </c>
      <c r="C52" s="3">
        <v>611.39675862068975</v>
      </c>
      <c r="D52" s="3">
        <v>559.20009117241375</v>
      </c>
      <c r="E52" s="3">
        <v>6847.5172413793107</v>
      </c>
      <c r="F52" s="1">
        <v>0</v>
      </c>
      <c r="G52" s="3">
        <v>17730.506000000001</v>
      </c>
      <c r="H52" s="10">
        <v>2.3723434390000003E-3</v>
      </c>
      <c r="I52" s="3">
        <v>198578</v>
      </c>
      <c r="J52" s="3">
        <v>16216.802643999999</v>
      </c>
      <c r="K52" s="3">
        <v>47.770510511048208</v>
      </c>
      <c r="L52" s="3">
        <v>70.444459080863226</v>
      </c>
      <c r="N52" s="1">
        <f t="shared" si="0"/>
        <v>1523</v>
      </c>
      <c r="O52" s="1">
        <f t="shared" si="1"/>
        <v>0.91462717668632787</v>
      </c>
      <c r="P52" s="1">
        <f t="shared" si="2"/>
        <v>1.7571361845904361</v>
      </c>
      <c r="R52" s="1">
        <f t="shared" si="3"/>
        <v>2.0947657839606093E-3</v>
      </c>
      <c r="V52" s="1">
        <f t="shared" si="4"/>
        <v>516</v>
      </c>
      <c r="W52" s="1">
        <f t="shared" si="10"/>
        <v>50.766666666666666</v>
      </c>
      <c r="X52" s="1">
        <f t="shared" si="5"/>
        <v>2.3706749811465232E-4</v>
      </c>
      <c r="Y52" s="1">
        <f t="shared" si="6"/>
        <v>541</v>
      </c>
      <c r="Z52" s="129"/>
      <c r="AA52" s="1">
        <f t="shared" si="7"/>
        <v>18145.075520106479</v>
      </c>
      <c r="AC52" s="1">
        <f t="shared" si="8"/>
        <v>0</v>
      </c>
      <c r="AD52" s="141"/>
      <c r="AE52" s="3">
        <f t="shared" si="11"/>
        <v>1118227.2133277131</v>
      </c>
      <c r="AF52" s="1">
        <f t="shared" si="9"/>
        <v>3.1949348952220373</v>
      </c>
    </row>
    <row r="53" spans="1:32" x14ac:dyDescent="0.3">
      <c r="A53" s="2">
        <v>45352</v>
      </c>
      <c r="B53" s="3">
        <v>1189.3304430322582</v>
      </c>
      <c r="C53" s="3">
        <v>602.07819354838705</v>
      </c>
      <c r="D53" s="3">
        <v>587.25224948387097</v>
      </c>
      <c r="E53" s="3">
        <v>5821.3548387096771</v>
      </c>
      <c r="F53" s="1">
        <v>0</v>
      </c>
      <c r="G53" s="3">
        <v>18664.423999999999</v>
      </c>
      <c r="H53" s="10">
        <v>2.497301751E-3</v>
      </c>
      <c r="I53" s="3">
        <v>180462</v>
      </c>
      <c r="J53" s="3">
        <v>18204.819734000001</v>
      </c>
      <c r="K53" s="3">
        <v>49.376710478094019</v>
      </c>
      <c r="L53" s="3">
        <v>60.814621849567928</v>
      </c>
      <c r="N53" s="1">
        <f t="shared" si="0"/>
        <v>1552</v>
      </c>
      <c r="O53" s="1">
        <f t="shared" si="1"/>
        <v>0.97537538442118554</v>
      </c>
      <c r="P53" s="1">
        <f t="shared" si="2"/>
        <v>-3.3959840864806066</v>
      </c>
      <c r="R53" s="1">
        <f t="shared" si="3"/>
        <v>2.3054901845004897E-4</v>
      </c>
      <c r="V53" s="1">
        <f t="shared" si="4"/>
        <v>487</v>
      </c>
      <c r="W53" s="1">
        <f t="shared" si="10"/>
        <v>51.733333333333334</v>
      </c>
      <c r="X53" s="1">
        <f t="shared" si="5"/>
        <v>2.1964691507736102E-4</v>
      </c>
      <c r="Y53" s="1">
        <f t="shared" si="6"/>
        <v>541</v>
      </c>
      <c r="Z53" s="129"/>
      <c r="AA53" s="1">
        <f t="shared" si="7"/>
        <v>17901.166339531352</v>
      </c>
      <c r="AC53" s="1">
        <f t="shared" si="8"/>
        <v>0</v>
      </c>
      <c r="AD53" s="141"/>
      <c r="AE53" s="3">
        <f t="shared" si="11"/>
        <v>1136891.637327713</v>
      </c>
      <c r="AF53" s="1">
        <f t="shared" si="9"/>
        <v>3.2482618209363228</v>
      </c>
    </row>
    <row r="54" spans="1:32" x14ac:dyDescent="0.3">
      <c r="A54" s="2">
        <v>45383</v>
      </c>
      <c r="B54" s="3">
        <v>1204.2016204666666</v>
      </c>
      <c r="C54" s="3">
        <v>607.40883333333329</v>
      </c>
      <c r="D54" s="3">
        <v>596.79278713333338</v>
      </c>
      <c r="E54" s="3">
        <v>5841.9666666666662</v>
      </c>
      <c r="F54" s="1">
        <v>0</v>
      </c>
      <c r="G54" s="3">
        <v>18222.264999999999</v>
      </c>
      <c r="H54" s="10">
        <v>2.4381408360000002E-3</v>
      </c>
      <c r="I54" s="3">
        <v>175259</v>
      </c>
      <c r="J54" s="3">
        <v>17903.783614</v>
      </c>
      <c r="K54" s="3">
        <v>49.559208108527294</v>
      </c>
      <c r="L54" s="3">
        <v>60.494348984607562</v>
      </c>
      <c r="N54" s="1">
        <f t="shared" si="0"/>
        <v>1583</v>
      </c>
      <c r="O54" s="1">
        <f t="shared" si="1"/>
        <v>0.98252240399313706</v>
      </c>
      <c r="P54" s="1">
        <f t="shared" si="2"/>
        <v>1.7209530728685363</v>
      </c>
      <c r="R54" s="1">
        <f t="shared" si="3"/>
        <v>-4.6022294557761263E-3</v>
      </c>
      <c r="V54" s="1">
        <f t="shared" si="4"/>
        <v>456</v>
      </c>
      <c r="W54" s="1">
        <f t="shared" si="10"/>
        <v>52.766666666666666</v>
      </c>
      <c r="X54" s="1">
        <f t="shared" si="5"/>
        <v>2.5390968535021747E-4</v>
      </c>
      <c r="Y54" s="1">
        <f t="shared" si="6"/>
        <v>541</v>
      </c>
      <c r="Z54" s="129"/>
      <c r="AA54" s="1">
        <f t="shared" si="7"/>
        <v>17644.060350481624</v>
      </c>
      <c r="AC54" s="1">
        <f t="shared" si="8"/>
        <v>0</v>
      </c>
      <c r="AD54" s="141"/>
      <c r="AE54" s="3">
        <f t="shared" si="11"/>
        <v>1155113.9023277129</v>
      </c>
      <c r="AF54" s="1">
        <f t="shared" si="9"/>
        <v>3.300325435222037</v>
      </c>
    </row>
    <row r="55" spans="1:32" x14ac:dyDescent="0.3">
      <c r="A55" s="2">
        <v>45413</v>
      </c>
      <c r="B55" s="3">
        <v>1095.4242159677422</v>
      </c>
      <c r="C55" s="3">
        <v>593.90112903225815</v>
      </c>
      <c r="D55" s="3">
        <v>501.52308693548389</v>
      </c>
      <c r="E55" s="3">
        <v>5933.3548387096771</v>
      </c>
      <c r="F55" s="1">
        <v>0</v>
      </c>
      <c r="G55" s="3">
        <v>18410.935000000001</v>
      </c>
      <c r="H55" s="10">
        <v>2.4633848979999998E-3</v>
      </c>
      <c r="I55" s="3">
        <v>183934</v>
      </c>
      <c r="J55" s="3">
        <v>15547.215695000001</v>
      </c>
      <c r="K55" s="3">
        <v>45.783458100058347</v>
      </c>
      <c r="L55" s="3">
        <v>62.838094491127144</v>
      </c>
      <c r="N55" s="1">
        <f t="shared" si="0"/>
        <v>1613</v>
      </c>
      <c r="O55" s="1">
        <f t="shared" si="1"/>
        <v>0.84445552031985327</v>
      </c>
      <c r="P55" s="1">
        <f t="shared" si="2"/>
        <v>6.6046103865134622</v>
      </c>
      <c r="R55" s="1">
        <f t="shared" si="3"/>
        <v>6.5528066746571032E-3</v>
      </c>
      <c r="V55" s="1">
        <f t="shared" si="4"/>
        <v>426</v>
      </c>
      <c r="W55" s="1">
        <f t="shared" si="10"/>
        <v>53.766666666666666</v>
      </c>
      <c r="X55" s="1">
        <f t="shared" si="5"/>
        <v>2.1899900756167849E-4</v>
      </c>
      <c r="Y55" s="1">
        <f t="shared" si="6"/>
        <v>541</v>
      </c>
      <c r="Z55" s="129"/>
      <c r="AA55" s="1">
        <f t="shared" si="7"/>
        <v>17398.764582435659</v>
      </c>
      <c r="AC55" s="1">
        <f t="shared" si="8"/>
        <v>0</v>
      </c>
      <c r="AD55" s="141"/>
      <c r="AE55" s="3">
        <f t="shared" si="11"/>
        <v>1173524.8373277129</v>
      </c>
      <c r="AF55" s="1">
        <f t="shared" si="9"/>
        <v>3.3529281066506083</v>
      </c>
    </row>
    <row r="56" spans="1:32" x14ac:dyDescent="0.3">
      <c r="A56" s="2">
        <v>45444</v>
      </c>
      <c r="B56" s="3">
        <v>1187.8217344</v>
      </c>
      <c r="C56" s="3">
        <v>580.10649999999998</v>
      </c>
      <c r="D56" s="3">
        <v>607.71523439999999</v>
      </c>
      <c r="E56" s="3">
        <v>6214.8</v>
      </c>
      <c r="F56" s="1">
        <v>0</v>
      </c>
      <c r="G56" s="3">
        <v>17403.195</v>
      </c>
      <c r="H56" s="10">
        <v>2.3285491879999998E-3</v>
      </c>
      <c r="I56" s="3">
        <v>186444</v>
      </c>
      <c r="J56" s="3">
        <v>18231.457031999998</v>
      </c>
      <c r="K56" s="3">
        <v>51.162158158940649</v>
      </c>
      <c r="L56" s="3">
        <v>67.383918366713687</v>
      </c>
      <c r="N56" s="1">
        <f t="shared" si="0"/>
        <v>1644</v>
      </c>
      <c r="O56" s="1">
        <f t="shared" si="1"/>
        <v>1.0475925272342235</v>
      </c>
      <c r="P56" s="1">
        <f t="shared" si="2"/>
        <v>-0.87815919676401499</v>
      </c>
      <c r="R56" s="1">
        <f t="shared" si="3"/>
        <v>1.4009090910017971E-3</v>
      </c>
      <c r="V56" s="1">
        <f t="shared" si="4"/>
        <v>395</v>
      </c>
      <c r="W56" s="1">
        <f t="shared" si="10"/>
        <v>54.8</v>
      </c>
      <c r="X56" s="1">
        <f t="shared" si="5"/>
        <v>1.7668969247448924E-4</v>
      </c>
      <c r="Y56" s="1">
        <f t="shared" si="6"/>
        <v>541</v>
      </c>
      <c r="Z56" s="129"/>
      <c r="AA56" s="1">
        <f t="shared" si="7"/>
        <v>17148.874352304007</v>
      </c>
      <c r="AC56" s="1">
        <f t="shared" si="8"/>
        <v>0</v>
      </c>
      <c r="AD56" s="141"/>
      <c r="AE56" s="3">
        <f t="shared" si="11"/>
        <v>1190928.032327713</v>
      </c>
      <c r="AF56" s="1">
        <f t="shared" si="9"/>
        <v>3.4026515209363226</v>
      </c>
    </row>
    <row r="57" spans="1:32" x14ac:dyDescent="0.3">
      <c r="A57" s="2">
        <v>45474</v>
      </c>
      <c r="B57" s="3">
        <v>1218.9743177419357</v>
      </c>
      <c r="C57" s="3">
        <v>583.34741935483873</v>
      </c>
      <c r="D57" s="3">
        <v>635.62689838709684</v>
      </c>
      <c r="E57" s="3">
        <v>4610.7741935483873</v>
      </c>
      <c r="F57" s="1">
        <v>0</v>
      </c>
      <c r="G57" s="3">
        <v>18083.77</v>
      </c>
      <c r="H57" s="10">
        <v>2.4196101870000001E-3</v>
      </c>
      <c r="I57" s="3">
        <v>142934</v>
      </c>
      <c r="J57" s="3">
        <v>19704.433850000001</v>
      </c>
      <c r="K57" s="3">
        <v>52.144404450173411</v>
      </c>
      <c r="L57" s="3">
        <v>49.714538130046996</v>
      </c>
      <c r="N57" s="1">
        <f t="shared" si="0"/>
        <v>1674</v>
      </c>
      <c r="O57" s="1">
        <f t="shared" si="1"/>
        <v>1.0896197999642774</v>
      </c>
      <c r="P57" s="1">
        <f t="shared" si="2"/>
        <v>-2.6457801095181179</v>
      </c>
      <c r="R57" s="1">
        <f t="shared" si="3"/>
        <v>-2.3877768870088131E-3</v>
      </c>
      <c r="V57" s="1">
        <f t="shared" si="4"/>
        <v>365</v>
      </c>
      <c r="W57" s="1">
        <f t="shared" si="10"/>
        <v>55.8</v>
      </c>
      <c r="X57" s="1">
        <f t="shared" si="5"/>
        <v>2.0647574404619436E-4</v>
      </c>
      <c r="Y57" s="1">
        <f t="shared" si="6"/>
        <v>541</v>
      </c>
      <c r="Z57" s="129"/>
      <c r="AA57" s="1">
        <f t="shared" si="7"/>
        <v>16910.462885679357</v>
      </c>
      <c r="AC57" s="1">
        <f t="shared" si="8"/>
        <v>0</v>
      </c>
      <c r="AD57" s="141"/>
      <c r="AE57" s="3">
        <f t="shared" si="11"/>
        <v>1209011.802327713</v>
      </c>
      <c r="AF57" s="1">
        <f t="shared" si="9"/>
        <v>3.4543194352220374</v>
      </c>
    </row>
    <row r="58" spans="1:32" x14ac:dyDescent="0.3">
      <c r="A58" s="2">
        <v>45505</v>
      </c>
      <c r="B58" s="3">
        <v>1185.7475312258061</v>
      </c>
      <c r="C58" s="3">
        <v>588.2855161290322</v>
      </c>
      <c r="D58" s="3">
        <v>597.46201509677417</v>
      </c>
      <c r="E58" s="3">
        <v>3845.5806451612902</v>
      </c>
      <c r="F58" s="1">
        <v>0</v>
      </c>
      <c r="G58" s="3">
        <v>18236.850999999999</v>
      </c>
      <c r="H58" s="10">
        <v>2.44009244E-3</v>
      </c>
      <c r="I58" s="3">
        <v>119213</v>
      </c>
      <c r="J58" s="3">
        <v>18521.322467999998</v>
      </c>
      <c r="K58" s="3">
        <v>50.386949950393557</v>
      </c>
      <c r="L58" s="3">
        <v>41.115975965368143</v>
      </c>
      <c r="N58" s="1">
        <f t="shared" si="0"/>
        <v>1705</v>
      </c>
      <c r="O58" s="1">
        <f t="shared" si="1"/>
        <v>1.0155987164670042</v>
      </c>
      <c r="P58" s="1">
        <f t="shared" si="2"/>
        <v>0.40978355901996999</v>
      </c>
      <c r="R58" s="1">
        <f t="shared" si="3"/>
        <v>-7.1611955096970072E-4</v>
      </c>
      <c r="V58" s="1">
        <f t="shared" si="4"/>
        <v>334</v>
      </c>
      <c r="W58" s="1">
        <f t="shared" si="10"/>
        <v>56.833333333333336</v>
      </c>
      <c r="X58" s="1">
        <f t="shared" si="5"/>
        <v>2.508776133185491E-4</v>
      </c>
      <c r="Y58" s="1">
        <f t="shared" si="6"/>
        <v>541</v>
      </c>
      <c r="Z58" s="129"/>
      <c r="AA58" s="1">
        <f t="shared" si="7"/>
        <v>16667.585901965169</v>
      </c>
      <c r="AC58" s="1">
        <f t="shared" si="8"/>
        <v>0</v>
      </c>
      <c r="AD58" s="141"/>
      <c r="AE58" s="3">
        <f t="shared" si="11"/>
        <v>1227248.653327713</v>
      </c>
      <c r="AF58" s="1">
        <f t="shared" si="9"/>
        <v>3.5064247237934656</v>
      </c>
    </row>
    <row r="59" spans="1:32" x14ac:dyDescent="0.3">
      <c r="A59" s="2">
        <v>45536</v>
      </c>
      <c r="B59" s="3">
        <v>1141.3952229666668</v>
      </c>
      <c r="C59" s="3">
        <v>572.58743333333337</v>
      </c>
      <c r="D59" s="3">
        <v>568.8077896333333</v>
      </c>
      <c r="E59" s="3">
        <v>3691.6333333333332</v>
      </c>
      <c r="F59" s="1">
        <v>0</v>
      </c>
      <c r="G59" s="3">
        <v>17177.623</v>
      </c>
      <c r="H59" s="10">
        <v>2.298367633E-3</v>
      </c>
      <c r="I59" s="3">
        <v>110749</v>
      </c>
      <c r="J59" s="3">
        <v>17064.233689000001</v>
      </c>
      <c r="K59" s="3">
        <v>49.834428792763994</v>
      </c>
      <c r="L59" s="3">
        <v>40.552121804047047</v>
      </c>
      <c r="N59" s="1">
        <f t="shared" si="0"/>
        <v>1736</v>
      </c>
      <c r="O59" s="1">
        <f t="shared" si="1"/>
        <v>0.99339901038694345</v>
      </c>
      <c r="P59" s="1">
        <f t="shared" si="2"/>
        <v>0.98962736941736873</v>
      </c>
      <c r="R59" s="1">
        <f t="shared" si="3"/>
        <v>1.2201471413853342E-3</v>
      </c>
      <c r="V59" s="1">
        <f t="shared" si="4"/>
        <v>303</v>
      </c>
      <c r="W59" s="1">
        <f t="shared" si="10"/>
        <v>57.866666666666667</v>
      </c>
      <c r="X59" s="1">
        <f t="shared" si="5"/>
        <v>1.8728107888026571E-4</v>
      </c>
      <c r="Y59" s="1">
        <f t="shared" si="6"/>
        <v>541</v>
      </c>
      <c r="Z59" s="129"/>
      <c r="AA59" s="1">
        <f t="shared" si="7"/>
        <v>16428.19724554379</v>
      </c>
      <c r="AC59" s="1">
        <f t="shared" si="8"/>
        <v>0</v>
      </c>
      <c r="AD59" s="141"/>
      <c r="AE59" s="3">
        <f t="shared" si="11"/>
        <v>1244426.2763277129</v>
      </c>
      <c r="AF59" s="1">
        <f t="shared" si="9"/>
        <v>3.5555036466506085</v>
      </c>
    </row>
    <row r="60" spans="1:32" x14ac:dyDescent="0.3">
      <c r="A60" s="2">
        <v>45566</v>
      </c>
      <c r="B60" s="3">
        <v>1120.1174506129032</v>
      </c>
      <c r="C60" s="3">
        <v>551.78106451612905</v>
      </c>
      <c r="D60" s="3">
        <v>568.33638609677416</v>
      </c>
      <c r="E60" s="3">
        <v>4040.3870967741937</v>
      </c>
      <c r="F60" s="1">
        <v>0</v>
      </c>
      <c r="G60" s="3">
        <v>17105.213</v>
      </c>
      <c r="H60" s="10">
        <v>2.2886791699999998E-3</v>
      </c>
      <c r="I60" s="3">
        <v>125252</v>
      </c>
      <c r="J60" s="3">
        <v>17618.427969</v>
      </c>
      <c r="K60" s="3">
        <v>50.738999359914736</v>
      </c>
      <c r="L60" s="3">
        <v>46.056721398324591</v>
      </c>
      <c r="N60" s="1">
        <f t="shared" si="0"/>
        <v>1766</v>
      </c>
      <c r="O60" s="1">
        <f t="shared" si="1"/>
        <v>1.0300034246285035</v>
      </c>
      <c r="P60" s="1">
        <f t="shared" si="2"/>
        <v>-3.129819099041534</v>
      </c>
      <c r="R60" s="1">
        <f t="shared" si="3"/>
        <v>-7.831101251473235E-5</v>
      </c>
      <c r="V60" s="1">
        <f t="shared" si="4"/>
        <v>273</v>
      </c>
      <c r="W60" s="1">
        <f t="shared" si="10"/>
        <v>58.866666666666667</v>
      </c>
      <c r="X60" s="1">
        <f t="shared" si="5"/>
        <v>7.2278631874779362E-5</v>
      </c>
      <c r="Y60" s="1">
        <f t="shared" si="6"/>
        <v>541</v>
      </c>
      <c r="Z60" s="129"/>
      <c r="AA60" s="1">
        <f t="shared" si="7"/>
        <v>16199.804960496645</v>
      </c>
      <c r="AC60" s="1">
        <f t="shared" si="8"/>
        <v>0</v>
      </c>
      <c r="AD60" s="141"/>
      <c r="AE60" s="3">
        <f t="shared" si="11"/>
        <v>1261531.4893277129</v>
      </c>
      <c r="AF60" s="1">
        <f t="shared" si="9"/>
        <v>3.6043756837934655</v>
      </c>
    </row>
    <row r="61" spans="1:32" x14ac:dyDescent="0.3">
      <c r="A61" s="2">
        <v>45597</v>
      </c>
      <c r="B61" s="3">
        <v>1116.0063674999999</v>
      </c>
      <c r="C61" s="3">
        <v>550.41413333333333</v>
      </c>
      <c r="D61" s="3">
        <v>565.59223416666669</v>
      </c>
      <c r="E61" s="3">
        <v>3856.1666666666665</v>
      </c>
      <c r="F61" s="1">
        <v>0</v>
      </c>
      <c r="G61" s="3">
        <v>16512.423999999999</v>
      </c>
      <c r="H61" s="10">
        <v>2.2093639409999999E-3</v>
      </c>
      <c r="I61" s="3">
        <v>115685</v>
      </c>
      <c r="J61" s="3">
        <v>16967.767025000001</v>
      </c>
      <c r="K61" s="3">
        <v>50.680018558824813</v>
      </c>
      <c r="L61" s="3">
        <v>44.065941681245583</v>
      </c>
      <c r="N61" s="1">
        <f t="shared" si="0"/>
        <v>1797</v>
      </c>
      <c r="O61" s="1">
        <f t="shared" si="1"/>
        <v>1.0275757832405468</v>
      </c>
      <c r="P61" s="1">
        <f t="shared" si="2"/>
        <v>-2.8276131266852289</v>
      </c>
      <c r="R61" s="1">
        <f t="shared" si="3"/>
        <v>-3.4618434655245317E-3</v>
      </c>
      <c r="V61" s="1">
        <f t="shared" si="4"/>
        <v>242</v>
      </c>
      <c r="W61" s="1">
        <f t="shared" si="10"/>
        <v>59.9</v>
      </c>
      <c r="X61" s="1">
        <f t="shared" si="5"/>
        <v>7.128795759315833E-5</v>
      </c>
      <c r="Y61" s="1">
        <f t="shared" si="6"/>
        <v>541</v>
      </c>
      <c r="Z61" s="129"/>
      <c r="AA61" s="1">
        <f t="shared" si="7"/>
        <v>15967.134820586074</v>
      </c>
      <c r="AC61" s="1">
        <f t="shared" si="8"/>
        <v>0</v>
      </c>
      <c r="AD61" s="141"/>
      <c r="AE61" s="3">
        <f t="shared" si="11"/>
        <v>1278043.913327713</v>
      </c>
      <c r="AF61" s="1">
        <f t="shared" si="9"/>
        <v>3.6515540380791802</v>
      </c>
    </row>
    <row r="62" spans="1:32" x14ac:dyDescent="0.3">
      <c r="A62" s="2">
        <v>45627</v>
      </c>
      <c r="B62" s="3">
        <v>1031.5401258387096</v>
      </c>
      <c r="C62" s="3">
        <v>536.22141935483876</v>
      </c>
      <c r="D62" s="3">
        <v>495.31870648387098</v>
      </c>
      <c r="E62" s="3">
        <v>3144.7096774193546</v>
      </c>
      <c r="F62" s="1">
        <v>0</v>
      </c>
      <c r="G62" s="3">
        <v>16622.864000000001</v>
      </c>
      <c r="H62" s="10">
        <v>2.224140829E-3</v>
      </c>
      <c r="I62" s="3">
        <v>97486</v>
      </c>
      <c r="J62" s="3">
        <v>15354.879901</v>
      </c>
      <c r="K62" s="3">
        <v>48.017395938053731</v>
      </c>
      <c r="L62" s="3">
        <v>36.886991483537365</v>
      </c>
      <c r="N62" s="1">
        <f t="shared" si="0"/>
        <v>1827</v>
      </c>
      <c r="O62" s="1">
        <f t="shared" si="1"/>
        <v>0.92372047927481082</v>
      </c>
      <c r="P62" s="1">
        <f t="shared" si="2"/>
        <v>5.6868452603965611</v>
      </c>
      <c r="R62" s="1">
        <f t="shared" si="3"/>
        <v>3.0528485219946937E-4</v>
      </c>
      <c r="V62" s="1">
        <f t="shared" si="4"/>
        <v>212</v>
      </c>
      <c r="W62" s="1">
        <f t="shared" si="10"/>
        <v>60.9</v>
      </c>
      <c r="X62" s="1">
        <f t="shared" si="5"/>
        <v>-4.1849562570741163E-5</v>
      </c>
      <c r="Y62" s="1">
        <f t="shared" si="6"/>
        <v>541</v>
      </c>
      <c r="Z62" s="129"/>
      <c r="AA62" s="1">
        <f t="shared" si="7"/>
        <v>15745.152435493959</v>
      </c>
      <c r="AC62" s="1">
        <f t="shared" si="8"/>
        <v>0</v>
      </c>
      <c r="AD62" s="141"/>
      <c r="AE62" s="3">
        <f t="shared" si="11"/>
        <v>1294666.7773277131</v>
      </c>
      <c r="AF62" s="1">
        <f t="shared" si="9"/>
        <v>3.6990479352220373</v>
      </c>
    </row>
    <row r="63" spans="1:32" x14ac:dyDescent="0.3">
      <c r="A63" s="2">
        <v>45658</v>
      </c>
      <c r="B63" s="3">
        <v>1064.8716282258063</v>
      </c>
      <c r="C63" s="3">
        <v>550.83812903225805</v>
      </c>
      <c r="D63" s="3">
        <v>514.03349919354832</v>
      </c>
      <c r="E63" s="3">
        <v>3460.1290322580644</v>
      </c>
      <c r="F63" s="1">
        <v>0</v>
      </c>
      <c r="G63" s="3">
        <v>17075.982</v>
      </c>
      <c r="H63" s="10">
        <v>2.2847680529999997E-3</v>
      </c>
      <c r="I63" s="3">
        <v>107264</v>
      </c>
      <c r="J63" s="3">
        <v>15935.038474999999</v>
      </c>
      <c r="K63" s="3">
        <v>48.271874803349291</v>
      </c>
      <c r="L63" s="3">
        <v>39.509827733479689</v>
      </c>
      <c r="N63" s="1">
        <f t="shared" si="0"/>
        <v>1858</v>
      </c>
      <c r="O63" s="1">
        <f t="shared" si="1"/>
        <v>0.93318430969299437</v>
      </c>
      <c r="P63" s="1">
        <f t="shared" si="2"/>
        <v>17.339837344627345</v>
      </c>
      <c r="R63" s="1">
        <f t="shared" si="3"/>
        <v>5.8167528684834983E-3</v>
      </c>
      <c r="V63" s="1">
        <f t="shared" si="4"/>
        <v>181</v>
      </c>
      <c r="W63" s="1">
        <f t="shared" si="10"/>
        <v>61.93333333333333</v>
      </c>
      <c r="X63" s="1">
        <f t="shared" si="5"/>
        <v>9.9567460964841877E-5</v>
      </c>
      <c r="Y63" s="1">
        <f t="shared" si="6"/>
        <v>541</v>
      </c>
      <c r="Z63" s="129"/>
      <c r="AA63" s="1">
        <f t="shared" si="7"/>
        <v>15519.012254855184</v>
      </c>
      <c r="AC63" s="1">
        <f t="shared" si="8"/>
        <v>0</v>
      </c>
      <c r="AD63" s="141"/>
      <c r="AE63" s="3">
        <f t="shared" si="11"/>
        <v>1311742.7593277132</v>
      </c>
      <c r="AF63" s="1">
        <f t="shared" si="9"/>
        <v>3.7478364552220373</v>
      </c>
    </row>
    <row r="64" spans="1:32" x14ac:dyDescent="0.3">
      <c r="A64" s="2">
        <v>45689</v>
      </c>
      <c r="B64" s="3">
        <v>1107.279507</v>
      </c>
      <c r="C64" s="3">
        <v>523.90707142857138</v>
      </c>
      <c r="D64" s="3">
        <v>583.37243557142858</v>
      </c>
      <c r="E64" s="3">
        <v>3313.2142857142858</v>
      </c>
      <c r="F64" s="1">
        <v>0</v>
      </c>
      <c r="G64" s="3">
        <v>14669.397999999999</v>
      </c>
      <c r="H64" s="10">
        <v>1.9627668880000003E-3</v>
      </c>
      <c r="I64" s="3">
        <v>92770</v>
      </c>
      <c r="J64" s="3">
        <v>16334.428196000001</v>
      </c>
      <c r="K64" s="3">
        <v>52.685201151422426</v>
      </c>
      <c r="L64" s="3">
        <v>39.777006936480966</v>
      </c>
      <c r="N64" s="1">
        <f t="shared" si="0"/>
        <v>1889</v>
      </c>
      <c r="O64" s="1">
        <f t="shared" si="1"/>
        <v>1.1135036486159828</v>
      </c>
      <c r="P64" s="1">
        <f t="shared" si="2"/>
        <v>11.580730422524955</v>
      </c>
      <c r="R64" s="1">
        <f t="shared" si="3"/>
        <v>1.2919223528791339E-2</v>
      </c>
      <c r="V64" s="1">
        <f t="shared" si="4"/>
        <v>150</v>
      </c>
      <c r="W64" s="1">
        <f t="shared" si="10"/>
        <v>62.966666666666669</v>
      </c>
      <c r="X64" s="1">
        <f t="shared" si="5"/>
        <v>-2.1403303236543816E-4</v>
      </c>
      <c r="Y64" s="1">
        <f t="shared" si="6"/>
        <v>541</v>
      </c>
      <c r="Z64" s="129"/>
      <c r="AA64" s="1">
        <f t="shared" si="7"/>
        <v>15296.120018719252</v>
      </c>
      <c r="AC64" s="1">
        <f t="shared" si="8"/>
        <v>0</v>
      </c>
      <c r="AD64" s="141"/>
      <c r="AE64" s="3">
        <f t="shared" si="11"/>
        <v>1326412.1573277132</v>
      </c>
      <c r="AF64" s="1">
        <f t="shared" si="9"/>
        <v>3.7897490209363234</v>
      </c>
    </row>
    <row r="65" spans="1:32" x14ac:dyDescent="0.3">
      <c r="A65" s="2">
        <v>45717</v>
      </c>
      <c r="B65" s="3">
        <v>1213.9710552903225</v>
      </c>
      <c r="C65" s="3">
        <v>490.44541935483875</v>
      </c>
      <c r="D65" s="3">
        <v>723.52563593548382</v>
      </c>
      <c r="E65" s="3">
        <v>2873.7419354838707</v>
      </c>
      <c r="F65" s="1">
        <v>0</v>
      </c>
      <c r="G65" s="3">
        <v>15203.808000000001</v>
      </c>
      <c r="H65" s="10">
        <v>2.0342709950000003E-3</v>
      </c>
      <c r="I65" s="3">
        <v>89086</v>
      </c>
      <c r="J65" s="3">
        <v>22429.294714</v>
      </c>
      <c r="K65" s="3">
        <v>59.599908315973138</v>
      </c>
      <c r="L65" s="3">
        <v>36.854788142549545</v>
      </c>
      <c r="N65" s="1">
        <f t="shared" si="0"/>
        <v>1917</v>
      </c>
      <c r="O65" s="1">
        <f t="shared" si="1"/>
        <v>1.4752419074221403</v>
      </c>
      <c r="P65" s="1">
        <f t="shared" si="2"/>
        <v>-2.3723413357654977</v>
      </c>
      <c r="R65" s="1">
        <f t="shared" si="3"/>
        <v>-1.795404133452572E-4</v>
      </c>
      <c r="V65" s="1">
        <f t="shared" si="4"/>
        <v>122</v>
      </c>
      <c r="W65" s="1">
        <f t="shared" si="10"/>
        <v>63.9</v>
      </c>
      <c r="X65" s="1">
        <f t="shared" si="5"/>
        <v>-8.0414165211432464E-4</v>
      </c>
      <c r="Y65" s="1">
        <f t="shared" si="6"/>
        <v>541</v>
      </c>
      <c r="Z65" s="129"/>
      <c r="AA65" s="1">
        <f t="shared" si="7"/>
        <v>15097.550860902415</v>
      </c>
      <c r="AC65" s="1">
        <f t="shared" si="8"/>
        <v>0</v>
      </c>
      <c r="AD65" s="141"/>
      <c r="AE65" s="3">
        <f t="shared" si="11"/>
        <v>1341615.9653277132</v>
      </c>
      <c r="AF65" s="1">
        <f t="shared" si="9"/>
        <v>3.833188472364895</v>
      </c>
    </row>
    <row r="66" spans="1:32" x14ac:dyDescent="0.3">
      <c r="A66" s="2">
        <v>45748</v>
      </c>
      <c r="B66" s="3">
        <v>1097.7244561666666</v>
      </c>
      <c r="C66" s="3">
        <v>444.48113333333333</v>
      </c>
      <c r="D66" s="3">
        <v>653.24332283333342</v>
      </c>
      <c r="E66" s="3">
        <v>2959.1</v>
      </c>
      <c r="F66" s="1">
        <v>0</v>
      </c>
      <c r="G66" s="3">
        <v>13334.433999999999</v>
      </c>
      <c r="H66" s="10">
        <v>1.7841485680000001E-3</v>
      </c>
      <c r="I66" s="3">
        <v>88773</v>
      </c>
      <c r="J66" s="3">
        <v>19597.299685000002</v>
      </c>
      <c r="K66" s="3">
        <v>59.508861186759596</v>
      </c>
      <c r="L66" s="3">
        <v>41.873874466662777</v>
      </c>
      <c r="N66" s="1">
        <f t="shared" si="0"/>
        <v>1948</v>
      </c>
      <c r="O66" s="1">
        <f t="shared" si="1"/>
        <v>1.4696761546084374</v>
      </c>
      <c r="P66" s="1">
        <f t="shared" si="2"/>
        <v>1.482991083878088</v>
      </c>
      <c r="R66" s="1">
        <f t="shared" si="3"/>
        <v>-2.2915763947780978E-3</v>
      </c>
      <c r="V66" s="1">
        <f t="shared" si="4"/>
        <v>91</v>
      </c>
      <c r="W66" s="1">
        <f t="shared" si="10"/>
        <v>64.933333333333337</v>
      </c>
      <c r="X66" s="1">
        <f t="shared" si="5"/>
        <v>-2.1594688954696371E-3</v>
      </c>
      <c r="Y66" s="1">
        <f t="shared" si="6"/>
        <v>541</v>
      </c>
      <c r="Z66" s="129"/>
      <c r="AA66" s="1">
        <f t="shared" si="7"/>
        <v>14880.711875514688</v>
      </c>
      <c r="AC66" s="1">
        <f t="shared" si="8"/>
        <v>0</v>
      </c>
      <c r="AD66" s="141"/>
      <c r="AE66" s="3">
        <f t="shared" si="11"/>
        <v>1354950.3993277131</v>
      </c>
      <c r="AF66" s="1">
        <f t="shared" si="9"/>
        <v>3.8712868552220372</v>
      </c>
    </row>
    <row r="67" spans="1:32" x14ac:dyDescent="0.3">
      <c r="A67" s="2">
        <v>45778</v>
      </c>
      <c r="B67" s="3">
        <v>1134.9150460645162</v>
      </c>
      <c r="C67" s="3">
        <v>472.69832258064514</v>
      </c>
      <c r="D67" s="3">
        <v>662.21672348387096</v>
      </c>
      <c r="E67" s="3">
        <v>2720.7741935483873</v>
      </c>
      <c r="F67" s="1">
        <v>0</v>
      </c>
      <c r="G67" s="3">
        <v>14653.647999999999</v>
      </c>
      <c r="H67" s="10">
        <v>1.9606595310000001E-3</v>
      </c>
      <c r="I67" s="3">
        <v>84344</v>
      </c>
      <c r="J67" s="3">
        <v>20528.718428</v>
      </c>
      <c r="K67" s="3">
        <v>58.349453184201252</v>
      </c>
      <c r="L67" s="3">
        <v>36.203059552133368</v>
      </c>
      <c r="N67" s="1">
        <f>A67 -$A$2</f>
        <v>1978</v>
      </c>
      <c r="O67" s="1">
        <f>D67/C67</f>
        <v>1.4009288627650944</v>
      </c>
      <c r="P67" s="1">
        <f>IF(OR(N69&lt;=0, N67&lt;=0)," ", (O69 - O67) / (LN(N69) - LN(N67)))</f>
        <v>5.502098014444635</v>
      </c>
      <c r="R67" s="1">
        <f>(O68-O67) / (N68-N67)</f>
        <v>3.6926987700959435E-3</v>
      </c>
      <c r="V67" s="1">
        <f t="shared" ref="V67:V71" si="12">_xlfn.DAYS($A$69,A67)</f>
        <v>61</v>
      </c>
      <c r="W67" s="1">
        <f t="shared" si="10"/>
        <v>65.933333333333337</v>
      </c>
      <c r="X67" s="1">
        <f>LN(C67 / $U$4) / V67</f>
        <v>-2.2124899941870545E-3</v>
      </c>
      <c r="Y67" s="1">
        <f xml:space="preserve">  $U$4 * EXP($AB$2 * V67)</f>
        <v>541</v>
      </c>
      <c r="Z67" s="129"/>
      <c r="AA67" s="1">
        <f t="shared" ref="AA67:AA130" si="13">36934*EXP(-0.014*W67)</f>
        <v>14673.83343732824</v>
      </c>
      <c r="AC67" s="1">
        <f t="shared" ref="AC67:AC130" si="14">(AB67*100)/(35*10^6)</f>
        <v>0</v>
      </c>
      <c r="AD67" s="141"/>
      <c r="AE67" s="3">
        <f t="shared" si="11"/>
        <v>1369604.0473277131</v>
      </c>
      <c r="AF67" s="1">
        <f t="shared" ref="AF67:AF130" si="15">(AE67*100)/(35*10^6)</f>
        <v>3.9131544209363232</v>
      </c>
    </row>
    <row r="68" spans="1:32" x14ac:dyDescent="0.3">
      <c r="A68" s="2">
        <v>45809</v>
      </c>
      <c r="B68" s="3">
        <v>1194.8928351333334</v>
      </c>
      <c r="C68" s="3">
        <v>475.03046666666671</v>
      </c>
      <c r="D68" s="3">
        <v>719.86236846666668</v>
      </c>
      <c r="E68" s="3">
        <v>2231.0333333333333</v>
      </c>
      <c r="F68" s="1">
        <v>0</v>
      </c>
      <c r="G68" s="3">
        <v>14250.914000000001</v>
      </c>
      <c r="H68" s="10">
        <v>1.9067736829999999E-3</v>
      </c>
      <c r="I68" s="3">
        <v>66931</v>
      </c>
      <c r="J68" s="3">
        <v>21595.871053999999</v>
      </c>
      <c r="K68" s="3">
        <v>60.244931369626975</v>
      </c>
      <c r="L68" s="3">
        <v>29.540744109465539</v>
      </c>
      <c r="N68" s="1">
        <f>A68 -$A$2</f>
        <v>2009</v>
      </c>
      <c r="O68" s="1">
        <f>D68/C68</f>
        <v>1.5154025246380687</v>
      </c>
      <c r="P68" s="1" t="str">
        <f>IF(OR(N70&lt;=0, N68&lt;=0)," ", (O70 - O68) / (LN(N70) - LN(N68)))</f>
        <v xml:space="preserve"> </v>
      </c>
      <c r="R68" s="1">
        <f>(O69-O68) / (N69-N68)</f>
        <v>1.7547660938916612E-3</v>
      </c>
      <c r="V68" s="1">
        <f t="shared" si="12"/>
        <v>30</v>
      </c>
      <c r="W68" s="1">
        <f t="shared" ref="W68:W71" si="16">($V$2-V68)/30</f>
        <v>66.966666666666669</v>
      </c>
      <c r="X68" s="1">
        <f>LN(C68 / $U$4) / V68</f>
        <v>-4.3346778839289113E-3</v>
      </c>
      <c r="Y68" s="1">
        <f xml:space="preserve">  $U$4 * EXP($AB$2 * V68)</f>
        <v>541</v>
      </c>
      <c r="Z68" s="129"/>
      <c r="AA68" s="1">
        <f t="shared" si="13"/>
        <v>14463.080104975594</v>
      </c>
      <c r="AC68" s="1">
        <f t="shared" si="14"/>
        <v>0</v>
      </c>
      <c r="AD68" s="141"/>
      <c r="AE68" s="3">
        <f t="shared" ref="AE68" si="17">AE67+G68</f>
        <v>1383854.9613277132</v>
      </c>
      <c r="AF68" s="1">
        <f t="shared" si="15"/>
        <v>3.9538713180791802</v>
      </c>
    </row>
    <row r="69" spans="1:32" x14ac:dyDescent="0.3">
      <c r="A69" s="2">
        <v>45839</v>
      </c>
      <c r="B69" s="3">
        <v>1218.5414039354839</v>
      </c>
      <c r="C69" s="3">
        <v>474.50148387096777</v>
      </c>
      <c r="D69" s="3">
        <v>744.03992006451608</v>
      </c>
      <c r="E69" s="3">
        <v>2634.1935483870966</v>
      </c>
      <c r="F69" s="1">
        <v>0</v>
      </c>
      <c r="G69" s="3">
        <v>14709.546</v>
      </c>
      <c r="H69" s="10">
        <v>1.9681386900000002E-3</v>
      </c>
      <c r="I69" s="3">
        <v>81660</v>
      </c>
      <c r="J69" s="3">
        <v>23065.237521999999</v>
      </c>
      <c r="K69" s="3">
        <v>61.059880087907928</v>
      </c>
      <c r="L69" s="3">
        <v>34.917805620921264</v>
      </c>
      <c r="N69" s="1">
        <f>A69 -$A$2</f>
        <v>2039</v>
      </c>
      <c r="O69" s="1">
        <f>D69/C69</f>
        <v>1.5680455074548185</v>
      </c>
      <c r="P69" s="1" t="str">
        <f>IF(OR(N71&lt;=0, N69&lt;=0)," ", (O71 - O69) / (LN(N71) - LN(N69)))</f>
        <v xml:space="preserve"> </v>
      </c>
      <c r="R69" s="1">
        <f>(O70-O69) / (N70-N69)</f>
        <v>7.6902673244473693E-4</v>
      </c>
      <c r="V69" s="1">
        <f t="shared" si="12"/>
        <v>0</v>
      </c>
      <c r="W69" s="1">
        <f t="shared" si="16"/>
        <v>67.966666666666669</v>
      </c>
      <c r="X69" s="1" t="e">
        <f>LN(C69 / $U$4) / V69</f>
        <v>#DIV/0!</v>
      </c>
      <c r="Y69" s="1">
        <f xml:space="preserve">  $U$4 * EXP($AB$2 * V69)</f>
        <v>541</v>
      </c>
      <c r="Z69" s="130"/>
      <c r="AA69" s="1">
        <f t="shared" si="13"/>
        <v>14262.00777399349</v>
      </c>
      <c r="AC69" s="1">
        <f t="shared" si="14"/>
        <v>0</v>
      </c>
      <c r="AD69" s="142"/>
      <c r="AE69" s="3">
        <f>AE68+G69</f>
        <v>1398564.5073277133</v>
      </c>
      <c r="AF69" s="1">
        <f t="shared" si="15"/>
        <v>3.9958985923648953</v>
      </c>
    </row>
    <row r="70" spans="1:32" x14ac:dyDescent="0.3">
      <c r="A70" s="2">
        <v>45870</v>
      </c>
      <c r="V70" s="1">
        <f t="shared" si="12"/>
        <v>-31</v>
      </c>
      <c r="W70" s="1">
        <f t="shared" si="16"/>
        <v>69</v>
      </c>
      <c r="X70" s="1" t="e">
        <f>LN(C70 / $U$4) / V70</f>
        <v>#NUM!</v>
      </c>
      <c r="Y70" s="1">
        <f xml:space="preserve">  $U$4 * EXP($AB$2 * V70)</f>
        <v>541</v>
      </c>
      <c r="AA70" s="1">
        <f t="shared" si="13"/>
        <v>14057.169298945641</v>
      </c>
      <c r="AB70" s="1">
        <f t="shared" ref="AB68:AB131" si="18">AB69+AA70</f>
        <v>14057.169298945641</v>
      </c>
      <c r="AC70" s="1">
        <f t="shared" si="14"/>
        <v>4.0163340854130397E-2</v>
      </c>
    </row>
    <row r="71" spans="1:32" x14ac:dyDescent="0.3">
      <c r="V71" s="1">
        <f t="shared" si="12"/>
        <v>45839</v>
      </c>
      <c r="W71" s="1">
        <f>W70+1</f>
        <v>70</v>
      </c>
      <c r="X71" s="1" t="e">
        <f>LN(C71 / $U$4) / V71</f>
        <v>#NUM!</v>
      </c>
      <c r="Y71" s="1">
        <f xml:space="preserve">  $U$4 * EXP($AB$2 * V71)</f>
        <v>541</v>
      </c>
      <c r="AA71" s="1">
        <f t="shared" si="13"/>
        <v>13861.740124977592</v>
      </c>
      <c r="AB71" s="1">
        <f t="shared" si="18"/>
        <v>27918.909423923233</v>
      </c>
      <c r="AC71" s="1">
        <f t="shared" si="14"/>
        <v>7.9768312639780667E-2</v>
      </c>
    </row>
    <row r="72" spans="1:32" x14ac:dyDescent="0.3">
      <c r="W72" s="1">
        <f t="shared" ref="W72:W135" si="19">W71+1</f>
        <v>71</v>
      </c>
      <c r="AA72" s="1">
        <f t="shared" si="13"/>
        <v>13669.027896450378</v>
      </c>
      <c r="AB72" s="1">
        <f t="shared" si="18"/>
        <v>41587.93732037361</v>
      </c>
      <c r="AC72" s="1">
        <f t="shared" si="14"/>
        <v>0.11882267805821033</v>
      </c>
    </row>
    <row r="73" spans="1:32" x14ac:dyDescent="0.3">
      <c r="W73" s="1">
        <f t="shared" si="19"/>
        <v>72</v>
      </c>
      <c r="AA73" s="1">
        <f t="shared" si="13"/>
        <v>13478.994841150272</v>
      </c>
      <c r="AB73" s="1">
        <f t="shared" si="18"/>
        <v>55066.93216152388</v>
      </c>
      <c r="AC73" s="1">
        <f t="shared" si="14"/>
        <v>0.15733409189006822</v>
      </c>
    </row>
    <row r="74" spans="1:32" x14ac:dyDescent="0.3">
      <c r="W74" s="1">
        <f t="shared" si="19"/>
        <v>73</v>
      </c>
      <c r="AA74" s="1">
        <f t="shared" si="13"/>
        <v>13291.603711990067</v>
      </c>
      <c r="AB74" s="1">
        <f t="shared" si="18"/>
        <v>68358.535873513945</v>
      </c>
      <c r="AC74" s="1">
        <f t="shared" si="14"/>
        <v>0.19531010249575415</v>
      </c>
    </row>
    <row r="75" spans="1:32" x14ac:dyDescent="0.3">
      <c r="W75" s="1">
        <f t="shared" si="19"/>
        <v>74</v>
      </c>
      <c r="AA75" s="1">
        <f t="shared" si="13"/>
        <v>13106.817779708545</v>
      </c>
      <c r="AB75" s="1">
        <f t="shared" si="18"/>
        <v>81465.353653222497</v>
      </c>
      <c r="AC75" s="1">
        <f t="shared" si="14"/>
        <v>0.23275815329492142</v>
      </c>
    </row>
    <row r="76" spans="1:32" x14ac:dyDescent="0.3">
      <c r="W76" s="1">
        <f t="shared" si="19"/>
        <v>75</v>
      </c>
      <c r="AA76" s="1">
        <f t="shared" si="13"/>
        <v>12924.60082567141</v>
      </c>
      <c r="AB76" s="1">
        <f t="shared" si="18"/>
        <v>94389.954478893909</v>
      </c>
      <c r="AC76" s="1">
        <f t="shared" si="14"/>
        <v>0.26968558422541117</v>
      </c>
    </row>
    <row r="77" spans="1:32" x14ac:dyDescent="0.3">
      <c r="W77" s="1">
        <f t="shared" si="19"/>
        <v>76</v>
      </c>
      <c r="AA77" s="1">
        <f t="shared" si="13"/>
        <v>12744.917134772335</v>
      </c>
      <c r="AB77" s="1">
        <f t="shared" si="18"/>
        <v>107134.87161366624</v>
      </c>
      <c r="AC77" s="1">
        <f t="shared" si="14"/>
        <v>0.30609963318190359</v>
      </c>
    </row>
    <row r="78" spans="1:32" x14ac:dyDescent="0.3">
      <c r="W78" s="1">
        <f t="shared" si="19"/>
        <v>77</v>
      </c>
      <c r="AA78" s="1">
        <f t="shared" si="13"/>
        <v>12567.73148843267</v>
      </c>
      <c r="AB78" s="1">
        <f t="shared" si="18"/>
        <v>119702.60310209892</v>
      </c>
      <c r="AC78" s="1">
        <f t="shared" si="14"/>
        <v>0.34200743743456835</v>
      </c>
    </row>
    <row r="79" spans="1:32" x14ac:dyDescent="0.3">
      <c r="W79" s="1">
        <f t="shared" si="19"/>
        <v>78</v>
      </c>
      <c r="AA79" s="1">
        <f t="shared" si="13"/>
        <v>12393.0091576985</v>
      </c>
      <c r="AB79" s="1">
        <f t="shared" si="18"/>
        <v>132095.6122597974</v>
      </c>
      <c r="AC79" s="1">
        <f t="shared" si="14"/>
        <v>0.37741603502799259</v>
      </c>
    </row>
    <row r="80" spans="1:32" x14ac:dyDescent="0.3">
      <c r="W80" s="1">
        <f t="shared" si="19"/>
        <v>79</v>
      </c>
      <c r="AA80" s="1">
        <f t="shared" si="13"/>
        <v>12220.715896433647</v>
      </c>
      <c r="AB80" s="1">
        <f t="shared" si="18"/>
        <v>144316.32815623106</v>
      </c>
      <c r="AC80" s="1">
        <f t="shared" si="14"/>
        <v>0.41233236616066016</v>
      </c>
    </row>
    <row r="81" spans="23:29" x14ac:dyDescent="0.3">
      <c r="W81" s="1">
        <f t="shared" si="19"/>
        <v>80</v>
      </c>
      <c r="AA81" s="1">
        <f t="shared" si="13"/>
        <v>12050.817934607339</v>
      </c>
      <c r="AB81" s="1">
        <f t="shared" si="18"/>
        <v>156367.14609083839</v>
      </c>
      <c r="AC81" s="1">
        <f t="shared" si="14"/>
        <v>0.44676327454525255</v>
      </c>
    </row>
    <row r="82" spans="23:29" x14ac:dyDescent="0.3">
      <c r="W82" s="1">
        <f t="shared" si="19"/>
        <v>81</v>
      </c>
      <c r="AA82" s="1">
        <f t="shared" si="13"/>
        <v>11883.281971675151</v>
      </c>
      <c r="AB82" s="1">
        <f t="shared" si="18"/>
        <v>168250.42806251353</v>
      </c>
      <c r="AC82" s="1">
        <f t="shared" si="14"/>
        <v>0.48071550875003871</v>
      </c>
    </row>
    <row r="83" spans="23:29" x14ac:dyDescent="0.3">
      <c r="W83" s="1">
        <f t="shared" si="19"/>
        <v>82</v>
      </c>
      <c r="AA83" s="1">
        <f t="shared" si="13"/>
        <v>11718.075170052005</v>
      </c>
      <c r="AB83" s="1">
        <f t="shared" si="18"/>
        <v>179968.50323256553</v>
      </c>
      <c r="AC83" s="1">
        <f t="shared" si="14"/>
        <v>0.5141957235216158</v>
      </c>
    </row>
    <row r="84" spans="23:29" x14ac:dyDescent="0.3">
      <c r="W84" s="1">
        <f t="shared" si="19"/>
        <v>83</v>
      </c>
      <c r="AA84" s="1">
        <f t="shared" si="13"/>
        <v>11555.165148675902</v>
      </c>
      <c r="AB84" s="1">
        <f t="shared" si="18"/>
        <v>191523.66838124144</v>
      </c>
      <c r="AC84" s="1">
        <f t="shared" si="14"/>
        <v>0.54721048108926129</v>
      </c>
    </row>
    <row r="85" spans="23:29" x14ac:dyDescent="0.3">
      <c r="W85" s="1">
        <f t="shared" si="19"/>
        <v>84</v>
      </c>
      <c r="AA85" s="1">
        <f t="shared" si="13"/>
        <v>11394.519976661115</v>
      </c>
      <c r="AB85" s="1">
        <f t="shared" si="18"/>
        <v>202918.18835790255</v>
      </c>
      <c r="AC85" s="1">
        <f t="shared" si="14"/>
        <v>0.5797662524511501</v>
      </c>
    </row>
    <row r="86" spans="23:29" x14ac:dyDescent="0.3">
      <c r="W86" s="1">
        <f t="shared" si="19"/>
        <v>85</v>
      </c>
      <c r="AA86" s="1">
        <f t="shared" si="13"/>
        <v>11236.108167039649</v>
      </c>
      <c r="AB86" s="1">
        <f t="shared" si="18"/>
        <v>214154.29652494218</v>
      </c>
      <c r="AC86" s="1">
        <f t="shared" si="14"/>
        <v>0.61186941864269195</v>
      </c>
    </row>
    <row r="87" spans="23:29" x14ac:dyDescent="0.3">
      <c r="W87" s="1">
        <f t="shared" si="19"/>
        <v>86</v>
      </c>
      <c r="AA87" s="1">
        <f t="shared" si="13"/>
        <v>11079.898670589682</v>
      </c>
      <c r="AB87" s="1">
        <f t="shared" si="18"/>
        <v>225234.19519553188</v>
      </c>
      <c r="AC87" s="1">
        <f t="shared" si="14"/>
        <v>0.643526271987234</v>
      </c>
    </row>
    <row r="88" spans="23:29" x14ac:dyDescent="0.3">
      <c r="W88" s="1">
        <f t="shared" si="19"/>
        <v>87</v>
      </c>
      <c r="AA88" s="1">
        <f t="shared" si="13"/>
        <v>10925.860869749835</v>
      </c>
      <c r="AB88" s="1">
        <f t="shared" si="18"/>
        <v>236160.05606528171</v>
      </c>
      <c r="AC88" s="1">
        <f t="shared" si="14"/>
        <v>0.67474301732937625</v>
      </c>
    </row>
    <row r="89" spans="23:29" x14ac:dyDescent="0.3">
      <c r="W89" s="1">
        <f t="shared" si="19"/>
        <v>88</v>
      </c>
      <c r="AA89" s="1">
        <f t="shared" si="13"/>
        <v>10773.964572618008</v>
      </c>
      <c r="AB89" s="1">
        <f t="shared" si="18"/>
        <v>246934.02063789972</v>
      </c>
      <c r="AC89" s="1">
        <f t="shared" si="14"/>
        <v>0.70552577325114207</v>
      </c>
    </row>
    <row r="90" spans="23:29" x14ac:dyDescent="0.3">
      <c r="W90" s="1">
        <f t="shared" si="19"/>
        <v>89</v>
      </c>
      <c r="AA90" s="1">
        <f t="shared" si="13"/>
        <v>10624.180007033692</v>
      </c>
      <c r="AB90" s="1">
        <f t="shared" si="18"/>
        <v>257558.20064493341</v>
      </c>
      <c r="AC90" s="1">
        <f t="shared" si="14"/>
        <v>0.73588057327123835</v>
      </c>
    </row>
    <row r="91" spans="23:29" x14ac:dyDescent="0.3">
      <c r="W91" s="1">
        <f t="shared" si="19"/>
        <v>90</v>
      </c>
      <c r="AA91" s="1">
        <f t="shared" si="13"/>
        <v>10476.47781474252</v>
      </c>
      <c r="AB91" s="1">
        <f t="shared" si="18"/>
        <v>268034.67845967592</v>
      </c>
      <c r="AC91" s="1">
        <f t="shared" si="14"/>
        <v>0.76581336702764546</v>
      </c>
    </row>
    <row r="92" spans="23:29" x14ac:dyDescent="0.3">
      <c r="W92" s="1">
        <f t="shared" si="19"/>
        <v>91</v>
      </c>
      <c r="AA92" s="1">
        <f t="shared" si="13"/>
        <v>10330.829045641953</v>
      </c>
      <c r="AB92" s="1">
        <f t="shared" si="18"/>
        <v>278365.50750531786</v>
      </c>
      <c r="AC92" s="1">
        <f t="shared" si="14"/>
        <v>0.7953300214437653</v>
      </c>
    </row>
    <row r="93" spans="23:29" x14ac:dyDescent="0.3">
      <c r="W93" s="1">
        <f t="shared" si="19"/>
        <v>92</v>
      </c>
      <c r="AA93" s="1">
        <f t="shared" si="13"/>
        <v>10187.205152106975</v>
      </c>
      <c r="AB93" s="1">
        <f t="shared" si="18"/>
        <v>288552.71265742485</v>
      </c>
      <c r="AC93" s="1">
        <f t="shared" si="14"/>
        <v>0.82443632187835669</v>
      </c>
    </row>
    <row r="94" spans="23:29" x14ac:dyDescent="0.3">
      <c r="W94" s="1">
        <f t="shared" si="19"/>
        <v>93</v>
      </c>
      <c r="AA94" s="1">
        <f t="shared" si="13"/>
        <v>10045.57798339466</v>
      </c>
      <c r="AB94" s="1">
        <f t="shared" si="18"/>
        <v>298598.29064081953</v>
      </c>
      <c r="AC94" s="1">
        <f t="shared" si="14"/>
        <v>0.85313797325948437</v>
      </c>
    </row>
    <row r="95" spans="23:29" x14ac:dyDescent="0.3">
      <c r="W95" s="1">
        <f t="shared" si="19"/>
        <v>94</v>
      </c>
      <c r="AA95" s="1">
        <f t="shared" si="13"/>
        <v>9905.9197801265473</v>
      </c>
      <c r="AB95" s="1">
        <f t="shared" si="18"/>
        <v>308504.21042094607</v>
      </c>
      <c r="AC95" s="1">
        <f t="shared" si="14"/>
        <v>0.88144060120270307</v>
      </c>
    </row>
    <row r="96" spans="23:29" x14ac:dyDescent="0.3">
      <c r="W96" s="1">
        <f t="shared" si="19"/>
        <v>95</v>
      </c>
      <c r="AA96" s="1">
        <f t="shared" si="13"/>
        <v>9768.2031688476982</v>
      </c>
      <c r="AB96" s="1">
        <f t="shared" si="18"/>
        <v>318272.41358979378</v>
      </c>
      <c r="AC96" s="1">
        <f t="shared" si="14"/>
        <v>0.90934975311369648</v>
      </c>
    </row>
    <row r="97" spans="23:29" x14ac:dyDescent="0.3">
      <c r="W97" s="1">
        <f t="shared" si="19"/>
        <v>96</v>
      </c>
      <c r="AA97" s="1">
        <f t="shared" si="13"/>
        <v>9632.4011566614208</v>
      </c>
      <c r="AB97" s="1">
        <f t="shared" si="18"/>
        <v>327904.81474645517</v>
      </c>
      <c r="AC97" s="1">
        <f t="shared" si="14"/>
        <v>0.9368708992755862</v>
      </c>
    </row>
    <row r="98" spans="23:29" x14ac:dyDescent="0.3">
      <c r="W98" s="1">
        <f t="shared" si="19"/>
        <v>97</v>
      </c>
      <c r="AA98" s="1">
        <f t="shared" si="13"/>
        <v>9498.4871259385764</v>
      </c>
      <c r="AB98" s="1">
        <f t="shared" si="18"/>
        <v>337403.30187239376</v>
      </c>
      <c r="AC98" s="1">
        <f t="shared" si="14"/>
        <v>0.96400943392112515</v>
      </c>
    </row>
    <row r="99" spans="23:29" x14ac:dyDescent="0.3">
      <c r="W99" s="1">
        <f t="shared" si="19"/>
        <v>98</v>
      </c>
      <c r="AA99" s="1">
        <f t="shared" si="13"/>
        <v>9366.4348291004389</v>
      </c>
      <c r="AB99" s="1">
        <f t="shared" si="18"/>
        <v>346769.7367014942</v>
      </c>
      <c r="AC99" s="1">
        <f t="shared" si="14"/>
        <v>0.9907706762899835</v>
      </c>
    </row>
    <row r="100" spans="23:29" x14ac:dyDescent="0.3">
      <c r="W100" s="1">
        <f t="shared" si="19"/>
        <v>99</v>
      </c>
      <c r="AA100" s="1">
        <f t="shared" si="13"/>
        <v>9236.2183834740827</v>
      </c>
      <c r="AB100" s="1">
        <f t="shared" si="18"/>
        <v>356005.9550849683</v>
      </c>
      <c r="AC100" s="1">
        <f t="shared" si="14"/>
        <v>1.0171598716713379</v>
      </c>
    </row>
    <row r="101" spans="23:29" x14ac:dyDescent="0.3">
      <c r="W101" s="1">
        <f t="shared" si="19"/>
        <v>100</v>
      </c>
      <c r="AA101" s="1">
        <f t="shared" si="13"/>
        <v>9107.8122662192927</v>
      </c>
      <c r="AB101" s="1">
        <f t="shared" si="18"/>
        <v>365113.76735118759</v>
      </c>
      <c r="AC101" s="1">
        <f t="shared" si="14"/>
        <v>1.0431821924319646</v>
      </c>
    </row>
    <row r="102" spans="23:29" x14ac:dyDescent="0.3">
      <c r="W102" s="1">
        <f t="shared" si="19"/>
        <v>101</v>
      </c>
      <c r="AA102" s="1">
        <f t="shared" si="13"/>
        <v>8981.1913093260173</v>
      </c>
      <c r="AB102" s="1">
        <f t="shared" si="18"/>
        <v>374094.95866051363</v>
      </c>
      <c r="AC102" s="1">
        <f t="shared" si="14"/>
        <v>1.0688427390300388</v>
      </c>
    </row>
    <row r="103" spans="23:29" x14ac:dyDescent="0.3">
      <c r="W103" s="1">
        <f t="shared" si="19"/>
        <v>102</v>
      </c>
      <c r="AA103" s="1">
        <f t="shared" si="13"/>
        <v>8856.3306946813427</v>
      </c>
      <c r="AB103" s="1">
        <f t="shared" si="18"/>
        <v>382951.28935519495</v>
      </c>
      <c r="AC103" s="1">
        <f t="shared" si="14"/>
        <v>1.0941465410148428</v>
      </c>
    </row>
    <row r="104" spans="23:29" x14ac:dyDescent="0.3">
      <c r="W104" s="1">
        <f t="shared" si="19"/>
        <v>103</v>
      </c>
      <c r="AA104" s="1">
        <f t="shared" si="13"/>
        <v>8733.2059492050776</v>
      </c>
      <c r="AB104" s="1">
        <f t="shared" si="18"/>
        <v>391684.49530440004</v>
      </c>
      <c r="AC104" s="1">
        <f t="shared" si="14"/>
        <v>1.1190985580125714</v>
      </c>
    </row>
    <row r="105" spans="23:29" x14ac:dyDescent="0.3">
      <c r="W105" s="1">
        <f t="shared" si="19"/>
        <v>104</v>
      </c>
      <c r="AA105" s="1">
        <f t="shared" si="13"/>
        <v>8611.7929400529429</v>
      </c>
      <c r="AB105" s="1">
        <f t="shared" si="18"/>
        <v>400296.28824445297</v>
      </c>
      <c r="AC105" s="1">
        <f t="shared" si="14"/>
        <v>1.1437036806984371</v>
      </c>
    </row>
    <row r="106" spans="23:29" x14ac:dyDescent="0.3">
      <c r="W106" s="1">
        <f t="shared" si="19"/>
        <v>105</v>
      </c>
      <c r="AA106" s="1">
        <f t="shared" si="13"/>
        <v>8492.0678698864576</v>
      </c>
      <c r="AB106" s="1">
        <f t="shared" si="18"/>
        <v>408788.35611433943</v>
      </c>
      <c r="AC106" s="1">
        <f t="shared" si="14"/>
        <v>1.1679667317552556</v>
      </c>
    </row>
    <row r="107" spans="23:29" x14ac:dyDescent="0.3">
      <c r="W107" s="1">
        <f t="shared" si="19"/>
        <v>106</v>
      </c>
      <c r="AA107" s="1">
        <f t="shared" si="13"/>
        <v>8374.0072722085897</v>
      </c>
      <c r="AB107" s="1">
        <f t="shared" si="18"/>
        <v>417162.36338654801</v>
      </c>
      <c r="AC107" s="1">
        <f t="shared" si="14"/>
        <v>1.1918924668187085</v>
      </c>
    </row>
    <row r="108" spans="23:29" x14ac:dyDescent="0.3">
      <c r="W108" s="1">
        <f t="shared" si="19"/>
        <v>107</v>
      </c>
      <c r="AA108" s="1">
        <f t="shared" si="13"/>
        <v>8257.5880067642374</v>
      </c>
      <c r="AB108" s="1">
        <f t="shared" si="18"/>
        <v>425419.95139331225</v>
      </c>
      <c r="AC108" s="1">
        <f t="shared" si="14"/>
        <v>1.2154855754094636</v>
      </c>
    </row>
    <row r="109" spans="23:29" x14ac:dyDescent="0.3">
      <c r="W109" s="1">
        <f t="shared" si="19"/>
        <v>108</v>
      </c>
      <c r="AA109" s="1">
        <f t="shared" si="13"/>
        <v>8142.7872550046741</v>
      </c>
      <c r="AB109" s="1">
        <f t="shared" si="18"/>
        <v>433562.73864831694</v>
      </c>
      <c r="AC109" s="1">
        <f t="shared" si="14"/>
        <v>1.2387506818523342</v>
      </c>
    </row>
    <row r="110" spans="23:29" x14ac:dyDescent="0.3">
      <c r="W110" s="1">
        <f t="shared" si="19"/>
        <v>109</v>
      </c>
      <c r="AA110" s="1">
        <f t="shared" si="13"/>
        <v>8029.5825156150404</v>
      </c>
      <c r="AB110" s="1">
        <f t="shared" si="18"/>
        <v>441592.32116393198</v>
      </c>
      <c r="AC110" s="1">
        <f t="shared" si="14"/>
        <v>1.2616923461826628</v>
      </c>
    </row>
    <row r="111" spans="23:29" x14ac:dyDescent="0.3">
      <c r="W111" s="1">
        <f t="shared" si="19"/>
        <v>110</v>
      </c>
      <c r="AA111" s="1">
        <f t="shared" si="13"/>
        <v>7917.9516001040038</v>
      </c>
      <c r="AB111" s="1">
        <f t="shared" si="18"/>
        <v>449510.27276403597</v>
      </c>
      <c r="AC111" s="1">
        <f t="shared" si="14"/>
        <v>1.2843150650401027</v>
      </c>
    </row>
    <row r="112" spans="23:29" x14ac:dyDescent="0.3">
      <c r="W112" s="1">
        <f t="shared" si="19"/>
        <v>111</v>
      </c>
      <c r="AA112" s="1">
        <f t="shared" si="13"/>
        <v>7807.8726284547556</v>
      </c>
      <c r="AB112" s="1">
        <f t="shared" si="18"/>
        <v>457318.14539249073</v>
      </c>
      <c r="AC112" s="1">
        <f t="shared" si="14"/>
        <v>1.3066232725499733</v>
      </c>
    </row>
    <row r="113" spans="23:29" x14ac:dyDescent="0.3">
      <c r="W113" s="1">
        <f t="shared" si="19"/>
        <v>112</v>
      </c>
      <c r="AA113" s="1">
        <f t="shared" si="13"/>
        <v>7699.3240248364509</v>
      </c>
      <c r="AB113" s="1">
        <f t="shared" si="18"/>
        <v>465017.4694173272</v>
      </c>
      <c r="AC113" s="1">
        <f t="shared" si="14"/>
        <v>1.3286213411923635</v>
      </c>
    </row>
    <row r="114" spans="23:29" x14ac:dyDescent="0.3">
      <c r="W114" s="1">
        <f t="shared" si="19"/>
        <v>113</v>
      </c>
      <c r="AA114" s="1">
        <f t="shared" si="13"/>
        <v>7592.284513375278</v>
      </c>
      <c r="AB114" s="1">
        <f t="shared" si="18"/>
        <v>472609.75393070246</v>
      </c>
      <c r="AC114" s="1">
        <f t="shared" si="14"/>
        <v>1.3503135826591499</v>
      </c>
    </row>
    <row r="115" spans="23:29" x14ac:dyDescent="0.3">
      <c r="W115" s="1">
        <f t="shared" si="19"/>
        <v>114</v>
      </c>
      <c r="AA115" s="1">
        <f t="shared" si="13"/>
        <v>7486.7331139843191</v>
      </c>
      <c r="AB115" s="1">
        <f t="shared" si="18"/>
        <v>480096.4870446868</v>
      </c>
      <c r="AC115" s="1">
        <f t="shared" si="14"/>
        <v>1.3717042486991051</v>
      </c>
    </row>
    <row r="116" spans="23:29" x14ac:dyDescent="0.3">
      <c r="W116" s="1">
        <f t="shared" si="19"/>
        <v>115</v>
      </c>
      <c r="AA116" s="1">
        <f t="shared" si="13"/>
        <v>7382.6491382513868</v>
      </c>
      <c r="AB116" s="1">
        <f t="shared" si="18"/>
        <v>487479.13618293818</v>
      </c>
      <c r="AC116" s="1">
        <f t="shared" si="14"/>
        <v>1.3927975319512518</v>
      </c>
    </row>
    <row r="117" spans="23:29" x14ac:dyDescent="0.3">
      <c r="W117" s="1">
        <f t="shared" si="19"/>
        <v>116</v>
      </c>
      <c r="AA117" s="1">
        <f t="shared" si="13"/>
        <v>7280.0121853840255</v>
      </c>
      <c r="AB117" s="1">
        <f t="shared" si="18"/>
        <v>494759.14836832223</v>
      </c>
      <c r="AC117" s="1">
        <f t="shared" si="14"/>
        <v>1.4135975667666349</v>
      </c>
    </row>
    <row r="118" spans="23:29" x14ac:dyDescent="0.3">
      <c r="W118" s="1">
        <f t="shared" si="19"/>
        <v>117</v>
      </c>
      <c r="AA118" s="1">
        <f t="shared" si="13"/>
        <v>7178.8021382108982</v>
      </c>
      <c r="AB118" s="1">
        <f t="shared" si="18"/>
        <v>501937.95050653315</v>
      </c>
      <c r="AC118" s="1">
        <f t="shared" si="14"/>
        <v>1.4341084300186662</v>
      </c>
    </row>
    <row r="119" spans="23:29" x14ac:dyDescent="0.3">
      <c r="W119" s="1">
        <f t="shared" si="19"/>
        <v>118</v>
      </c>
      <c r="AA119" s="1">
        <f t="shared" si="13"/>
        <v>7078.9991592387487</v>
      </c>
      <c r="AB119" s="1">
        <f t="shared" si="18"/>
        <v>509016.94966577191</v>
      </c>
      <c r="AC119" s="1">
        <f t="shared" si="14"/>
        <v>1.4543341419022056</v>
      </c>
    </row>
    <row r="120" spans="23:29" x14ac:dyDescent="0.3">
      <c r="W120" s="1">
        <f t="shared" si="19"/>
        <v>119</v>
      </c>
      <c r="AA120" s="1">
        <f t="shared" si="13"/>
        <v>6980.5836867641956</v>
      </c>
      <c r="AB120" s="1">
        <f t="shared" si="18"/>
        <v>515997.53335253609</v>
      </c>
      <c r="AC120" s="1">
        <f t="shared" si="14"/>
        <v>1.4742786667215317</v>
      </c>
    </row>
    <row r="121" spans="23:29" x14ac:dyDescent="0.3">
      <c r="W121" s="1">
        <f t="shared" si="19"/>
        <v>120</v>
      </c>
      <c r="AA121" s="1">
        <f t="shared" si="13"/>
        <v>6883.536431039568</v>
      </c>
      <c r="AB121" s="1">
        <f t="shared" si="18"/>
        <v>522881.06978357566</v>
      </c>
      <c r="AC121" s="1">
        <f t="shared" si="14"/>
        <v>1.4939459136673592</v>
      </c>
    </row>
    <row r="122" spans="23:29" x14ac:dyDescent="0.3">
      <c r="W122" s="1">
        <f t="shared" si="19"/>
        <v>121</v>
      </c>
      <c r="AA122" s="1">
        <f t="shared" si="13"/>
        <v>6787.8383704920634</v>
      </c>
      <c r="AB122" s="1">
        <f t="shared" si="18"/>
        <v>529668.9081540677</v>
      </c>
      <c r="AC122" s="1">
        <f t="shared" si="14"/>
        <v>1.5133397375830506</v>
      </c>
    </row>
    <row r="123" spans="23:29" x14ac:dyDescent="0.3">
      <c r="W123" s="1">
        <f t="shared" si="19"/>
        <v>122</v>
      </c>
      <c r="AA123" s="1">
        <f t="shared" si="13"/>
        <v>6693.4707479954495</v>
      </c>
      <c r="AB123" s="1">
        <f t="shared" si="18"/>
        <v>536362.37890206312</v>
      </c>
      <c r="AC123" s="1">
        <f t="shared" si="14"/>
        <v>1.5324639397201805</v>
      </c>
    </row>
    <row r="124" spans="23:29" x14ac:dyDescent="0.3">
      <c r="W124" s="1">
        <f t="shared" si="19"/>
        <v>123</v>
      </c>
      <c r="AA124" s="1">
        <f t="shared" si="13"/>
        <v>6600.415067193614</v>
      </c>
      <c r="AB124" s="1">
        <f t="shared" si="18"/>
        <v>542962.79396925669</v>
      </c>
      <c r="AC124" s="1">
        <f t="shared" si="14"/>
        <v>1.5513222684835903</v>
      </c>
    </row>
    <row r="125" spans="23:29" x14ac:dyDescent="0.3">
      <c r="W125" s="1">
        <f t="shared" si="19"/>
        <v>124</v>
      </c>
      <c r="AA125" s="1">
        <f t="shared" si="13"/>
        <v>6508.653088875215</v>
      </c>
      <c r="AB125" s="1">
        <f t="shared" si="18"/>
        <v>549471.44705813192</v>
      </c>
      <c r="AC125" s="1">
        <f t="shared" si="14"/>
        <v>1.5699184201660912</v>
      </c>
    </row>
    <row r="126" spans="23:29" x14ac:dyDescent="0.3">
      <c r="W126" s="1">
        <f t="shared" si="19"/>
        <v>125</v>
      </c>
      <c r="AA126" s="1">
        <f t="shared" si="13"/>
        <v>6418.1668273987407</v>
      </c>
      <c r="AB126" s="1">
        <f t="shared" si="18"/>
        <v>555889.61388553062</v>
      </c>
      <c r="AC126" s="1">
        <f t="shared" si="14"/>
        <v>1.5882560396729446</v>
      </c>
    </row>
    <row r="127" spans="23:29" x14ac:dyDescent="0.3">
      <c r="W127" s="1">
        <f t="shared" si="19"/>
        <v>126</v>
      </c>
      <c r="AA127" s="1">
        <f t="shared" si="13"/>
        <v>6328.9385471672613</v>
      </c>
      <c r="AB127" s="1">
        <f t="shared" si="18"/>
        <v>562218.55243269785</v>
      </c>
      <c r="AC127" s="1">
        <f t="shared" si="14"/>
        <v>1.6063387212362796</v>
      </c>
    </row>
    <row r="128" spans="23:29" x14ac:dyDescent="0.3">
      <c r="W128" s="1">
        <f t="shared" si="19"/>
        <v>127</v>
      </c>
      <c r="AA128" s="1">
        <f t="shared" si="13"/>
        <v>6240.9507591522015</v>
      </c>
      <c r="AB128" s="1">
        <f t="shared" si="18"/>
        <v>568459.50319185003</v>
      </c>
      <c r="AC128" s="1">
        <f t="shared" si="14"/>
        <v>1.6241700091195714</v>
      </c>
    </row>
    <row r="129" spans="23:29" x14ac:dyDescent="0.3">
      <c r="W129" s="1">
        <f t="shared" si="19"/>
        <v>128</v>
      </c>
      <c r="AA129" s="1">
        <f t="shared" si="13"/>
        <v>6154.1862174654289</v>
      </c>
      <c r="AB129" s="1">
        <f t="shared" si="18"/>
        <v>574613.68940931547</v>
      </c>
      <c r="AC129" s="1">
        <f t="shared" si="14"/>
        <v>1.6417533983123298</v>
      </c>
    </row>
    <row r="130" spans="23:29" x14ac:dyDescent="0.3">
      <c r="W130" s="1">
        <f t="shared" si="19"/>
        <v>129</v>
      </c>
      <c r="AA130" s="1">
        <f t="shared" si="13"/>
        <v>6068.627915979011</v>
      </c>
      <c r="AB130" s="1">
        <f t="shared" si="18"/>
        <v>580682.31732529448</v>
      </c>
      <c r="AC130" s="1">
        <f t="shared" si="14"/>
        <v>1.659092335215127</v>
      </c>
    </row>
    <row r="131" spans="23:29" x14ac:dyDescent="0.3">
      <c r="W131" s="1">
        <f t="shared" si="19"/>
        <v>130</v>
      </c>
      <c r="AA131" s="1">
        <f t="shared" ref="AA131:AA194" si="20">36934*EXP(-0.014*W131)</f>
        <v>5984.2590849919516</v>
      </c>
      <c r="AB131" s="1">
        <f t="shared" si="18"/>
        <v>586666.57641028648</v>
      </c>
      <c r="AC131" s="1">
        <f t="shared" ref="AC131:AC194" si="21">(AB131*100)/(35*10^6)</f>
        <v>1.6761902183151043</v>
      </c>
    </row>
    <row r="132" spans="23:29" x14ac:dyDescent="0.3">
      <c r="W132" s="1">
        <f t="shared" si="19"/>
        <v>131</v>
      </c>
      <c r="AA132" s="1">
        <f t="shared" si="20"/>
        <v>5901.0631879432849</v>
      </c>
      <c r="AB132" s="1">
        <f t="shared" ref="AB132:AB195" si="22">AB131+AA132</f>
        <v>592567.63959822978</v>
      </c>
      <c r="AC132" s="1">
        <f t="shared" si="21"/>
        <v>1.6930503988520851</v>
      </c>
    </row>
    <row r="133" spans="23:29" x14ac:dyDescent="0.3">
      <c r="W133" s="1">
        <f t="shared" si="19"/>
        <v>132</v>
      </c>
      <c r="AA133" s="1">
        <f t="shared" si="20"/>
        <v>5819.0239181708484</v>
      </c>
      <c r="AB133" s="1">
        <f t="shared" si="22"/>
        <v>598386.66351640061</v>
      </c>
      <c r="AC133" s="1">
        <f t="shared" si="21"/>
        <v>1.7096761814754302</v>
      </c>
    </row>
    <row r="134" spans="23:29" x14ac:dyDescent="0.3">
      <c r="W134" s="1">
        <f t="shared" si="19"/>
        <v>133</v>
      </c>
      <c r="AA134" s="1">
        <f t="shared" si="20"/>
        <v>5738.1251957151298</v>
      </c>
      <c r="AB134" s="1">
        <f t="shared" si="22"/>
        <v>604124.78871211573</v>
      </c>
      <c r="AC134" s="1">
        <f t="shared" si="21"/>
        <v>1.7260708248917593</v>
      </c>
    </row>
    <row r="135" spans="23:29" x14ac:dyDescent="0.3">
      <c r="W135" s="1">
        <f t="shared" si="19"/>
        <v>134</v>
      </c>
      <c r="AA135" s="1">
        <f t="shared" si="20"/>
        <v>5658.3511641675432</v>
      </c>
      <c r="AB135" s="1">
        <f t="shared" si="22"/>
        <v>609783.13987628324</v>
      </c>
      <c r="AC135" s="1">
        <f t="shared" si="21"/>
        <v>1.7422375425036665</v>
      </c>
    </row>
    <row r="136" spans="23:29" x14ac:dyDescent="0.3">
      <c r="W136" s="1">
        <f t="shared" ref="W136:W199" si="23">W135+1</f>
        <v>135</v>
      </c>
      <c r="AA136" s="1">
        <f t="shared" si="20"/>
        <v>5579.68618756252</v>
      </c>
      <c r="AB136" s="1">
        <f t="shared" si="22"/>
        <v>615362.82606384577</v>
      </c>
      <c r="AC136" s="1">
        <f t="shared" si="21"/>
        <v>1.7581795030395593</v>
      </c>
    </row>
    <row r="137" spans="23:29" x14ac:dyDescent="0.3">
      <c r="W137" s="1">
        <f t="shared" si="23"/>
        <v>136</v>
      </c>
      <c r="AA137" s="1">
        <f t="shared" si="20"/>
        <v>5502.1148473128114</v>
      </c>
      <c r="AB137" s="1">
        <f t="shared" si="22"/>
        <v>620864.94091115857</v>
      </c>
      <c r="AC137" s="1">
        <f t="shared" si="21"/>
        <v>1.7738998311747387</v>
      </c>
    </row>
    <row r="138" spans="23:29" x14ac:dyDescent="0.3">
      <c r="W138" s="1">
        <f t="shared" si="23"/>
        <v>137</v>
      </c>
      <c r="AA138" s="1">
        <f t="shared" si="20"/>
        <v>5425.6219391873947</v>
      </c>
      <c r="AB138" s="1">
        <f t="shared" si="22"/>
        <v>626290.56285034597</v>
      </c>
      <c r="AC138" s="1">
        <f t="shared" si="21"/>
        <v>1.7894016081438455</v>
      </c>
    </row>
    <row r="139" spans="23:29" x14ac:dyDescent="0.3">
      <c r="W139" s="1">
        <f t="shared" si="23"/>
        <v>138</v>
      </c>
      <c r="AA139" s="1">
        <f t="shared" si="20"/>
        <v>5350.192470331398</v>
      </c>
      <c r="AB139" s="1">
        <f t="shared" si="22"/>
        <v>631640.75532067742</v>
      </c>
      <c r="AC139" s="1">
        <f t="shared" si="21"/>
        <v>1.8046878723447926</v>
      </c>
    </row>
    <row r="140" spans="23:29" x14ac:dyDescent="0.3">
      <c r="W140" s="1">
        <f t="shared" si="23"/>
        <v>139</v>
      </c>
      <c r="AA140" s="1">
        <f t="shared" si="20"/>
        <v>5275.8116563274452</v>
      </c>
      <c r="AB140" s="1">
        <f t="shared" si="22"/>
        <v>636916.56697700487</v>
      </c>
      <c r="AC140" s="1">
        <f t="shared" si="21"/>
        <v>1.8197616199342996</v>
      </c>
    </row>
    <row r="141" spans="23:29" x14ac:dyDescent="0.3">
      <c r="W141" s="1">
        <f t="shared" si="23"/>
        <v>140</v>
      </c>
      <c r="AA141" s="1">
        <f t="shared" si="20"/>
        <v>5202.4649182978765</v>
      </c>
      <c r="AB141" s="1">
        <f t="shared" si="22"/>
        <v>642119.0318953027</v>
      </c>
      <c r="AC141" s="1">
        <f t="shared" si="21"/>
        <v>1.8346258054151505</v>
      </c>
    </row>
    <row r="142" spans="23:29" x14ac:dyDescent="0.3">
      <c r="W142" s="1">
        <f t="shared" si="23"/>
        <v>141</v>
      </c>
      <c r="AA142" s="1">
        <f t="shared" si="20"/>
        <v>5130.1378800472257</v>
      </c>
      <c r="AB142" s="1">
        <f t="shared" si="22"/>
        <v>647249.1697753499</v>
      </c>
      <c r="AC142" s="1">
        <f t="shared" si="21"/>
        <v>1.8492833422152855</v>
      </c>
    </row>
    <row r="143" spans="23:29" x14ac:dyDescent="0.3">
      <c r="W143" s="1">
        <f t="shared" si="23"/>
        <v>142</v>
      </c>
      <c r="AA143" s="1">
        <f t="shared" si="20"/>
        <v>5058.8163652444537</v>
      </c>
      <c r="AB143" s="1">
        <f t="shared" si="22"/>
        <v>652307.98614059435</v>
      </c>
      <c r="AC143" s="1">
        <f t="shared" si="21"/>
        <v>1.863737103258841</v>
      </c>
    </row>
    <row r="144" spans="23:29" x14ac:dyDescent="0.3">
      <c r="W144" s="1">
        <f t="shared" si="23"/>
        <v>143</v>
      </c>
      <c r="AA144" s="1">
        <f t="shared" si="20"/>
        <v>4988.486394644332</v>
      </c>
      <c r="AB144" s="1">
        <f t="shared" si="22"/>
        <v>657296.47253523872</v>
      </c>
      <c r="AC144" s="1">
        <f t="shared" si="21"/>
        <v>1.8779899215292535</v>
      </c>
    </row>
    <row r="145" spans="23:29" x14ac:dyDescent="0.3">
      <c r="W145" s="1">
        <f t="shared" si="23"/>
        <v>144</v>
      </c>
      <c r="AA145" s="1">
        <f t="shared" si="20"/>
        <v>4919.1341833474744</v>
      </c>
      <c r="AB145" s="1">
        <f t="shared" si="22"/>
        <v>662215.60671858618</v>
      </c>
      <c r="AC145" s="1">
        <f t="shared" si="21"/>
        <v>1.8920445906245318</v>
      </c>
    </row>
    <row r="146" spans="23:29" x14ac:dyDescent="0.3">
      <c r="W146" s="1">
        <f t="shared" si="23"/>
        <v>145</v>
      </c>
      <c r="AA146" s="1">
        <f t="shared" si="20"/>
        <v>4850.7461380984414</v>
      </c>
      <c r="AB146" s="1">
        <f t="shared" si="22"/>
        <v>667066.35285668459</v>
      </c>
      <c r="AC146" s="1">
        <f t="shared" si="21"/>
        <v>1.9059038653048133</v>
      </c>
    </row>
    <row r="147" spans="23:29" x14ac:dyDescent="0.3">
      <c r="W147" s="1">
        <f t="shared" si="23"/>
        <v>146</v>
      </c>
      <c r="AA147" s="1">
        <f t="shared" si="20"/>
        <v>4783.3088546214358</v>
      </c>
      <c r="AB147" s="1">
        <f t="shared" si="22"/>
        <v>671849.66171130608</v>
      </c>
      <c r="AC147" s="1">
        <f t="shared" si="21"/>
        <v>1.9195704620323033</v>
      </c>
    </row>
    <row r="148" spans="23:29" x14ac:dyDescent="0.3">
      <c r="W148" s="1">
        <f t="shared" si="23"/>
        <v>147</v>
      </c>
      <c r="AA148" s="1">
        <f t="shared" si="20"/>
        <v>4716.8091149930015</v>
      </c>
      <c r="AB148" s="1">
        <f t="shared" si="22"/>
        <v>676566.47082629905</v>
      </c>
      <c r="AC148" s="1">
        <f t="shared" si="21"/>
        <v>1.9330470595037115</v>
      </c>
    </row>
    <row r="149" spans="23:29" x14ac:dyDescent="0.3">
      <c r="W149" s="1">
        <f t="shared" si="23"/>
        <v>148</v>
      </c>
      <c r="AA149" s="1">
        <f t="shared" si="20"/>
        <v>4651.2338850512806</v>
      </c>
      <c r="AB149" s="1">
        <f t="shared" si="22"/>
        <v>681217.70471135038</v>
      </c>
      <c r="AC149" s="1">
        <f t="shared" si="21"/>
        <v>1.9463362991752866</v>
      </c>
    </row>
    <row r="150" spans="23:29" x14ac:dyDescent="0.3">
      <c r="W150" s="1">
        <f t="shared" si="23"/>
        <v>149</v>
      </c>
      <c r="AA150" s="1">
        <f t="shared" si="20"/>
        <v>4586.5703118412794</v>
      </c>
      <c r="AB150" s="1">
        <f t="shared" si="22"/>
        <v>685804.2750231917</v>
      </c>
      <c r="AC150" s="1">
        <f t="shared" si="21"/>
        <v>1.9594407857805478</v>
      </c>
    </row>
    <row r="151" spans="23:29" x14ac:dyDescent="0.3">
      <c r="W151" s="1">
        <f t="shared" si="23"/>
        <v>150</v>
      </c>
      <c r="AA151" s="1">
        <f t="shared" si="20"/>
        <v>4522.805721095634</v>
      </c>
      <c r="AB151" s="1">
        <f t="shared" si="22"/>
        <v>690327.08074428735</v>
      </c>
      <c r="AC151" s="1">
        <f t="shared" si="21"/>
        <v>1.9723630878408211</v>
      </c>
    </row>
    <row r="152" spans="23:29" x14ac:dyDescent="0.3">
      <c r="W152" s="1">
        <f t="shared" si="23"/>
        <v>151</v>
      </c>
      <c r="AA152" s="1">
        <f t="shared" si="20"/>
        <v>4459.927614750427</v>
      </c>
      <c r="AB152" s="1">
        <f t="shared" si="22"/>
        <v>694787.00835903781</v>
      </c>
      <c r="AC152" s="1">
        <f t="shared" si="21"/>
        <v>1.9851057381686794</v>
      </c>
    </row>
    <row r="153" spans="23:29" x14ac:dyDescent="0.3">
      <c r="W153" s="1">
        <f t="shared" si="23"/>
        <v>152</v>
      </c>
      <c r="AA153" s="1">
        <f t="shared" si="20"/>
        <v>4397.9236684955185</v>
      </c>
      <c r="AB153" s="1">
        <f t="shared" si="22"/>
        <v>699184.9320275333</v>
      </c>
      <c r="AC153" s="1">
        <f t="shared" si="21"/>
        <v>1.997671234364381</v>
      </c>
    </row>
    <row r="154" spans="23:29" x14ac:dyDescent="0.3">
      <c r="W154" s="1">
        <f t="shared" si="23"/>
        <v>153</v>
      </c>
      <c r="AA154" s="1">
        <f t="shared" si="20"/>
        <v>4336.7817293589487</v>
      </c>
      <c r="AB154" s="1">
        <f t="shared" si="22"/>
        <v>703521.71375689225</v>
      </c>
      <c r="AC154" s="1">
        <f t="shared" si="21"/>
        <v>2.0100620393054065</v>
      </c>
    </row>
    <row r="155" spans="23:29" x14ac:dyDescent="0.3">
      <c r="W155" s="1">
        <f t="shared" si="23"/>
        <v>154</v>
      </c>
      <c r="AA155" s="1">
        <f t="shared" si="20"/>
        <v>4276.4898133249053</v>
      </c>
      <c r="AB155" s="1">
        <f t="shared" si="22"/>
        <v>707798.20357021713</v>
      </c>
      <c r="AC155" s="1">
        <f t="shared" si="21"/>
        <v>2.0222805816291918</v>
      </c>
    </row>
    <row r="156" spans="23:29" x14ac:dyDescent="0.3">
      <c r="W156" s="1">
        <f t="shared" si="23"/>
        <v>155</v>
      </c>
      <c r="AA156" s="1">
        <f t="shared" si="20"/>
        <v>4217.0361029848355</v>
      </c>
      <c r="AB156" s="1">
        <f t="shared" si="22"/>
        <v>712015.23967320193</v>
      </c>
      <c r="AC156" s="1">
        <f t="shared" si="21"/>
        <v>2.0343292562091482</v>
      </c>
    </row>
    <row r="157" spans="23:29" x14ac:dyDescent="0.3">
      <c r="W157" s="1">
        <f t="shared" si="23"/>
        <v>156</v>
      </c>
      <c r="AA157" s="1">
        <f t="shared" si="20"/>
        <v>4158.4089452211738</v>
      </c>
      <c r="AB157" s="1">
        <f t="shared" si="22"/>
        <v>716173.64861842315</v>
      </c>
      <c r="AC157" s="1">
        <f t="shared" si="21"/>
        <v>2.0462104246240664</v>
      </c>
    </row>
    <row r="158" spans="23:29" x14ac:dyDescent="0.3">
      <c r="W158" s="1">
        <f t="shared" si="23"/>
        <v>157</v>
      </c>
      <c r="AA158" s="1">
        <f t="shared" si="20"/>
        <v>4100.5968489233182</v>
      </c>
      <c r="AB158" s="1">
        <f t="shared" si="22"/>
        <v>720274.24546734651</v>
      </c>
      <c r="AC158" s="1">
        <f t="shared" si="21"/>
        <v>2.0579264156209898</v>
      </c>
    </row>
    <row r="159" spans="23:29" x14ac:dyDescent="0.3">
      <c r="W159" s="1">
        <f t="shared" si="23"/>
        <v>158</v>
      </c>
      <c r="AA159" s="1">
        <f t="shared" si="20"/>
        <v>4043.5884827353134</v>
      </c>
      <c r="AB159" s="1">
        <f t="shared" si="22"/>
        <v>724317.83395008184</v>
      </c>
      <c r="AC159" s="1">
        <f t="shared" si="21"/>
        <v>2.069479525571662</v>
      </c>
    </row>
    <row r="160" spans="23:29" x14ac:dyDescent="0.3">
      <c r="W160" s="1">
        <f t="shared" si="23"/>
        <v>159</v>
      </c>
      <c r="AA160" s="1">
        <f t="shared" si="20"/>
        <v>3987.3726728348847</v>
      </c>
      <c r="AB160" s="1">
        <f t="shared" si="22"/>
        <v>728305.20662291674</v>
      </c>
      <c r="AC160" s="1">
        <f t="shared" si="21"/>
        <v>2.0808720189226193</v>
      </c>
    </row>
    <row r="161" spans="23:29" x14ac:dyDescent="0.3">
      <c r="W161" s="1">
        <f t="shared" si="23"/>
        <v>160</v>
      </c>
      <c r="AA161" s="1">
        <f t="shared" si="20"/>
        <v>3931.9384007433232</v>
      </c>
      <c r="AB161" s="1">
        <f t="shared" si="22"/>
        <v>732237.14502366004</v>
      </c>
      <c r="AC161" s="1">
        <f t="shared" si="21"/>
        <v>2.0921061286390286</v>
      </c>
    </row>
    <row r="162" spans="23:29" x14ac:dyDescent="0.3">
      <c r="W162" s="1">
        <f t="shared" si="23"/>
        <v>161</v>
      </c>
      <c r="AA162" s="1">
        <f t="shared" si="20"/>
        <v>3877.2748011658359</v>
      </c>
      <c r="AB162" s="1">
        <f t="shared" si="22"/>
        <v>736114.41982482583</v>
      </c>
      <c r="AC162" s="1">
        <f t="shared" si="21"/>
        <v>2.1031840566423594</v>
      </c>
    </row>
    <row r="163" spans="23:29" x14ac:dyDescent="0.3">
      <c r="W163" s="1">
        <f t="shared" si="23"/>
        <v>162</v>
      </c>
      <c r="AA163" s="1">
        <f t="shared" si="20"/>
        <v>3823.3711598619061</v>
      </c>
      <c r="AB163" s="1">
        <f t="shared" si="22"/>
        <v>739937.79098468774</v>
      </c>
      <c r="AC163" s="1">
        <f t="shared" si="21"/>
        <v>2.1141079742419651</v>
      </c>
    </row>
    <row r="164" spans="23:29" x14ac:dyDescent="0.3">
      <c r="W164" s="1">
        <f t="shared" si="23"/>
        <v>163</v>
      </c>
      <c r="AA164" s="1">
        <f t="shared" si="20"/>
        <v>3770.2169115452762</v>
      </c>
      <c r="AB164" s="1">
        <f t="shared" si="22"/>
        <v>743708.007896233</v>
      </c>
      <c r="AC164" s="1">
        <f t="shared" si="21"/>
        <v>2.1248800225606659</v>
      </c>
    </row>
    <row r="165" spans="23:29" x14ac:dyDescent="0.3">
      <c r="W165" s="1">
        <f t="shared" si="23"/>
        <v>164</v>
      </c>
      <c r="AA165" s="1">
        <f t="shared" si="20"/>
        <v>3717.8016378131083</v>
      </c>
      <c r="AB165" s="1">
        <f t="shared" si="22"/>
        <v>747425.8095340461</v>
      </c>
      <c r="AC165" s="1">
        <f t="shared" si="21"/>
        <v>2.1355023129544173</v>
      </c>
    </row>
    <row r="166" spans="23:29" x14ac:dyDescent="0.3">
      <c r="W166" s="1">
        <f t="shared" si="23"/>
        <v>165</v>
      </c>
      <c r="AA166" s="1">
        <f t="shared" si="20"/>
        <v>3666.1150651039529</v>
      </c>
      <c r="AB166" s="1">
        <f t="shared" si="22"/>
        <v>751091.92459915008</v>
      </c>
      <c r="AC166" s="1">
        <f t="shared" si="21"/>
        <v>2.1459769274261431</v>
      </c>
    </row>
    <row r="167" spans="23:29" x14ac:dyDescent="0.3">
      <c r="W167" s="1">
        <f t="shared" si="23"/>
        <v>166</v>
      </c>
      <c r="AA167" s="1">
        <f t="shared" si="20"/>
        <v>3615.1470626840905</v>
      </c>
      <c r="AB167" s="1">
        <f t="shared" si="22"/>
        <v>754707.07166183414</v>
      </c>
      <c r="AC167" s="1">
        <f t="shared" si="21"/>
        <v>2.1563059190338119</v>
      </c>
    </row>
    <row r="168" spans="23:29" x14ac:dyDescent="0.3">
      <c r="W168" s="1">
        <f t="shared" si="23"/>
        <v>167</v>
      </c>
      <c r="AA168" s="1">
        <f t="shared" si="20"/>
        <v>3564.8876406618792</v>
      </c>
      <c r="AB168" s="1">
        <f t="shared" si="22"/>
        <v>758271.95930249605</v>
      </c>
      <c r="AC168" s="1">
        <f t="shared" si="21"/>
        <v>2.166491312292846</v>
      </c>
    </row>
    <row r="169" spans="23:29" x14ac:dyDescent="0.3">
      <c r="W169" s="1">
        <f t="shared" si="23"/>
        <v>168</v>
      </c>
      <c r="AA169" s="1">
        <f t="shared" si="20"/>
        <v>3515.3269480297072</v>
      </c>
      <c r="AB169" s="1">
        <f t="shared" si="22"/>
        <v>761787.28625052574</v>
      </c>
      <c r="AC169" s="1">
        <f t="shared" si="21"/>
        <v>2.1765351035729306</v>
      </c>
    </row>
    <row r="170" spans="23:29" x14ac:dyDescent="0.3">
      <c r="W170" s="1">
        <f t="shared" si="23"/>
        <v>169</v>
      </c>
      <c r="AA170" s="1">
        <f t="shared" si="20"/>
        <v>3466.4552707331545</v>
      </c>
      <c r="AB170" s="1">
        <f t="shared" si="22"/>
        <v>765253.74152125884</v>
      </c>
      <c r="AC170" s="1">
        <f t="shared" si="21"/>
        <v>2.1864392614893107</v>
      </c>
    </row>
    <row r="171" spans="23:29" x14ac:dyDescent="0.3">
      <c r="W171" s="1">
        <f t="shared" si="23"/>
        <v>170</v>
      </c>
      <c r="AA171" s="1">
        <f t="shared" si="20"/>
        <v>3418.2630297670189</v>
      </c>
      <c r="AB171" s="1">
        <f t="shared" si="22"/>
        <v>768672.00455102581</v>
      </c>
      <c r="AC171" s="1">
        <f t="shared" si="21"/>
        <v>2.1962057272886453</v>
      </c>
    </row>
    <row r="172" spans="23:29" x14ac:dyDescent="0.3">
      <c r="W172" s="1">
        <f t="shared" si="23"/>
        <v>171</v>
      </c>
      <c r="AA172" s="1">
        <f t="shared" si="20"/>
        <v>3370.7407792977865</v>
      </c>
      <c r="AB172" s="1">
        <f t="shared" si="22"/>
        <v>772042.74533032358</v>
      </c>
      <c r="AC172" s="1">
        <f t="shared" si="21"/>
        <v>2.2058364152294958</v>
      </c>
    </row>
    <row r="173" spans="23:29" x14ac:dyDescent="0.3">
      <c r="W173" s="1">
        <f t="shared" si="23"/>
        <v>172</v>
      </c>
      <c r="AA173" s="1">
        <f t="shared" si="20"/>
        <v>3323.8792048122332</v>
      </c>
      <c r="AB173" s="1">
        <f t="shared" si="22"/>
        <v>775366.62453513581</v>
      </c>
      <c r="AC173" s="1">
        <f t="shared" si="21"/>
        <v>2.2153332129575309</v>
      </c>
    </row>
    <row r="174" spans="23:29" x14ac:dyDescent="0.3">
      <c r="W174" s="1">
        <f t="shared" si="23"/>
        <v>173</v>
      </c>
      <c r="AA174" s="1">
        <f t="shared" si="20"/>
        <v>3277.6691212917367</v>
      </c>
      <c r="AB174" s="1">
        <f t="shared" si="22"/>
        <v>778644.29365642753</v>
      </c>
      <c r="AC174" s="1">
        <f t="shared" si="21"/>
        <v>2.2246979818755075</v>
      </c>
    </row>
    <row r="175" spans="23:29" x14ac:dyDescent="0.3">
      <c r="W175" s="1">
        <f t="shared" si="23"/>
        <v>174</v>
      </c>
      <c r="AA175" s="1">
        <f t="shared" si="20"/>
        <v>3232.1014714119947</v>
      </c>
      <c r="AB175" s="1">
        <f t="shared" si="22"/>
        <v>781876.39512783953</v>
      </c>
      <c r="AC175" s="1">
        <f t="shared" si="21"/>
        <v>2.2339325575081133</v>
      </c>
    </row>
    <row r="176" spans="23:29" x14ac:dyDescent="0.3">
      <c r="W176" s="1">
        <f t="shared" si="23"/>
        <v>175</v>
      </c>
      <c r="AA176" s="1">
        <f t="shared" si="20"/>
        <v>3187.1673237677501</v>
      </c>
      <c r="AB176" s="1">
        <f t="shared" si="22"/>
        <v>785063.56245160731</v>
      </c>
      <c r="AC176" s="1">
        <f t="shared" si="21"/>
        <v>2.2430387498617352</v>
      </c>
    </row>
    <row r="177" spans="23:29" x14ac:dyDescent="0.3">
      <c r="W177" s="1">
        <f t="shared" si="23"/>
        <v>176</v>
      </c>
      <c r="AA177" s="1">
        <f t="shared" si="20"/>
        <v>3142.8578711222162</v>
      </c>
      <c r="AB177" s="1">
        <f t="shared" si="22"/>
        <v>788206.42032272951</v>
      </c>
      <c r="AC177" s="1">
        <f t="shared" si="21"/>
        <v>2.2520183437792269</v>
      </c>
    </row>
    <row r="178" spans="23:29" x14ac:dyDescent="0.3">
      <c r="W178" s="1">
        <f t="shared" si="23"/>
        <v>177</v>
      </c>
      <c r="AA178" s="1">
        <f t="shared" si="20"/>
        <v>3099.1644286808232</v>
      </c>
      <c r="AB178" s="1">
        <f t="shared" si="22"/>
        <v>791305.58475141029</v>
      </c>
      <c r="AC178" s="1">
        <f t="shared" si="21"/>
        <v>2.2608730992897437</v>
      </c>
    </row>
    <row r="179" spans="23:29" x14ac:dyDescent="0.3">
      <c r="W179" s="1">
        <f t="shared" si="23"/>
        <v>178</v>
      </c>
      <c r="AA179" s="1">
        <f t="shared" si="20"/>
        <v>3056.0784323889757</v>
      </c>
      <c r="AB179" s="1">
        <f t="shared" si="22"/>
        <v>794361.66318379925</v>
      </c>
      <c r="AC179" s="1">
        <f t="shared" si="21"/>
        <v>2.2696047519537119</v>
      </c>
    </row>
    <row r="180" spans="23:29" x14ac:dyDescent="0.3">
      <c r="W180" s="1">
        <f t="shared" si="23"/>
        <v>179</v>
      </c>
      <c r="AA180" s="1">
        <f t="shared" si="20"/>
        <v>3013.5914372534648</v>
      </c>
      <c r="AB180" s="1">
        <f t="shared" si="22"/>
        <v>797375.25462105277</v>
      </c>
      <c r="AC180" s="1">
        <f t="shared" si="21"/>
        <v>2.2782150132030079</v>
      </c>
    </row>
    <row r="181" spans="23:29" x14ac:dyDescent="0.3">
      <c r="W181" s="1">
        <f t="shared" si="23"/>
        <v>180</v>
      </c>
      <c r="AA181" s="1">
        <f t="shared" si="20"/>
        <v>2971.695115687231</v>
      </c>
      <c r="AB181" s="1">
        <f t="shared" si="22"/>
        <v>800346.94973673997</v>
      </c>
      <c r="AC181" s="1">
        <f t="shared" si="21"/>
        <v>2.2867055706763999</v>
      </c>
    </row>
    <row r="182" spans="23:29" x14ac:dyDescent="0.3">
      <c r="W182" s="1">
        <f t="shared" si="23"/>
        <v>181</v>
      </c>
      <c r="AA182" s="1">
        <f t="shared" si="20"/>
        <v>2930.3812558771187</v>
      </c>
      <c r="AB182" s="1">
        <f t="shared" si="22"/>
        <v>803277.33099261706</v>
      </c>
      <c r="AC182" s="1">
        <f t="shared" si="21"/>
        <v>2.2950780885503343</v>
      </c>
    </row>
    <row r="183" spans="23:29" x14ac:dyDescent="0.3">
      <c r="W183" s="1">
        <f t="shared" si="23"/>
        <v>182</v>
      </c>
      <c r="AA183" s="1">
        <f t="shared" si="20"/>
        <v>2889.6417601743487</v>
      </c>
      <c r="AB183" s="1">
        <f t="shared" si="22"/>
        <v>806166.97275279136</v>
      </c>
      <c r="AC183" s="1">
        <f t="shared" si="21"/>
        <v>2.303334207865118</v>
      </c>
    </row>
    <row r="184" spans="23:29" x14ac:dyDescent="0.3">
      <c r="W184" s="1">
        <f t="shared" si="23"/>
        <v>183</v>
      </c>
      <c r="AA184" s="1">
        <f t="shared" si="20"/>
        <v>2849.4686435073399</v>
      </c>
      <c r="AB184" s="1">
        <f t="shared" si="22"/>
        <v>809016.4413962987</v>
      </c>
      <c r="AC184" s="1">
        <f t="shared" si="21"/>
        <v>2.3114755468465678</v>
      </c>
    </row>
    <row r="185" spans="23:29" x14ac:dyDescent="0.3">
      <c r="W185" s="1">
        <f t="shared" si="23"/>
        <v>184</v>
      </c>
      <c r="AA185" s="1">
        <f t="shared" si="20"/>
        <v>2809.8540318166151</v>
      </c>
      <c r="AB185" s="1">
        <f t="shared" si="22"/>
        <v>811826.29542811529</v>
      </c>
      <c r="AC185" s="1">
        <f t="shared" si="21"/>
        <v>2.3195037012231867</v>
      </c>
    </row>
    <row r="186" spans="23:29" x14ac:dyDescent="0.3">
      <c r="W186" s="1">
        <f t="shared" si="23"/>
        <v>185</v>
      </c>
      <c r="AA186" s="1">
        <f t="shared" si="20"/>
        <v>2770.7901605114666</v>
      </c>
      <c r="AB186" s="1">
        <f t="shared" si="22"/>
        <v>814597.0855886268</v>
      </c>
      <c r="AC186" s="1">
        <f t="shared" si="21"/>
        <v>2.327420244538934</v>
      </c>
    </row>
    <row r="187" spans="23:29" x14ac:dyDescent="0.3">
      <c r="W187" s="1">
        <f t="shared" si="23"/>
        <v>186</v>
      </c>
      <c r="AA187" s="1">
        <f t="shared" si="20"/>
        <v>2732.269372948057</v>
      </c>
      <c r="AB187" s="1">
        <f t="shared" si="22"/>
        <v>817329.35496157489</v>
      </c>
      <c r="AC187" s="1">
        <f t="shared" si="21"/>
        <v>2.3352267284616421</v>
      </c>
    </row>
    <row r="188" spans="23:29" x14ac:dyDescent="0.3">
      <c r="W188" s="1">
        <f t="shared" si="23"/>
        <v>187</v>
      </c>
      <c r="AA188" s="1">
        <f t="shared" si="20"/>
        <v>2694.2841189287096</v>
      </c>
      <c r="AB188" s="1">
        <f t="shared" si="22"/>
        <v>820023.63908050361</v>
      </c>
      <c r="AC188" s="1">
        <f t="shared" si="21"/>
        <v>2.3429246830871531</v>
      </c>
    </row>
    <row r="189" spans="23:29" x14ac:dyDescent="0.3">
      <c r="W189" s="1">
        <f t="shared" si="23"/>
        <v>188</v>
      </c>
      <c r="AA189" s="1">
        <f t="shared" si="20"/>
        <v>2656.8269532220284</v>
      </c>
      <c r="AB189" s="1">
        <f t="shared" si="22"/>
        <v>822680.46603372565</v>
      </c>
      <c r="AC189" s="1">
        <f t="shared" si="21"/>
        <v>2.3505156172392159</v>
      </c>
    </row>
    <row r="190" spans="23:29" x14ac:dyDescent="0.3">
      <c r="W190" s="1">
        <f t="shared" si="23"/>
        <v>189</v>
      </c>
      <c r="AA190" s="1">
        <f t="shared" si="20"/>
        <v>2619.8905341036238</v>
      </c>
      <c r="AB190" s="1">
        <f t="shared" si="22"/>
        <v>825300.35656782927</v>
      </c>
      <c r="AC190" s="1">
        <f t="shared" si="21"/>
        <v>2.3580010187652265</v>
      </c>
    </row>
    <row r="191" spans="23:29" x14ac:dyDescent="0.3">
      <c r="W191" s="1">
        <f t="shared" si="23"/>
        <v>190</v>
      </c>
      <c r="AA191" s="1">
        <f t="shared" si="20"/>
        <v>2583.467621917101</v>
      </c>
      <c r="AB191" s="1">
        <f t="shared" si="22"/>
        <v>827883.8241897464</v>
      </c>
      <c r="AC191" s="1">
        <f t="shared" si="21"/>
        <v>2.365382354827847</v>
      </c>
    </row>
    <row r="192" spans="23:29" x14ac:dyDescent="0.3">
      <c r="W192" s="1">
        <f t="shared" si="23"/>
        <v>191</v>
      </c>
      <c r="AA192" s="1">
        <f t="shared" si="20"/>
        <v>2547.5510776550695</v>
      </c>
      <c r="AB192" s="1">
        <f t="shared" si="22"/>
        <v>830431.37526740145</v>
      </c>
      <c r="AC192" s="1">
        <f t="shared" si="21"/>
        <v>2.3726610721925758</v>
      </c>
    </row>
    <row r="193" spans="23:29" x14ac:dyDescent="0.3">
      <c r="W193" s="1">
        <f t="shared" si="23"/>
        <v>192</v>
      </c>
      <c r="AA193" s="1">
        <f t="shared" si="20"/>
        <v>2512.1338615598706</v>
      </c>
      <c r="AB193" s="1">
        <f t="shared" si="22"/>
        <v>832943.50912896136</v>
      </c>
      <c r="AC193" s="1">
        <f t="shared" si="21"/>
        <v>2.3798385975113185</v>
      </c>
    </row>
    <row r="194" spans="23:29" x14ac:dyDescent="0.3">
      <c r="W194" s="1">
        <f t="shared" si="23"/>
        <v>193</v>
      </c>
      <c r="AA194" s="1">
        <f t="shared" si="20"/>
        <v>2477.2090317437696</v>
      </c>
      <c r="AB194" s="1">
        <f t="shared" si="22"/>
        <v>835420.71816070518</v>
      </c>
      <c r="AC194" s="1">
        <f t="shared" si="21"/>
        <v>2.3869163376020146</v>
      </c>
    </row>
    <row r="195" spans="23:29" x14ac:dyDescent="0.3">
      <c r="W195" s="1">
        <f t="shared" si="23"/>
        <v>194</v>
      </c>
      <c r="AA195" s="1">
        <f t="shared" ref="AA195:AA258" si="24">36934*EXP(-0.014*W195)</f>
        <v>2442.7697428283127</v>
      </c>
      <c r="AB195" s="1">
        <f t="shared" si="22"/>
        <v>837863.4879035335</v>
      </c>
      <c r="AC195" s="1">
        <f t="shared" ref="AC195:AC258" si="25">(AB195*100)/(35*10^6)</f>
        <v>2.3938956797243818</v>
      </c>
    </row>
    <row r="196" spans="23:29" x14ac:dyDescent="0.3">
      <c r="W196" s="1">
        <f t="shared" si="23"/>
        <v>195</v>
      </c>
      <c r="AA196" s="1">
        <f t="shared" si="24"/>
        <v>2408.8092446026221</v>
      </c>
      <c r="AB196" s="1">
        <f t="shared" ref="AB196:AB259" si="26">AB195+AA196</f>
        <v>840272.29714813607</v>
      </c>
      <c r="AC196" s="1">
        <f t="shared" si="25"/>
        <v>2.4007779918518173</v>
      </c>
    </row>
    <row r="197" spans="23:29" x14ac:dyDescent="0.3">
      <c r="W197" s="1">
        <f t="shared" si="23"/>
        <v>196</v>
      </c>
      <c r="AA197" s="1">
        <f t="shared" si="24"/>
        <v>2375.3208807003243</v>
      </c>
      <c r="AB197" s="1">
        <f t="shared" si="26"/>
        <v>842647.61802883644</v>
      </c>
      <c r="AC197" s="1">
        <f t="shared" si="25"/>
        <v>2.4075646229395327</v>
      </c>
    </row>
    <row r="198" spans="23:29" x14ac:dyDescent="0.3">
      <c r="W198" s="1">
        <f t="shared" si="23"/>
        <v>197</v>
      </c>
      <c r="AA198" s="1">
        <f t="shared" si="24"/>
        <v>2342.2980872948888</v>
      </c>
      <c r="AB198" s="1">
        <f t="shared" si="26"/>
        <v>844989.91611613135</v>
      </c>
      <c r="AC198" s="1">
        <f t="shared" si="25"/>
        <v>2.4142569031889467</v>
      </c>
    </row>
    <row r="199" spans="23:29" x14ac:dyDescent="0.3">
      <c r="W199" s="1">
        <f t="shared" si="23"/>
        <v>198</v>
      </c>
      <c r="AA199" s="1">
        <f t="shared" si="24"/>
        <v>2309.7343918130882</v>
      </c>
      <c r="AB199" s="1">
        <f t="shared" si="26"/>
        <v>847299.6505079444</v>
      </c>
      <c r="AC199" s="1">
        <f t="shared" si="25"/>
        <v>2.4208561443084124</v>
      </c>
    </row>
    <row r="200" spans="23:29" x14ac:dyDescent="0.3">
      <c r="W200" s="1">
        <f t="shared" ref="W200:W263" si="27">W199+1</f>
        <v>199</v>
      </c>
      <c r="AA200" s="1">
        <f t="shared" si="24"/>
        <v>2277.6234116663613</v>
      </c>
      <c r="AB200" s="1">
        <f t="shared" si="26"/>
        <v>849577.27391961077</v>
      </c>
      <c r="AC200" s="1">
        <f t="shared" si="25"/>
        <v>2.4273636397703164</v>
      </c>
    </row>
    <row r="201" spans="23:29" x14ac:dyDescent="0.3">
      <c r="W201" s="1">
        <f t="shared" si="27"/>
        <v>200</v>
      </c>
      <c r="AA201" s="1">
        <f t="shared" si="24"/>
        <v>2245.9588529998</v>
      </c>
      <c r="AB201" s="1">
        <f t="shared" si="26"/>
        <v>851823.23277261062</v>
      </c>
      <c r="AC201" s="1">
        <f t="shared" si="25"/>
        <v>2.4337806650646017</v>
      </c>
    </row>
    <row r="202" spans="23:29" x14ac:dyDescent="0.3">
      <c r="W202" s="1">
        <f t="shared" si="27"/>
        <v>201</v>
      </c>
      <c r="AA202" s="1">
        <f t="shared" si="24"/>
        <v>2214.7345094585371</v>
      </c>
      <c r="AB202" s="1">
        <f t="shared" si="26"/>
        <v>854037.96728206915</v>
      </c>
      <c r="AC202" s="1">
        <f t="shared" si="25"/>
        <v>2.440108477948769</v>
      </c>
    </row>
    <row r="203" spans="23:29" x14ac:dyDescent="0.3">
      <c r="W203" s="1">
        <f t="shared" si="27"/>
        <v>202</v>
      </c>
      <c r="AA203" s="1">
        <f t="shared" si="24"/>
        <v>2183.9442609712778</v>
      </c>
      <c r="AB203" s="1">
        <f t="shared" si="26"/>
        <v>856221.91154304042</v>
      </c>
      <c r="AC203" s="1">
        <f t="shared" si="25"/>
        <v>2.4463483186944011</v>
      </c>
    </row>
    <row r="204" spans="23:29" x14ac:dyDescent="0.3">
      <c r="W204" s="1">
        <f t="shared" si="27"/>
        <v>203</v>
      </c>
      <c r="AA204" s="1">
        <f t="shared" si="24"/>
        <v>2153.5820725507474</v>
      </c>
      <c r="AB204" s="1">
        <f t="shared" si="26"/>
        <v>858375.4936155912</v>
      </c>
      <c r="AC204" s="1">
        <f t="shared" si="25"/>
        <v>2.4525014103302607</v>
      </c>
    </row>
    <row r="205" spans="23:29" x14ac:dyDescent="0.3">
      <c r="W205" s="1">
        <f t="shared" si="27"/>
        <v>204</v>
      </c>
      <c r="AA205" s="1">
        <f t="shared" si="24"/>
        <v>2123.6419931108171</v>
      </c>
      <c r="AB205" s="1">
        <f t="shared" si="26"/>
        <v>860499.13560870197</v>
      </c>
      <c r="AC205" s="1">
        <f t="shared" si="25"/>
        <v>2.4585689588820059</v>
      </c>
    </row>
    <row r="206" spans="23:29" x14ac:dyDescent="0.3">
      <c r="W206" s="1">
        <f t="shared" si="27"/>
        <v>205</v>
      </c>
      <c r="AA206" s="1">
        <f t="shared" si="24"/>
        <v>2094.1181543000657</v>
      </c>
      <c r="AB206" s="1">
        <f t="shared" si="26"/>
        <v>862593.25376300199</v>
      </c>
      <c r="AC206" s="1">
        <f t="shared" si="25"/>
        <v>2.4645521536085773</v>
      </c>
    </row>
    <row r="207" spans="23:29" x14ac:dyDescent="0.3">
      <c r="W207" s="1">
        <f t="shared" si="27"/>
        <v>206</v>
      </c>
      <c r="AA207" s="1">
        <f t="shared" si="24"/>
        <v>2065.0047693515721</v>
      </c>
      <c r="AB207" s="1">
        <f t="shared" si="26"/>
        <v>864658.25853235356</v>
      </c>
      <c r="AC207" s="1">
        <f t="shared" si="25"/>
        <v>2.4704521672352957</v>
      </c>
    </row>
    <row r="208" spans="23:29" x14ac:dyDescent="0.3">
      <c r="W208" s="1">
        <f t="shared" si="27"/>
        <v>207</v>
      </c>
      <c r="AA208" s="1">
        <f t="shared" si="24"/>
        <v>2036.2961319486824</v>
      </c>
      <c r="AB208" s="1">
        <f t="shared" si="26"/>
        <v>866694.55466430227</v>
      </c>
      <c r="AC208" s="1">
        <f t="shared" si="25"/>
        <v>2.476270156183721</v>
      </c>
    </row>
    <row r="209" spans="23:29" x14ac:dyDescent="0.3">
      <c r="W209" s="1">
        <f t="shared" si="27"/>
        <v>208</v>
      </c>
      <c r="AA209" s="1">
        <f t="shared" si="24"/>
        <v>2007.9866151065605</v>
      </c>
      <c r="AB209" s="1">
        <f t="shared" si="26"/>
        <v>868702.54127940885</v>
      </c>
      <c r="AC209" s="1">
        <f t="shared" si="25"/>
        <v>2.4820072607983108</v>
      </c>
    </row>
    <row r="210" spans="23:29" x14ac:dyDescent="0.3">
      <c r="W210" s="1">
        <f t="shared" si="27"/>
        <v>209</v>
      </c>
      <c r="AA210" s="1">
        <f t="shared" si="24"/>
        <v>1980.0706700692756</v>
      </c>
      <c r="AB210" s="1">
        <f t="shared" si="26"/>
        <v>870682.61194947816</v>
      </c>
      <c r="AC210" s="1">
        <f t="shared" si="25"/>
        <v>2.4876646055699374</v>
      </c>
    </row>
    <row r="211" spans="23:29" x14ac:dyDescent="0.3">
      <c r="W211" s="1">
        <f t="shared" si="27"/>
        <v>210</v>
      </c>
      <c r="AA211" s="1">
        <f t="shared" si="24"/>
        <v>1952.5428252222325</v>
      </c>
      <c r="AB211" s="1">
        <f t="shared" si="26"/>
        <v>872635.15477470041</v>
      </c>
      <c r="AC211" s="1">
        <f t="shared" si="25"/>
        <v>2.493243299356287</v>
      </c>
    </row>
    <row r="212" spans="23:29" x14ac:dyDescent="0.3">
      <c r="W212" s="1">
        <f t="shared" si="27"/>
        <v>211</v>
      </c>
      <c r="AA212" s="1">
        <f t="shared" si="24"/>
        <v>1925.3976850197134</v>
      </c>
      <c r="AB212" s="1">
        <f t="shared" si="26"/>
        <v>874560.55245972017</v>
      </c>
      <c r="AC212" s="1">
        <f t="shared" si="25"/>
        <v>2.4987444355992006</v>
      </c>
    </row>
    <row r="213" spans="23:29" x14ac:dyDescent="0.3">
      <c r="W213" s="1">
        <f t="shared" si="27"/>
        <v>212</v>
      </c>
      <c r="AA213" s="1">
        <f t="shared" si="24"/>
        <v>1898.6299289273391</v>
      </c>
      <c r="AB213" s="1">
        <f t="shared" si="26"/>
        <v>876459.18238864746</v>
      </c>
      <c r="AC213" s="1">
        <f t="shared" si="25"/>
        <v>2.504169092538993</v>
      </c>
    </row>
    <row r="214" spans="23:29" x14ac:dyDescent="0.3">
      <c r="W214" s="1">
        <f t="shared" si="27"/>
        <v>213</v>
      </c>
      <c r="AA214" s="1">
        <f t="shared" si="24"/>
        <v>1872.2343103792207</v>
      </c>
      <c r="AB214" s="1">
        <f t="shared" si="26"/>
        <v>878331.41669902671</v>
      </c>
      <c r="AC214" s="1">
        <f t="shared" si="25"/>
        <v>2.5095183334257904</v>
      </c>
    </row>
    <row r="215" spans="23:29" x14ac:dyDescent="0.3">
      <c r="W215" s="1">
        <f t="shared" si="27"/>
        <v>214</v>
      </c>
      <c r="AA215" s="1">
        <f t="shared" si="24"/>
        <v>1846.2056557496226</v>
      </c>
      <c r="AB215" s="1">
        <f t="shared" si="26"/>
        <v>880177.62235477637</v>
      </c>
      <c r="AC215" s="1">
        <f t="shared" si="25"/>
        <v>2.5147932067279326</v>
      </c>
    </row>
    <row r="216" spans="23:29" x14ac:dyDescent="0.3">
      <c r="W216" s="1">
        <f t="shared" si="27"/>
        <v>215</v>
      </c>
      <c r="AA216" s="1">
        <f t="shared" si="24"/>
        <v>1820.5388633389091</v>
      </c>
      <c r="AB216" s="1">
        <f t="shared" si="26"/>
        <v>881998.16121811524</v>
      </c>
      <c r="AC216" s="1">
        <f t="shared" si="25"/>
        <v>2.5199947463374723</v>
      </c>
    </row>
    <row r="217" spans="23:29" x14ac:dyDescent="0.3">
      <c r="W217" s="1">
        <f t="shared" si="27"/>
        <v>216</v>
      </c>
      <c r="AA217" s="1">
        <f t="shared" si="24"/>
        <v>1795.2289023736005</v>
      </c>
      <c r="AB217" s="1">
        <f t="shared" si="26"/>
        <v>883793.39012048882</v>
      </c>
      <c r="AC217" s="1">
        <f t="shared" si="25"/>
        <v>2.5251239717728251</v>
      </c>
    </row>
    <row r="218" spans="23:29" x14ac:dyDescent="0.3">
      <c r="W218" s="1">
        <f t="shared" si="27"/>
        <v>217</v>
      </c>
      <c r="AA218" s="1">
        <f t="shared" si="24"/>
        <v>1770.2708120203201</v>
      </c>
      <c r="AB218" s="1">
        <f t="shared" si="26"/>
        <v>885563.66093250911</v>
      </c>
      <c r="AC218" s="1">
        <f t="shared" si="25"/>
        <v>2.5301818883785976</v>
      </c>
    </row>
    <row r="219" spans="23:29" x14ac:dyDescent="0.3">
      <c r="W219" s="1">
        <f t="shared" si="27"/>
        <v>218</v>
      </c>
      <c r="AA219" s="1">
        <f t="shared" si="24"/>
        <v>1745.6597004134603</v>
      </c>
      <c r="AB219" s="1">
        <f t="shared" si="26"/>
        <v>887309.32063292258</v>
      </c>
      <c r="AC219" s="1">
        <f t="shared" si="25"/>
        <v>2.5351694875226363</v>
      </c>
    </row>
    <row r="220" spans="23:29" x14ac:dyDescent="0.3">
      <c r="W220" s="1">
        <f t="shared" si="27"/>
        <v>219</v>
      </c>
      <c r="AA220" s="1">
        <f t="shared" si="24"/>
        <v>1721.3907436963561</v>
      </c>
      <c r="AB220" s="1">
        <f t="shared" si="26"/>
        <v>889030.71137661894</v>
      </c>
      <c r="AC220" s="1">
        <f t="shared" si="25"/>
        <v>2.5400877467903396</v>
      </c>
    </row>
    <row r="221" spans="23:29" x14ac:dyDescent="0.3">
      <c r="W221" s="1">
        <f t="shared" si="27"/>
        <v>220</v>
      </c>
      <c r="AA221" s="1">
        <f t="shared" si="24"/>
        <v>1697.4591850757986</v>
      </c>
      <c r="AB221" s="1">
        <f t="shared" si="26"/>
        <v>890728.17056169477</v>
      </c>
      <c r="AC221" s="1">
        <f t="shared" si="25"/>
        <v>2.5449376301762707</v>
      </c>
    </row>
    <row r="222" spans="23:29" x14ac:dyDescent="0.3">
      <c r="W222" s="1">
        <f t="shared" si="27"/>
        <v>221</v>
      </c>
      <c r="AA222" s="1">
        <f t="shared" si="24"/>
        <v>1673.8603338896844</v>
      </c>
      <c r="AB222" s="1">
        <f t="shared" si="26"/>
        <v>892402.0308955845</v>
      </c>
      <c r="AC222" s="1">
        <f t="shared" si="25"/>
        <v>2.5497200882730988</v>
      </c>
    </row>
    <row r="223" spans="23:29" x14ac:dyDescent="0.3">
      <c r="W223" s="1">
        <f t="shared" si="27"/>
        <v>222</v>
      </c>
      <c r="AA223" s="1">
        <f t="shared" si="24"/>
        <v>1650.5895646876313</v>
      </c>
      <c r="AB223" s="1">
        <f t="shared" si="26"/>
        <v>894052.62046027218</v>
      </c>
      <c r="AC223" s="1">
        <f t="shared" si="25"/>
        <v>2.5544360584579202</v>
      </c>
    </row>
    <row r="224" spans="23:29" x14ac:dyDescent="0.3">
      <c r="W224" s="1">
        <f t="shared" si="27"/>
        <v>223</v>
      </c>
      <c r="AA224" s="1">
        <f t="shared" si="24"/>
        <v>1627.6423163243799</v>
      </c>
      <c r="AB224" s="1">
        <f t="shared" si="26"/>
        <v>895680.26277659659</v>
      </c>
      <c r="AC224" s="1">
        <f t="shared" si="25"/>
        <v>2.5590864650759899</v>
      </c>
    </row>
    <row r="225" spans="23:29" x14ac:dyDescent="0.3">
      <c r="W225" s="1">
        <f t="shared" si="27"/>
        <v>224</v>
      </c>
      <c r="AA225" s="1">
        <f t="shared" si="24"/>
        <v>1605.0140910657869</v>
      </c>
      <c r="AB225" s="1">
        <f t="shared" si="26"/>
        <v>897285.27686766232</v>
      </c>
      <c r="AC225" s="1">
        <f t="shared" si="25"/>
        <v>2.5636722196218926</v>
      </c>
    </row>
    <row r="226" spans="23:29" x14ac:dyDescent="0.3">
      <c r="W226" s="1">
        <f t="shared" si="27"/>
        <v>225</v>
      </c>
      <c r="AA226" s="1">
        <f t="shared" si="24"/>
        <v>1582.7004537072623</v>
      </c>
      <c r="AB226" s="1">
        <f t="shared" si="26"/>
        <v>898867.97732136957</v>
      </c>
      <c r="AC226" s="1">
        <f t="shared" si="25"/>
        <v>2.5681942209181989</v>
      </c>
    </row>
    <row r="227" spans="23:29" x14ac:dyDescent="0.3">
      <c r="W227" s="1">
        <f t="shared" si="27"/>
        <v>226</v>
      </c>
      <c r="AA227" s="1">
        <f t="shared" si="24"/>
        <v>1560.6970307044483</v>
      </c>
      <c r="AB227" s="1">
        <f t="shared" si="26"/>
        <v>900428.67435207404</v>
      </c>
      <c r="AC227" s="1">
        <f t="shared" si="25"/>
        <v>2.57265335529164</v>
      </c>
    </row>
    <row r="228" spans="23:29" x14ac:dyDescent="0.3">
      <c r="W228" s="1">
        <f t="shared" si="27"/>
        <v>227</v>
      </c>
      <c r="AA228" s="1">
        <f t="shared" si="24"/>
        <v>1538.9995093159971</v>
      </c>
      <c r="AB228" s="1">
        <f t="shared" si="26"/>
        <v>901967.6738613901</v>
      </c>
      <c r="AC228" s="1">
        <f t="shared" si="25"/>
        <v>2.5770504967468288</v>
      </c>
    </row>
    <row r="229" spans="23:29" x14ac:dyDescent="0.3">
      <c r="W229" s="1">
        <f t="shared" si="27"/>
        <v>228</v>
      </c>
      <c r="AA229" s="1">
        <f t="shared" si="24"/>
        <v>1517.6036367582537</v>
      </c>
      <c r="AB229" s="1">
        <f t="shared" si="26"/>
        <v>903485.27749814838</v>
      </c>
      <c r="AC229" s="1">
        <f t="shared" si="25"/>
        <v>2.5813865071375668</v>
      </c>
    </row>
    <row r="230" spans="23:29" x14ac:dyDescent="0.3">
      <c r="W230" s="1">
        <f t="shared" si="27"/>
        <v>229</v>
      </c>
      <c r="AA230" s="1">
        <f t="shared" si="24"/>
        <v>1496.5052193717027</v>
      </c>
      <c r="AB230" s="1">
        <f t="shared" si="26"/>
        <v>904981.78271752014</v>
      </c>
      <c r="AC230" s="1">
        <f t="shared" si="25"/>
        <v>2.585662236335772</v>
      </c>
    </row>
    <row r="231" spans="23:29" x14ac:dyDescent="0.3">
      <c r="W231" s="1">
        <f t="shared" si="27"/>
        <v>230</v>
      </c>
      <c r="AA231" s="1">
        <f t="shared" si="24"/>
        <v>1475.7001217989909</v>
      </c>
      <c r="AB231" s="1">
        <f t="shared" si="26"/>
        <v>906457.48283931916</v>
      </c>
      <c r="AC231" s="1">
        <f t="shared" si="25"/>
        <v>2.5898785223980547</v>
      </c>
    </row>
    <row r="232" spans="23:29" x14ac:dyDescent="0.3">
      <c r="W232" s="1">
        <f t="shared" si="27"/>
        <v>231</v>
      </c>
      <c r="AA232" s="1">
        <f t="shared" si="24"/>
        <v>1455.1842661743915</v>
      </c>
      <c r="AB232" s="1">
        <f t="shared" si="26"/>
        <v>907912.6671054936</v>
      </c>
      <c r="AC232" s="1">
        <f t="shared" si="25"/>
        <v>2.5940361917299817</v>
      </c>
    </row>
    <row r="233" spans="23:29" x14ac:dyDescent="0.3">
      <c r="W233" s="1">
        <f t="shared" si="27"/>
        <v>232</v>
      </c>
      <c r="AA233" s="1">
        <f t="shared" si="24"/>
        <v>1434.9536313245221</v>
      </c>
      <c r="AB233" s="1">
        <f t="shared" si="26"/>
        <v>909347.62073681818</v>
      </c>
      <c r="AC233" s="1">
        <f t="shared" si="25"/>
        <v>2.598136059248052</v>
      </c>
    </row>
    <row r="234" spans="23:29" x14ac:dyDescent="0.3">
      <c r="W234" s="1">
        <f t="shared" si="27"/>
        <v>233</v>
      </c>
      <c r="AA234" s="1">
        <f t="shared" si="24"/>
        <v>1415.0042519801875</v>
      </c>
      <c r="AB234" s="1">
        <f t="shared" si="26"/>
        <v>910762.6249887984</v>
      </c>
      <c r="AC234" s="1">
        <f t="shared" si="25"/>
        <v>2.6021789285394239</v>
      </c>
    </row>
    <row r="235" spans="23:29" x14ac:dyDescent="0.3">
      <c r="W235" s="1">
        <f t="shared" si="27"/>
        <v>234</v>
      </c>
      <c r="AA235" s="1">
        <f t="shared" si="24"/>
        <v>1395.3322179991706</v>
      </c>
      <c r="AB235" s="1">
        <f t="shared" si="26"/>
        <v>912157.95720679755</v>
      </c>
      <c r="AC235" s="1">
        <f t="shared" si="25"/>
        <v>2.6061655920194218</v>
      </c>
    </row>
    <row r="236" spans="23:29" x14ac:dyDescent="0.3">
      <c r="W236" s="1">
        <f t="shared" si="27"/>
        <v>235</v>
      </c>
      <c r="AA236" s="1">
        <f t="shared" si="24"/>
        <v>1375.9336735998347</v>
      </c>
      <c r="AB236" s="1">
        <f t="shared" si="26"/>
        <v>913533.8908803974</v>
      </c>
      <c r="AC236" s="1">
        <f t="shared" si="25"/>
        <v>2.6100968310868495</v>
      </c>
    </row>
    <row r="237" spans="23:29" x14ac:dyDescent="0.3">
      <c r="W237" s="1">
        <f t="shared" si="27"/>
        <v>236</v>
      </c>
      <c r="AA237" s="1">
        <f t="shared" si="24"/>
        <v>1356.8048166053748</v>
      </c>
      <c r="AB237" s="1">
        <f t="shared" si="26"/>
        <v>914890.69569700281</v>
      </c>
      <c r="AC237" s="1">
        <f t="shared" si="25"/>
        <v>2.6139734162771511</v>
      </c>
    </row>
    <row r="238" spans="23:29" x14ac:dyDescent="0.3">
      <c r="W238" s="1">
        <f t="shared" si="27"/>
        <v>237</v>
      </c>
      <c r="AA238" s="1">
        <f t="shared" si="24"/>
        <v>1337.9418976985833</v>
      </c>
      <c r="AB238" s="1">
        <f t="shared" si="26"/>
        <v>916228.63759470137</v>
      </c>
      <c r="AC238" s="1">
        <f t="shared" si="25"/>
        <v>2.6177961074134326</v>
      </c>
    </row>
    <row r="239" spans="23:29" x14ac:dyDescent="0.3">
      <c r="W239" s="1">
        <f t="shared" si="27"/>
        <v>238</v>
      </c>
      <c r="AA239" s="1">
        <f t="shared" si="24"/>
        <v>1319.3412196869663</v>
      </c>
      <c r="AB239" s="1">
        <f t="shared" si="26"/>
        <v>917547.97881438839</v>
      </c>
      <c r="AC239" s="1">
        <f t="shared" si="25"/>
        <v>2.6215656537553955</v>
      </c>
    </row>
    <row r="240" spans="23:29" x14ac:dyDescent="0.3">
      <c r="W240" s="1">
        <f t="shared" si="27"/>
        <v>239</v>
      </c>
      <c r="AA240" s="1">
        <f t="shared" si="24"/>
        <v>1300.9991367780863</v>
      </c>
      <c r="AB240" s="1">
        <f t="shared" si="26"/>
        <v>918848.97795116645</v>
      </c>
      <c r="AC240" s="1">
        <f t="shared" si="25"/>
        <v>2.62528279414619</v>
      </c>
    </row>
    <row r="241" spans="23:29" x14ac:dyDescent="0.3">
      <c r="W241" s="1">
        <f t="shared" si="27"/>
        <v>240</v>
      </c>
      <c r="AA241" s="1">
        <f t="shared" si="24"/>
        <v>1282.912053864974</v>
      </c>
      <c r="AB241" s="1">
        <f t="shared" si="26"/>
        <v>920131.89000503148</v>
      </c>
      <c r="AC241" s="1">
        <f t="shared" si="25"/>
        <v>2.6289482571572331</v>
      </c>
    </row>
    <row r="242" spans="23:29" x14ac:dyDescent="0.3">
      <c r="W242" s="1">
        <f t="shared" si="27"/>
        <v>241</v>
      </c>
      <c r="AA242" s="1">
        <f t="shared" si="24"/>
        <v>1265.0764258214751</v>
      </c>
      <c r="AB242" s="1">
        <f t="shared" si="26"/>
        <v>921396.966430853</v>
      </c>
      <c r="AC242" s="1">
        <f t="shared" si="25"/>
        <v>2.6325627612310085</v>
      </c>
    </row>
    <row r="243" spans="23:29" x14ac:dyDescent="0.3">
      <c r="W243" s="1">
        <f t="shared" si="27"/>
        <v>242</v>
      </c>
      <c r="AA243" s="1">
        <f t="shared" si="24"/>
        <v>1247.4887568073955</v>
      </c>
      <c r="AB243" s="1">
        <f t="shared" si="26"/>
        <v>922644.45518766041</v>
      </c>
      <c r="AC243" s="1">
        <f t="shared" si="25"/>
        <v>2.6361270148218869</v>
      </c>
    </row>
    <row r="244" spans="23:29" x14ac:dyDescent="0.3">
      <c r="W244" s="1">
        <f t="shared" si="27"/>
        <v>243</v>
      </c>
      <c r="AA244" s="1">
        <f t="shared" si="24"/>
        <v>1230.145599583303</v>
      </c>
      <c r="AB244" s="1">
        <f t="shared" si="26"/>
        <v>923874.60078724369</v>
      </c>
      <c r="AC244" s="1">
        <f t="shared" si="25"/>
        <v>2.6396417165349821</v>
      </c>
    </row>
    <row r="245" spans="23:29" x14ac:dyDescent="0.3">
      <c r="W245" s="1">
        <f t="shared" si="27"/>
        <v>244</v>
      </c>
      <c r="AA245" s="1">
        <f t="shared" si="24"/>
        <v>1213.0435548348612</v>
      </c>
      <c r="AB245" s="1">
        <f t="shared" si="26"/>
        <v>925087.64434207859</v>
      </c>
      <c r="AC245" s="1">
        <f t="shared" si="25"/>
        <v>2.6431075552630818</v>
      </c>
    </row>
    <row r="246" spans="23:29" x14ac:dyDescent="0.3">
      <c r="W246" s="1">
        <f t="shared" si="27"/>
        <v>245</v>
      </c>
      <c r="AA246" s="1">
        <f t="shared" si="24"/>
        <v>1196.1792705065486</v>
      </c>
      <c r="AB246" s="1">
        <f t="shared" si="26"/>
        <v>926283.8236125852</v>
      </c>
      <c r="AC246" s="1">
        <f t="shared" si="25"/>
        <v>2.6465252103216721</v>
      </c>
    </row>
    <row r="247" spans="23:29" x14ac:dyDescent="0.3">
      <c r="W247" s="1">
        <f t="shared" si="27"/>
        <v>246</v>
      </c>
      <c r="AA247" s="1">
        <f t="shared" si="24"/>
        <v>1179.5494411446493</v>
      </c>
      <c r="AB247" s="1">
        <f t="shared" si="26"/>
        <v>927463.37305372988</v>
      </c>
      <c r="AC247" s="1">
        <f t="shared" si="25"/>
        <v>2.6498953515820851</v>
      </c>
    </row>
    <row r="248" spans="23:29" x14ac:dyDescent="0.3">
      <c r="W248" s="1">
        <f t="shared" si="27"/>
        <v>247</v>
      </c>
      <c r="AA248" s="1">
        <f t="shared" si="24"/>
        <v>1163.1508072493696</v>
      </c>
      <c r="AB248" s="1">
        <f t="shared" si="26"/>
        <v>928626.52386097924</v>
      </c>
      <c r="AC248" s="1">
        <f t="shared" si="25"/>
        <v>2.6532186396027977</v>
      </c>
    </row>
    <row r="249" spans="23:29" x14ac:dyDescent="0.3">
      <c r="W249" s="1">
        <f t="shared" si="27"/>
        <v>248</v>
      </c>
      <c r="AA249" s="1">
        <f t="shared" si="24"/>
        <v>1146.980154635969</v>
      </c>
      <c r="AB249" s="1">
        <f t="shared" si="26"/>
        <v>929773.50401561521</v>
      </c>
      <c r="AC249" s="1">
        <f t="shared" si="25"/>
        <v>2.656495725758901</v>
      </c>
    </row>
    <row r="250" spans="23:29" x14ac:dyDescent="0.3">
      <c r="W250" s="1">
        <f t="shared" si="27"/>
        <v>249</v>
      </c>
      <c r="AA250" s="1">
        <f t="shared" si="24"/>
        <v>1131.0343138047665</v>
      </c>
      <c r="AB250" s="1">
        <f t="shared" si="26"/>
        <v>930904.53832942003</v>
      </c>
      <c r="AC250" s="1">
        <f t="shared" si="25"/>
        <v>2.6597272523697715</v>
      </c>
    </row>
    <row r="251" spans="23:29" x14ac:dyDescent="0.3">
      <c r="W251" s="1">
        <f t="shared" si="27"/>
        <v>250</v>
      </c>
      <c r="AA251" s="1">
        <f t="shared" si="24"/>
        <v>1115.3101593199115</v>
      </c>
      <c r="AB251" s="1">
        <f t="shared" si="26"/>
        <v>932019.84848873992</v>
      </c>
      <c r="AC251" s="1">
        <f t="shared" si="25"/>
        <v>2.6629138528249712</v>
      </c>
    </row>
    <row r="252" spans="23:29" x14ac:dyDescent="0.3">
      <c r="W252" s="1">
        <f t="shared" si="27"/>
        <v>251</v>
      </c>
      <c r="AA252" s="1">
        <f t="shared" si="24"/>
        <v>1099.8046091967856</v>
      </c>
      <c r="AB252" s="1">
        <f t="shared" si="26"/>
        <v>933119.65309793677</v>
      </c>
      <c r="AC252" s="1">
        <f t="shared" si="25"/>
        <v>2.6660561517083909</v>
      </c>
    </row>
    <row r="253" spans="23:29" x14ac:dyDescent="0.3">
      <c r="W253" s="1">
        <f t="shared" si="27"/>
        <v>252</v>
      </c>
      <c r="AA253" s="1">
        <f t="shared" si="24"/>
        <v>1084.5146242979272</v>
      </c>
      <c r="AB253" s="1">
        <f t="shared" si="26"/>
        <v>934204.16772223474</v>
      </c>
      <c r="AC253" s="1">
        <f t="shared" si="25"/>
        <v>2.6691547649206706</v>
      </c>
    </row>
    <row r="254" spans="23:29" x14ac:dyDescent="0.3">
      <c r="W254" s="1">
        <f t="shared" si="27"/>
        <v>253</v>
      </c>
      <c r="AA254" s="1">
        <f t="shared" si="24"/>
        <v>1069.4372077373462</v>
      </c>
      <c r="AB254" s="1">
        <f t="shared" si="26"/>
        <v>935273.60492997209</v>
      </c>
      <c r="AC254" s="1">
        <f t="shared" si="25"/>
        <v>2.6722102997999202</v>
      </c>
    </row>
    <row r="255" spans="23:29" x14ac:dyDescent="0.3">
      <c r="W255" s="1">
        <f t="shared" si="27"/>
        <v>254</v>
      </c>
      <c r="AA255" s="1">
        <f t="shared" si="24"/>
        <v>1054.5694042931293</v>
      </c>
      <c r="AB255" s="1">
        <f t="shared" si="26"/>
        <v>936328.17433426518</v>
      </c>
      <c r="AC255" s="1">
        <f t="shared" si="25"/>
        <v>2.6752233552407576</v>
      </c>
    </row>
    <row r="256" spans="23:29" x14ac:dyDescent="0.3">
      <c r="W256" s="1">
        <f t="shared" si="27"/>
        <v>255</v>
      </c>
      <c r="AA256" s="1">
        <f t="shared" si="24"/>
        <v>1039.9082998282038</v>
      </c>
      <c r="AB256" s="1">
        <f t="shared" si="26"/>
        <v>937368.08263409336</v>
      </c>
      <c r="AC256" s="1">
        <f t="shared" si="25"/>
        <v>2.6781945218116952</v>
      </c>
    </row>
    <row r="257" spans="23:29" x14ac:dyDescent="0.3">
      <c r="W257" s="1">
        <f t="shared" si="27"/>
        <v>256</v>
      </c>
      <c r="AA257" s="1">
        <f t="shared" si="24"/>
        <v>1025.4510207191597</v>
      </c>
      <c r="AB257" s="1">
        <f t="shared" si="26"/>
        <v>938393.53365481249</v>
      </c>
      <c r="AC257" s="1">
        <f t="shared" si="25"/>
        <v>2.6811243818708927</v>
      </c>
    </row>
    <row r="258" spans="23:29" x14ac:dyDescent="0.3">
      <c r="W258" s="1">
        <f t="shared" si="27"/>
        <v>257</v>
      </c>
      <c r="AA258" s="1">
        <f t="shared" si="24"/>
        <v>1011.1947332930088</v>
      </c>
      <c r="AB258" s="1">
        <f t="shared" si="26"/>
        <v>939404.72838810552</v>
      </c>
      <c r="AC258" s="1">
        <f t="shared" si="25"/>
        <v>2.6840135096803013</v>
      </c>
    </row>
    <row r="259" spans="23:29" x14ac:dyDescent="0.3">
      <c r="W259" s="1">
        <f t="shared" si="27"/>
        <v>258</v>
      </c>
      <c r="AA259" s="1">
        <f t="shared" ref="AA259:AA322" si="28">36934*EXP(-0.014*W259)</f>
        <v>997.13664327177537</v>
      </c>
      <c r="AB259" s="1">
        <f t="shared" si="26"/>
        <v>940401.8650313773</v>
      </c>
      <c r="AC259" s="1">
        <f t="shared" ref="AC259:AC322" si="29">(AB259*100)/(35*10^6)</f>
        <v>2.6868624715182206</v>
      </c>
    </row>
    <row r="260" spans="23:29" x14ac:dyDescent="0.3">
      <c r="W260" s="1">
        <f t="shared" si="27"/>
        <v>259</v>
      </c>
      <c r="AA260" s="1">
        <f t="shared" si="28"/>
        <v>983.2739952248113</v>
      </c>
      <c r="AB260" s="1">
        <f t="shared" ref="AB260:AB323" si="30">AB259+AA260</f>
        <v>941385.13902660215</v>
      </c>
      <c r="AC260" s="1">
        <f t="shared" si="29"/>
        <v>2.6896718257902918</v>
      </c>
    </row>
    <row r="261" spans="23:29" x14ac:dyDescent="0.3">
      <c r="W261" s="1">
        <f t="shared" si="27"/>
        <v>260</v>
      </c>
      <c r="AA261" s="1">
        <f t="shared" si="28"/>
        <v>969.6040720287192</v>
      </c>
      <c r="AB261" s="1">
        <f t="shared" si="30"/>
        <v>942354.74309863092</v>
      </c>
      <c r="AC261" s="1">
        <f t="shared" si="29"/>
        <v>2.6924421231389455</v>
      </c>
    </row>
    <row r="262" spans="23:29" x14ac:dyDescent="0.3">
      <c r="W262" s="1">
        <f t="shared" si="27"/>
        <v>261</v>
      </c>
      <c r="AA262" s="1">
        <f t="shared" si="28"/>
        <v>956.12419433479124</v>
      </c>
      <c r="AB262" s="1">
        <f t="shared" si="30"/>
        <v>943310.86729296576</v>
      </c>
      <c r="AC262" s="1">
        <f t="shared" si="29"/>
        <v>2.6951739065513309</v>
      </c>
    </row>
    <row r="263" spans="23:29" x14ac:dyDescent="0.3">
      <c r="W263" s="1">
        <f t="shared" si="27"/>
        <v>262</v>
      </c>
      <c r="AA263" s="1">
        <f t="shared" si="28"/>
        <v>942.83172004384483</v>
      </c>
      <c r="AB263" s="1">
        <f t="shared" si="30"/>
        <v>944253.69901300955</v>
      </c>
      <c r="AC263" s="1">
        <f t="shared" si="29"/>
        <v>2.6978677114657414</v>
      </c>
    </row>
    <row r="264" spans="23:29" x14ac:dyDescent="0.3">
      <c r="W264" s="1">
        <f t="shared" ref="W264:W269" si="31">W263+1</f>
        <v>263</v>
      </c>
      <c r="AA264" s="1">
        <f t="shared" si="28"/>
        <v>929.72404378836552</v>
      </c>
      <c r="AB264" s="1">
        <f t="shared" si="30"/>
        <v>945183.42305679794</v>
      </c>
      <c r="AC264" s="1">
        <f t="shared" si="29"/>
        <v>2.7005240658765657</v>
      </c>
    </row>
    <row r="265" spans="23:29" x14ac:dyDescent="0.3">
      <c r="W265" s="1">
        <f t="shared" si="31"/>
        <v>264</v>
      </c>
      <c r="AA265" s="1">
        <f t="shared" si="28"/>
        <v>916.79859642184454</v>
      </c>
      <c r="AB265" s="1">
        <f t="shared" si="30"/>
        <v>946100.22165321978</v>
      </c>
      <c r="AC265" s="1">
        <f t="shared" si="29"/>
        <v>2.7031434904377707</v>
      </c>
    </row>
    <row r="266" spans="23:29" x14ac:dyDescent="0.3">
      <c r="W266" s="1">
        <f t="shared" si="31"/>
        <v>265</v>
      </c>
      <c r="AA266" s="1">
        <f t="shared" si="28"/>
        <v>904.0528445152197</v>
      </c>
      <c r="AB266" s="1">
        <f t="shared" si="30"/>
        <v>947004.27449773496</v>
      </c>
      <c r="AC266" s="1">
        <f t="shared" si="29"/>
        <v>2.7057264985649567</v>
      </c>
    </row>
    <row r="267" spans="23:29" x14ac:dyDescent="0.3">
      <c r="W267" s="1">
        <f t="shared" si="31"/>
        <v>266</v>
      </c>
      <c r="AA267" s="1">
        <f t="shared" si="28"/>
        <v>891.48428986031297</v>
      </c>
      <c r="AB267" s="1">
        <f t="shared" si="30"/>
        <v>947895.75878759532</v>
      </c>
      <c r="AC267" s="1">
        <f t="shared" si="29"/>
        <v>2.7082735965359865</v>
      </c>
    </row>
    <row r="268" spans="23:29" x14ac:dyDescent="0.3">
      <c r="W268" s="1">
        <f t="shared" si="31"/>
        <v>267</v>
      </c>
      <c r="AA268" s="1">
        <f t="shared" si="28"/>
        <v>879.09046898017607</v>
      </c>
      <c r="AB268" s="1">
        <f t="shared" si="30"/>
        <v>948774.84925657546</v>
      </c>
      <c r="AC268" s="1">
        <f t="shared" si="29"/>
        <v>2.7107852835902153</v>
      </c>
    </row>
    <row r="269" spans="23:29" x14ac:dyDescent="0.3">
      <c r="W269" s="1">
        <f>W268+1</f>
        <v>268</v>
      </c>
      <c r="AA269" s="1">
        <f t="shared" si="28"/>
        <v>866.86895264623911</v>
      </c>
      <c r="AB269" s="1">
        <f t="shared" si="30"/>
        <v>949641.71820922173</v>
      </c>
      <c r="AC269" s="1">
        <f t="shared" si="29"/>
        <v>2.7132620520263475</v>
      </c>
    </row>
    <row r="270" spans="23:29" x14ac:dyDescent="0.3">
      <c r="W270" s="1">
        <f t="shared" ref="W270:W333" si="32">W269+1</f>
        <v>269</v>
      </c>
      <c r="AA270" s="1">
        <f t="shared" si="28"/>
        <v>854.81734540217565</v>
      </c>
      <c r="AB270" s="1">
        <f t="shared" si="30"/>
        <v>950496.53555462393</v>
      </c>
      <c r="AC270" s="1">
        <f t="shared" si="29"/>
        <v>2.7157043872989255</v>
      </c>
    </row>
    <row r="271" spans="23:29" x14ac:dyDescent="0.3">
      <c r="W271" s="1">
        <f t="shared" si="32"/>
        <v>270</v>
      </c>
      <c r="AA271" s="1">
        <f t="shared" si="28"/>
        <v>842.93328509438379</v>
      </c>
      <c r="AB271" s="1">
        <f t="shared" si="30"/>
        <v>951339.46883971826</v>
      </c>
      <c r="AC271" s="1">
        <f t="shared" si="29"/>
        <v>2.7181127681134809</v>
      </c>
    </row>
    <row r="272" spans="23:29" x14ac:dyDescent="0.3">
      <c r="W272" s="1">
        <f t="shared" si="32"/>
        <v>271</v>
      </c>
      <c r="AA272" s="1">
        <f t="shared" si="28"/>
        <v>831.21444240899882</v>
      </c>
      <c r="AB272" s="1">
        <f t="shared" si="30"/>
        <v>952170.68328212725</v>
      </c>
      <c r="AC272" s="1">
        <f t="shared" si="29"/>
        <v>2.7204876665203637</v>
      </c>
    </row>
    <row r="273" spans="23:29" x14ac:dyDescent="0.3">
      <c r="W273" s="1">
        <f t="shared" si="32"/>
        <v>272</v>
      </c>
      <c r="AA273" s="1">
        <f t="shared" si="28"/>
        <v>819.65852041533765</v>
      </c>
      <c r="AB273" s="1">
        <f t="shared" si="30"/>
        <v>952990.34180254256</v>
      </c>
      <c r="AC273" s="1">
        <f t="shared" si="29"/>
        <v>2.7228295480072644</v>
      </c>
    </row>
    <row r="274" spans="23:29" x14ac:dyDescent="0.3">
      <c r="W274" s="1">
        <f t="shared" si="32"/>
        <v>273</v>
      </c>
      <c r="AA274" s="1">
        <f t="shared" si="28"/>
        <v>808.26325411569542</v>
      </c>
      <c r="AB274" s="1">
        <f t="shared" si="30"/>
        <v>953798.60505665827</v>
      </c>
      <c r="AC274" s="1">
        <f t="shared" si="29"/>
        <v>2.7251388715904521</v>
      </c>
    </row>
    <row r="275" spans="23:29" x14ac:dyDescent="0.3">
      <c r="W275" s="1">
        <f t="shared" si="32"/>
        <v>274</v>
      </c>
      <c r="AA275" s="1">
        <f t="shared" si="28"/>
        <v>797.0264100013967</v>
      </c>
      <c r="AB275" s="1">
        <f t="shared" si="30"/>
        <v>954595.63146665972</v>
      </c>
      <c r="AC275" s="1">
        <f t="shared" si="29"/>
        <v>2.7274160899047422</v>
      </c>
    </row>
    <row r="276" spans="23:29" x14ac:dyDescent="0.3">
      <c r="W276" s="1">
        <f t="shared" si="32"/>
        <v>275</v>
      </c>
      <c r="AA276" s="1">
        <f t="shared" si="28"/>
        <v>785.94578561502237</v>
      </c>
      <c r="AB276" s="1">
        <f t="shared" si="30"/>
        <v>955381.57725227473</v>
      </c>
      <c r="AC276" s="1">
        <f t="shared" si="29"/>
        <v>2.7296616492922134</v>
      </c>
    </row>
    <row r="277" spans="23:29" x14ac:dyDescent="0.3">
      <c r="W277" s="1">
        <f t="shared" si="32"/>
        <v>276</v>
      </c>
      <c r="AA277" s="1">
        <f t="shared" si="28"/>
        <v>775.01920911871946</v>
      </c>
      <c r="AB277" s="1">
        <f t="shared" si="30"/>
        <v>956156.5964613934</v>
      </c>
      <c r="AC277" s="1">
        <f t="shared" si="29"/>
        <v>2.7318759898896956</v>
      </c>
    </row>
    <row r="278" spans="23:29" x14ac:dyDescent="0.3">
      <c r="W278" s="1">
        <f t="shared" si="32"/>
        <v>277</v>
      </c>
      <c r="AA278" s="1">
        <f t="shared" si="28"/>
        <v>764.2445388685145</v>
      </c>
      <c r="AB278" s="1">
        <f t="shared" si="30"/>
        <v>956920.84100026195</v>
      </c>
      <c r="AC278" s="1">
        <f t="shared" si="29"/>
        <v>2.7340595457150338</v>
      </c>
    </row>
    <row r="279" spans="23:29" x14ac:dyDescent="0.3">
      <c r="W279" s="1">
        <f t="shared" si="32"/>
        <v>278</v>
      </c>
      <c r="AA279" s="1">
        <f t="shared" si="28"/>
        <v>753.61966299454548</v>
      </c>
      <c r="AB279" s="1">
        <f t="shared" si="30"/>
        <v>957674.46066325647</v>
      </c>
      <c r="AC279" s="1">
        <f t="shared" si="29"/>
        <v>2.7362127447521614</v>
      </c>
    </row>
    <row r="280" spans="23:29" x14ac:dyDescent="0.3">
      <c r="W280" s="1">
        <f t="shared" si="32"/>
        <v>279</v>
      </c>
      <c r="AA280" s="1">
        <f t="shared" si="28"/>
        <v>743.14249898712683</v>
      </c>
      <c r="AB280" s="1">
        <f t="shared" si="30"/>
        <v>958417.60316224361</v>
      </c>
      <c r="AC280" s="1">
        <f t="shared" si="29"/>
        <v>2.738336009034982</v>
      </c>
    </row>
    <row r="281" spans="23:29" x14ac:dyDescent="0.3">
      <c r="W281" s="1">
        <f t="shared" si="32"/>
        <v>280</v>
      </c>
      <c r="AA281" s="1">
        <f t="shared" si="28"/>
        <v>732.81099328857226</v>
      </c>
      <c r="AB281" s="1">
        <f t="shared" si="30"/>
        <v>959150.41415553214</v>
      </c>
      <c r="AC281" s="1">
        <f t="shared" si="29"/>
        <v>2.740429754730092</v>
      </c>
    </row>
    <row r="282" spans="23:29" x14ac:dyDescent="0.3">
      <c r="W282" s="1">
        <f t="shared" si="32"/>
        <v>281</v>
      </c>
      <c r="AA282" s="1">
        <f t="shared" si="28"/>
        <v>722.62312089068951</v>
      </c>
      <c r="AB282" s="1">
        <f t="shared" si="30"/>
        <v>959873.03727642284</v>
      </c>
      <c r="AC282" s="1">
        <f t="shared" si="29"/>
        <v>2.7424943922183509</v>
      </c>
    </row>
    <row r="283" spans="23:29" x14ac:dyDescent="0.3">
      <c r="W283" s="1">
        <f t="shared" si="32"/>
        <v>282</v>
      </c>
      <c r="AA283" s="1">
        <f t="shared" si="28"/>
        <v>712.57688493787418</v>
      </c>
      <c r="AB283" s="1">
        <f t="shared" si="30"/>
        <v>960585.61416136066</v>
      </c>
      <c r="AC283" s="1">
        <f t="shared" si="29"/>
        <v>2.7445303261753162</v>
      </c>
    </row>
    <row r="284" spans="23:29" x14ac:dyDescent="0.3">
      <c r="W284" s="1">
        <f t="shared" si="32"/>
        <v>283</v>
      </c>
      <c r="AA284" s="1">
        <f t="shared" si="28"/>
        <v>702.67031633571753</v>
      </c>
      <c r="AB284" s="1">
        <f t="shared" si="30"/>
        <v>961288.2844776964</v>
      </c>
      <c r="AC284" s="1">
        <f t="shared" si="29"/>
        <v>2.7465379556505614</v>
      </c>
    </row>
    <row r="285" spans="23:29" x14ac:dyDescent="0.3">
      <c r="W285" s="1">
        <f t="shared" si="32"/>
        <v>284</v>
      </c>
      <c r="AA285" s="1">
        <f t="shared" si="28"/>
        <v>692.90147336505947</v>
      </c>
      <c r="AB285" s="1">
        <f t="shared" si="30"/>
        <v>961981.18595106143</v>
      </c>
      <c r="AC285" s="1">
        <f t="shared" si="29"/>
        <v>2.7485176741458899</v>
      </c>
    </row>
    <row r="286" spans="23:29" x14ac:dyDescent="0.3">
      <c r="W286" s="1">
        <f t="shared" si="32"/>
        <v>285</v>
      </c>
      <c r="AA286" s="1">
        <f t="shared" si="28"/>
        <v>683.26844130140387</v>
      </c>
      <c r="AB286" s="1">
        <f t="shared" si="30"/>
        <v>962664.45439236285</v>
      </c>
      <c r="AC286" s="1">
        <f t="shared" si="29"/>
        <v>2.7504698696924654</v>
      </c>
    </row>
    <row r="287" spans="23:29" x14ac:dyDescent="0.3">
      <c r="W287" s="1">
        <f t="shared" si="32"/>
        <v>286</v>
      </c>
      <c r="AA287" s="1">
        <f t="shared" si="28"/>
        <v>673.76933203962756</v>
      </c>
      <c r="AB287" s="1">
        <f t="shared" si="30"/>
        <v>963338.22372440249</v>
      </c>
      <c r="AC287" s="1">
        <f t="shared" si="29"/>
        <v>2.7523949249268642</v>
      </c>
    </row>
    <row r="288" spans="23:29" x14ac:dyDescent="0.3">
      <c r="W288" s="1">
        <f t="shared" si="32"/>
        <v>287</v>
      </c>
      <c r="AA288" s="1">
        <f t="shared" si="28"/>
        <v>664.40228372390607</v>
      </c>
      <c r="AB288" s="1">
        <f t="shared" si="30"/>
        <v>964002.62600812642</v>
      </c>
      <c r="AC288" s="1">
        <f t="shared" si="29"/>
        <v>2.7542932171660754</v>
      </c>
    </row>
    <row r="289" spans="23:29" x14ac:dyDescent="0.3">
      <c r="W289" s="1">
        <f t="shared" si="32"/>
        <v>288</v>
      </c>
      <c r="AA289" s="1">
        <f t="shared" si="28"/>
        <v>655.16546038278079</v>
      </c>
      <c r="AB289" s="1">
        <f t="shared" si="30"/>
        <v>964657.79146850924</v>
      </c>
      <c r="AC289" s="1">
        <f t="shared" si="29"/>
        <v>2.7561651184814551</v>
      </c>
    </row>
    <row r="290" spans="23:29" x14ac:dyDescent="0.3">
      <c r="W290" s="1">
        <f t="shared" si="32"/>
        <v>289</v>
      </c>
      <c r="AA290" s="1">
        <f t="shared" si="28"/>
        <v>646.0570515693073</v>
      </c>
      <c r="AB290" s="1">
        <f t="shared" si="30"/>
        <v>965303.84852007858</v>
      </c>
      <c r="AC290" s="1">
        <f t="shared" si="29"/>
        <v>2.7580109957716528</v>
      </c>
    </row>
    <row r="291" spans="23:29" x14ac:dyDescent="0.3">
      <c r="W291" s="1">
        <f t="shared" si="32"/>
        <v>290</v>
      </c>
      <c r="AA291" s="1">
        <f t="shared" si="28"/>
        <v>637.07527200619893</v>
      </c>
      <c r="AB291" s="1">
        <f t="shared" si="30"/>
        <v>965940.9237920848</v>
      </c>
      <c r="AC291" s="1">
        <f t="shared" si="29"/>
        <v>2.7598312108345278</v>
      </c>
    </row>
    <row r="292" spans="23:29" x14ac:dyDescent="0.3">
      <c r="W292" s="1">
        <f t="shared" si="32"/>
        <v>291</v>
      </c>
      <c r="AA292" s="1">
        <f t="shared" si="28"/>
        <v>628.21836123590788</v>
      </c>
      <c r="AB292" s="1">
        <f t="shared" si="30"/>
        <v>966569.14215332072</v>
      </c>
      <c r="AC292" s="1">
        <f t="shared" si="29"/>
        <v>2.7616261204380592</v>
      </c>
    </row>
    <row r="293" spans="23:29" x14ac:dyDescent="0.3">
      <c r="W293" s="1">
        <f t="shared" si="32"/>
        <v>292</v>
      </c>
      <c r="AA293" s="1">
        <f t="shared" si="28"/>
        <v>619.48458327556807</v>
      </c>
      <c r="AB293" s="1">
        <f t="shared" si="30"/>
        <v>967188.62673659634</v>
      </c>
      <c r="AC293" s="1">
        <f t="shared" si="29"/>
        <v>2.7633960763902752</v>
      </c>
    </row>
    <row r="294" spans="23:29" x14ac:dyDescent="0.3">
      <c r="W294" s="1">
        <f t="shared" si="32"/>
        <v>293</v>
      </c>
      <c r="AA294" s="1">
        <f t="shared" si="28"/>
        <v>610.87222627673998</v>
      </c>
      <c r="AB294" s="1">
        <f t="shared" si="30"/>
        <v>967799.49896287313</v>
      </c>
      <c r="AC294" s="1">
        <f t="shared" si="29"/>
        <v>2.765141425608209</v>
      </c>
    </row>
    <row r="295" spans="23:29" x14ac:dyDescent="0.3">
      <c r="W295" s="1">
        <f t="shared" si="32"/>
        <v>294</v>
      </c>
      <c r="AA295" s="1">
        <f t="shared" si="28"/>
        <v>602.3796021898811</v>
      </c>
      <c r="AB295" s="1">
        <f t="shared" si="30"/>
        <v>968401.878565063</v>
      </c>
      <c r="AC295" s="1">
        <f t="shared" si="29"/>
        <v>2.7668625101858946</v>
      </c>
    </row>
    <row r="296" spans="23:29" x14ac:dyDescent="0.3">
      <c r="W296" s="1">
        <f t="shared" si="32"/>
        <v>295</v>
      </c>
      <c r="AA296" s="1">
        <f t="shared" si="28"/>
        <v>594.0050464334812</v>
      </c>
      <c r="AB296" s="1">
        <f t="shared" si="30"/>
        <v>968995.88361149654</v>
      </c>
      <c r="AC296" s="1">
        <f t="shared" si="29"/>
        <v>2.7685596674614188</v>
      </c>
    </row>
    <row r="297" spans="23:29" x14ac:dyDescent="0.3">
      <c r="W297" s="1">
        <f t="shared" si="32"/>
        <v>296</v>
      </c>
      <c r="AA297" s="1">
        <f t="shared" si="28"/>
        <v>585.74691756780283</v>
      </c>
      <c r="AB297" s="1">
        <f t="shared" si="30"/>
        <v>969581.63052906434</v>
      </c>
      <c r="AC297" s="1">
        <f t="shared" si="29"/>
        <v>2.7702332300830412</v>
      </c>
    </row>
    <row r="298" spans="23:29" x14ac:dyDescent="0.3">
      <c r="W298" s="1">
        <f t="shared" si="32"/>
        <v>297</v>
      </c>
      <c r="AA298" s="1">
        <f t="shared" si="28"/>
        <v>577.6035969731513</v>
      </c>
      <c r="AB298" s="1">
        <f t="shared" si="30"/>
        <v>970159.23412603745</v>
      </c>
      <c r="AC298" s="1">
        <f t="shared" si="29"/>
        <v>2.7718835260743928</v>
      </c>
    </row>
    <row r="299" spans="23:29" x14ac:dyDescent="0.3">
      <c r="W299" s="1">
        <f t="shared" si="32"/>
        <v>298</v>
      </c>
      <c r="AA299" s="1">
        <f t="shared" si="28"/>
        <v>569.57348853262067</v>
      </c>
      <c r="AB299" s="1">
        <f t="shared" si="30"/>
        <v>970728.80761457002</v>
      </c>
      <c r="AC299" s="1">
        <f t="shared" si="29"/>
        <v>2.7735108788987715</v>
      </c>
    </row>
    <row r="300" spans="23:29" x14ac:dyDescent="0.3">
      <c r="W300" s="1">
        <f t="shared" si="32"/>
        <v>299</v>
      </c>
      <c r="AA300" s="1">
        <f t="shared" si="28"/>
        <v>561.65501831924848</v>
      </c>
      <c r="AB300" s="1">
        <f t="shared" si="30"/>
        <v>971290.46263288928</v>
      </c>
      <c r="AC300" s="1">
        <f t="shared" si="29"/>
        <v>2.7751156075225407</v>
      </c>
    </row>
    <row r="301" spans="23:29" x14ac:dyDescent="0.3">
      <c r="W301" s="1">
        <f t="shared" si="32"/>
        <v>300</v>
      </c>
      <c r="AA301" s="1">
        <f t="shared" si="28"/>
        <v>553.84663428752344</v>
      </c>
      <c r="AB301" s="1">
        <f t="shared" si="30"/>
        <v>971844.30926717678</v>
      </c>
      <c r="AC301" s="1">
        <f t="shared" si="29"/>
        <v>2.7766980264776482</v>
      </c>
    </row>
    <row r="302" spans="23:29" x14ac:dyDescent="0.3">
      <c r="W302" s="1">
        <f t="shared" si="32"/>
        <v>301</v>
      </c>
      <c r="AA302" s="1">
        <f t="shared" si="28"/>
        <v>546.14680596917822</v>
      </c>
      <c r="AB302" s="1">
        <f t="shared" si="30"/>
        <v>972390.45607314596</v>
      </c>
      <c r="AC302" s="1">
        <f t="shared" si="29"/>
        <v>2.7782584459232744</v>
      </c>
    </row>
    <row r="303" spans="23:29" x14ac:dyDescent="0.3">
      <c r="W303" s="1">
        <f t="shared" si="32"/>
        <v>302</v>
      </c>
      <c r="AA303" s="1">
        <f t="shared" si="28"/>
        <v>538.55402417321261</v>
      </c>
      <c r="AB303" s="1">
        <f t="shared" si="30"/>
        <v>972929.01009731914</v>
      </c>
      <c r="AC303" s="1">
        <f t="shared" si="29"/>
        <v>2.7797971717066261</v>
      </c>
    </row>
    <row r="304" spans="23:29" x14ac:dyDescent="0.3">
      <c r="W304" s="1">
        <f t="shared" si="32"/>
        <v>303</v>
      </c>
      <c r="AA304" s="1">
        <f t="shared" si="28"/>
        <v>531.06680069008689</v>
      </c>
      <c r="AB304" s="1">
        <f t="shared" si="30"/>
        <v>973460.07689800928</v>
      </c>
      <c r="AC304" s="1">
        <f t="shared" si="29"/>
        <v>2.7813145054228836</v>
      </c>
    </row>
    <row r="305" spans="23:29" x14ac:dyDescent="0.3">
      <c r="W305" s="1">
        <f t="shared" si="32"/>
        <v>304</v>
      </c>
      <c r="AA305" s="1">
        <f t="shared" si="28"/>
        <v>523.68366800002934</v>
      </c>
      <c r="AB305" s="1">
        <f t="shared" si="30"/>
        <v>973983.76056600932</v>
      </c>
      <c r="AC305" s="1">
        <f t="shared" si="29"/>
        <v>2.7828107444743124</v>
      </c>
    </row>
    <row r="306" spans="23:29" x14ac:dyDescent="0.3">
      <c r="W306" s="1">
        <f t="shared" si="32"/>
        <v>305</v>
      </c>
      <c r="AA306" s="1">
        <f t="shared" si="28"/>
        <v>516.40317898539661</v>
      </c>
      <c r="AB306" s="1">
        <f t="shared" si="30"/>
        <v>974500.16374499467</v>
      </c>
      <c r="AC306" s="1">
        <f t="shared" si="29"/>
        <v>2.7842861821285565</v>
      </c>
    </row>
    <row r="307" spans="23:29" x14ac:dyDescent="0.3">
      <c r="W307" s="1">
        <f t="shared" si="32"/>
        <v>306</v>
      </c>
      <c r="AA307" s="1">
        <f t="shared" si="28"/>
        <v>509.22390664703511</v>
      </c>
      <c r="AB307" s="1">
        <f t="shared" si="30"/>
        <v>975009.38765164174</v>
      </c>
      <c r="AC307" s="1">
        <f t="shared" si="29"/>
        <v>2.7857411075761189</v>
      </c>
    </row>
    <row r="308" spans="23:29" x14ac:dyDescent="0.3">
      <c r="W308" s="1">
        <f t="shared" si="32"/>
        <v>307</v>
      </c>
      <c r="AA308" s="1">
        <f t="shared" si="28"/>
        <v>502.14444382458197</v>
      </c>
      <c r="AB308" s="1">
        <f t="shared" si="30"/>
        <v>975511.53209546627</v>
      </c>
      <c r="AC308" s="1">
        <f t="shared" si="29"/>
        <v>2.7871758059870464</v>
      </c>
    </row>
    <row r="309" spans="23:29" x14ac:dyDescent="0.3">
      <c r="W309" s="1">
        <f t="shared" si="32"/>
        <v>308</v>
      </c>
      <c r="AA309" s="1">
        <f t="shared" si="28"/>
        <v>495.16340292066081</v>
      </c>
      <c r="AB309" s="1">
        <f t="shared" si="30"/>
        <v>976006.69549838698</v>
      </c>
      <c r="AC309" s="1">
        <f t="shared" si="29"/>
        <v>2.7885905585668196</v>
      </c>
    </row>
    <row r="310" spans="23:29" x14ac:dyDescent="0.3">
      <c r="W310" s="1">
        <f t="shared" si="32"/>
        <v>309</v>
      </c>
      <c r="AA310" s="1">
        <f t="shared" si="28"/>
        <v>488.27941562890555</v>
      </c>
      <c r="AB310" s="1">
        <f t="shared" si="30"/>
        <v>976494.97491401585</v>
      </c>
      <c r="AC310" s="1">
        <f t="shared" si="29"/>
        <v>2.789985642611474</v>
      </c>
    </row>
    <row r="311" spans="23:29" x14ac:dyDescent="0.3">
      <c r="W311" s="1">
        <f t="shared" si="32"/>
        <v>310</v>
      </c>
      <c r="AA311" s="1">
        <f t="shared" si="28"/>
        <v>481.49113266576933</v>
      </c>
      <c r="AB311" s="1">
        <f t="shared" si="30"/>
        <v>976976.46604668163</v>
      </c>
      <c r="AC311" s="1">
        <f t="shared" si="29"/>
        <v>2.7913613315619479</v>
      </c>
    </row>
    <row r="312" spans="23:29" x14ac:dyDescent="0.3">
      <c r="W312" s="1">
        <f t="shared" si="32"/>
        <v>311</v>
      </c>
      <c r="AA312" s="1">
        <f t="shared" si="28"/>
        <v>474.79722350605886</v>
      </c>
      <c r="AB312" s="1">
        <f t="shared" si="30"/>
        <v>977451.26327018766</v>
      </c>
      <c r="AC312" s="1">
        <f t="shared" si="29"/>
        <v>2.7927178950576792</v>
      </c>
    </row>
    <row r="313" spans="23:29" x14ac:dyDescent="0.3">
      <c r="W313" s="1">
        <f t="shared" si="32"/>
        <v>312</v>
      </c>
      <c r="AA313" s="1">
        <f t="shared" si="28"/>
        <v>468.19637612214973</v>
      </c>
      <c r="AB313" s="1">
        <f t="shared" si="30"/>
        <v>977919.45964630984</v>
      </c>
      <c r="AC313" s="1">
        <f t="shared" si="29"/>
        <v>2.7940555989894569</v>
      </c>
    </row>
    <row r="314" spans="23:29" x14ac:dyDescent="0.3">
      <c r="W314" s="1">
        <f t="shared" si="32"/>
        <v>313</v>
      </c>
      <c r="AA314" s="1">
        <f t="shared" si="28"/>
        <v>461.68729672682338</v>
      </c>
      <c r="AB314" s="1">
        <f t="shared" si="30"/>
        <v>978381.1469430367</v>
      </c>
      <c r="AC314" s="1">
        <f t="shared" si="29"/>
        <v>2.7953747055515334</v>
      </c>
    </row>
    <row r="315" spans="23:29" x14ac:dyDescent="0.3">
      <c r="W315" s="1">
        <f t="shared" si="32"/>
        <v>314</v>
      </c>
      <c r="AA315" s="1">
        <f t="shared" si="28"/>
        <v>455.26870951967965</v>
      </c>
      <c r="AB315" s="1">
        <f t="shared" si="30"/>
        <v>978836.41565255634</v>
      </c>
      <c r="AC315" s="1">
        <f t="shared" si="29"/>
        <v>2.7966754732930181</v>
      </c>
    </row>
    <row r="316" spans="23:29" x14ac:dyDescent="0.3">
      <c r="W316" s="1">
        <f t="shared" si="32"/>
        <v>315</v>
      </c>
      <c r="AA316" s="1">
        <f t="shared" si="28"/>
        <v>448.93935643707817</v>
      </c>
      <c r="AB316" s="1">
        <f t="shared" si="30"/>
        <v>979285.35500899341</v>
      </c>
      <c r="AC316" s="1">
        <f t="shared" si="29"/>
        <v>2.7979581571685528</v>
      </c>
    </row>
    <row r="317" spans="23:29" x14ac:dyDescent="0.3">
      <c r="W317" s="1">
        <f t="shared" si="32"/>
        <v>316</v>
      </c>
      <c r="AA317" s="1">
        <f t="shared" si="28"/>
        <v>442.69799690555237</v>
      </c>
      <c r="AB317" s="1">
        <f t="shared" si="30"/>
        <v>979728.05300589895</v>
      </c>
      <c r="AC317" s="1">
        <f t="shared" si="29"/>
        <v>2.7992230085882825</v>
      </c>
    </row>
    <row r="318" spans="23:29" x14ac:dyDescent="0.3">
      <c r="W318" s="1">
        <f t="shared" si="32"/>
        <v>317</v>
      </c>
      <c r="AA318" s="1">
        <f t="shared" si="28"/>
        <v>436.54340759865352</v>
      </c>
      <c r="AB318" s="1">
        <f t="shared" si="30"/>
        <v>980164.59641349758</v>
      </c>
      <c r="AC318" s="1">
        <f t="shared" si="29"/>
        <v>2.800470275467136</v>
      </c>
    </row>
    <row r="319" spans="23:29" x14ac:dyDescent="0.3">
      <c r="W319" s="1">
        <f t="shared" si="32"/>
        <v>318</v>
      </c>
      <c r="AA319" s="1">
        <f t="shared" si="28"/>
        <v>430.47438219717367</v>
      </c>
      <c r="AB319" s="1">
        <f t="shared" si="30"/>
        <v>980595.07079569472</v>
      </c>
      <c r="AC319" s="1">
        <f t="shared" si="29"/>
        <v>2.8017002022734134</v>
      </c>
    </row>
    <row r="320" spans="23:29" x14ac:dyDescent="0.3">
      <c r="W320" s="1">
        <f t="shared" si="32"/>
        <v>319</v>
      </c>
      <c r="AA320" s="1">
        <f t="shared" si="28"/>
        <v>424.48973115270553</v>
      </c>
      <c r="AB320" s="1">
        <f t="shared" si="30"/>
        <v>981019.56052684737</v>
      </c>
      <c r="AC320" s="1">
        <f t="shared" si="29"/>
        <v>2.8029130300767067</v>
      </c>
    </row>
    <row r="321" spans="23:29" x14ac:dyDescent="0.3">
      <c r="W321" s="1">
        <f t="shared" si="32"/>
        <v>320</v>
      </c>
      <c r="AA321" s="1">
        <f t="shared" si="28"/>
        <v>418.5882814544853</v>
      </c>
      <c r="AB321" s="1">
        <f t="shared" si="30"/>
        <v>981438.14880830189</v>
      </c>
      <c r="AC321" s="1">
        <f t="shared" si="29"/>
        <v>2.804108996595148</v>
      </c>
    </row>
    <row r="322" spans="23:29" x14ac:dyDescent="0.3">
      <c r="W322" s="1">
        <f t="shared" si="32"/>
        <v>321</v>
      </c>
      <c r="AA322" s="1">
        <f t="shared" si="28"/>
        <v>412.76887639947984</v>
      </c>
      <c r="AB322" s="1">
        <f t="shared" si="30"/>
        <v>981850.91768470139</v>
      </c>
      <c r="AC322" s="1">
        <f t="shared" si="29"/>
        <v>2.805288336242004</v>
      </c>
    </row>
    <row r="323" spans="23:29" x14ac:dyDescent="0.3">
      <c r="W323" s="1">
        <f t="shared" si="32"/>
        <v>322</v>
      </c>
      <c r="AA323" s="1">
        <f t="shared" ref="AA323:AA386" si="33">36934*EXP(-0.014*W323)</f>
        <v>407.03037536566774</v>
      </c>
      <c r="AB323" s="1">
        <f t="shared" si="30"/>
        <v>982257.94806006702</v>
      </c>
      <c r="AC323" s="1">
        <f t="shared" ref="AC323:AC360" si="34">(AB323*100)/(35*10^6)</f>
        <v>2.8064512801716202</v>
      </c>
    </row>
    <row r="324" spans="23:29" x14ac:dyDescent="0.3">
      <c r="W324" s="1">
        <f t="shared" si="32"/>
        <v>323</v>
      </c>
      <c r="AA324" s="1">
        <f t="shared" si="33"/>
        <v>401.37165358847579</v>
      </c>
      <c r="AB324" s="1">
        <f t="shared" ref="AB324:AB360" si="35">AB323+AA324</f>
        <v>982659.31971365551</v>
      </c>
      <c r="AC324" s="1">
        <f t="shared" si="34"/>
        <v>2.8075980563247303</v>
      </c>
    </row>
    <row r="325" spans="23:29" x14ac:dyDescent="0.3">
      <c r="W325" s="1">
        <f t="shared" si="32"/>
        <v>324</v>
      </c>
      <c r="AA325" s="1">
        <f t="shared" si="33"/>
        <v>395.79160194031999</v>
      </c>
      <c r="AB325" s="1">
        <f t="shared" si="35"/>
        <v>983055.1113155958</v>
      </c>
      <c r="AC325" s="1">
        <f t="shared" si="34"/>
        <v>2.808728889473131</v>
      </c>
    </row>
    <row r="326" spans="23:29" x14ac:dyDescent="0.3">
      <c r="W326" s="1">
        <f t="shared" si="32"/>
        <v>325</v>
      </c>
      <c r="AA326" s="1">
        <f t="shared" si="33"/>
        <v>390.28912671321393</v>
      </c>
      <c r="AB326" s="1">
        <f t="shared" si="35"/>
        <v>983445.40044230898</v>
      </c>
      <c r="AC326" s="1">
        <f t="shared" si="34"/>
        <v>2.8098440012637398</v>
      </c>
    </row>
    <row r="327" spans="23:29" x14ac:dyDescent="0.3">
      <c r="W327" s="1">
        <f t="shared" si="32"/>
        <v>326</v>
      </c>
      <c r="AA327" s="1">
        <f t="shared" si="33"/>
        <v>384.86314940439712</v>
      </c>
      <c r="AB327" s="1">
        <f t="shared" si="35"/>
        <v>983830.26359171339</v>
      </c>
      <c r="AC327" s="1">
        <f t="shared" si="34"/>
        <v>2.8109436102620386</v>
      </c>
    </row>
    <row r="328" spans="23:29" x14ac:dyDescent="0.3">
      <c r="W328" s="1">
        <f t="shared" si="32"/>
        <v>327</v>
      </c>
      <c r="AA328" s="1">
        <f t="shared" si="33"/>
        <v>379.5126065049468</v>
      </c>
      <c r="AB328" s="1">
        <f t="shared" si="35"/>
        <v>984209.77619821834</v>
      </c>
      <c r="AC328" s="1">
        <f t="shared" si="34"/>
        <v>2.8120279319949093</v>
      </c>
    </row>
    <row r="329" spans="23:29" x14ac:dyDescent="0.3">
      <c r="W329" s="1">
        <f t="shared" si="32"/>
        <v>328</v>
      </c>
      <c r="AA329" s="1">
        <f t="shared" si="33"/>
        <v>374.23644929132581</v>
      </c>
      <c r="AB329" s="1">
        <f t="shared" si="35"/>
        <v>984584.01264750969</v>
      </c>
      <c r="AC329" s="1">
        <f t="shared" si="34"/>
        <v>2.8130971789928849</v>
      </c>
    </row>
    <row r="330" spans="23:29" x14ac:dyDescent="0.3">
      <c r="W330" s="1">
        <f t="shared" si="32"/>
        <v>329</v>
      </c>
      <c r="AA330" s="1">
        <f t="shared" si="33"/>
        <v>369.03364361982966</v>
      </c>
      <c r="AB330" s="1">
        <f t="shared" si="35"/>
        <v>984953.04629112955</v>
      </c>
      <c r="AC330" s="1">
        <f t="shared" si="34"/>
        <v>2.8141515608317986</v>
      </c>
    </row>
    <row r="331" spans="23:29" x14ac:dyDescent="0.3">
      <c r="W331" s="1">
        <f t="shared" si="32"/>
        <v>330</v>
      </c>
      <c r="AA331" s="1">
        <f t="shared" si="33"/>
        <v>363.90316972389013</v>
      </c>
      <c r="AB331" s="1">
        <f t="shared" si="35"/>
        <v>985316.94946085347</v>
      </c>
      <c r="AC331" s="1">
        <f t="shared" si="34"/>
        <v>2.8151912841738671</v>
      </c>
    </row>
    <row r="332" spans="23:29" x14ac:dyDescent="0.3">
      <c r="W332" s="1">
        <f t="shared" si="32"/>
        <v>331</v>
      </c>
      <c r="AA332" s="1">
        <f t="shared" si="33"/>
        <v>358.84402201419937</v>
      </c>
      <c r="AB332" s="1">
        <f t="shared" si="35"/>
        <v>985675.79348286765</v>
      </c>
      <c r="AC332" s="1">
        <f t="shared" si="34"/>
        <v>2.8162165528081933</v>
      </c>
    </row>
    <row r="333" spans="23:29" x14ac:dyDescent="0.3">
      <c r="W333" s="1">
        <f t="shared" si="32"/>
        <v>332</v>
      </c>
      <c r="AA333" s="1">
        <f t="shared" si="33"/>
        <v>353.85520888161062</v>
      </c>
      <c r="AB333" s="1">
        <f t="shared" si="35"/>
        <v>986029.64869174932</v>
      </c>
      <c r="AC333" s="1">
        <f t="shared" si="34"/>
        <v>2.8172275676907121</v>
      </c>
    </row>
    <row r="334" spans="23:29" x14ac:dyDescent="0.3">
      <c r="W334" s="1">
        <f t="shared" ref="W334:W397" si="36">W333+1</f>
        <v>333</v>
      </c>
      <c r="AA334" s="1">
        <f t="shared" si="33"/>
        <v>348.93575250277814</v>
      </c>
      <c r="AB334" s="1">
        <f t="shared" si="35"/>
        <v>986378.58444425208</v>
      </c>
      <c r="AC334" s="1">
        <f t="shared" si="34"/>
        <v>2.8182245269835775</v>
      </c>
    </row>
    <row r="335" spans="23:29" x14ac:dyDescent="0.3">
      <c r="W335" s="1">
        <f t="shared" si="36"/>
        <v>334</v>
      </c>
      <c r="AA335" s="1">
        <f t="shared" si="33"/>
        <v>344.08468864850323</v>
      </c>
      <c r="AB335" s="1">
        <f t="shared" si="35"/>
        <v>986722.66913290054</v>
      </c>
      <c r="AC335" s="1">
        <f t="shared" si="34"/>
        <v>2.8192076260940016</v>
      </c>
    </row>
    <row r="336" spans="23:29" x14ac:dyDescent="0.3">
      <c r="W336" s="1">
        <f t="shared" si="36"/>
        <v>335</v>
      </c>
      <c r="AA336" s="1">
        <f t="shared" si="33"/>
        <v>339.30106649474044</v>
      </c>
      <c r="AB336" s="1">
        <f t="shared" si="35"/>
        <v>987061.97019939532</v>
      </c>
      <c r="AC336" s="1">
        <f t="shared" si="34"/>
        <v>2.820177057712558</v>
      </c>
    </row>
    <row r="337" spans="23:29" x14ac:dyDescent="0.3">
      <c r="W337" s="1">
        <f t="shared" si="36"/>
        <v>336</v>
      </c>
      <c r="AA337" s="1">
        <f t="shared" si="33"/>
        <v>334.58394843623381</v>
      </c>
      <c r="AB337" s="1">
        <f t="shared" si="35"/>
        <v>987396.55414783151</v>
      </c>
      <c r="AC337" s="1">
        <f t="shared" si="34"/>
        <v>2.821133011850947</v>
      </c>
    </row>
    <row r="338" spans="23:29" x14ac:dyDescent="0.3">
      <c r="W338" s="1">
        <f t="shared" si="36"/>
        <v>337</v>
      </c>
      <c r="AA338" s="1">
        <f t="shared" si="33"/>
        <v>329.93240990274205</v>
      </c>
      <c r="AB338" s="1">
        <f t="shared" si="35"/>
        <v>987726.4865577342</v>
      </c>
      <c r="AC338" s="1">
        <f t="shared" si="34"/>
        <v>2.8220756758792405</v>
      </c>
    </row>
    <row r="339" spans="23:29" x14ac:dyDescent="0.3">
      <c r="W339" s="1">
        <f t="shared" si="36"/>
        <v>338</v>
      </c>
      <c r="AA339" s="1">
        <f t="shared" si="33"/>
        <v>325.34553917782182</v>
      </c>
      <c r="AB339" s="1">
        <f t="shared" si="35"/>
        <v>988051.83209691197</v>
      </c>
      <c r="AC339" s="1">
        <f t="shared" si="34"/>
        <v>2.8230052345626055</v>
      </c>
    </row>
    <row r="340" spans="23:29" x14ac:dyDescent="0.3">
      <c r="W340" s="1">
        <f t="shared" si="36"/>
        <v>339</v>
      </c>
      <c r="AA340" s="1">
        <f t="shared" si="33"/>
        <v>320.82243722012674</v>
      </c>
      <c r="AB340" s="1">
        <f t="shared" si="35"/>
        <v>988372.6545341321</v>
      </c>
      <c r="AC340" s="1">
        <f t="shared" si="34"/>
        <v>2.8239218700975202</v>
      </c>
    </row>
    <row r="341" spans="23:29" x14ac:dyDescent="0.3">
      <c r="W341" s="1">
        <f t="shared" si="36"/>
        <v>340</v>
      </c>
      <c r="AA341" s="1">
        <f t="shared" si="33"/>
        <v>316.36221748719339</v>
      </c>
      <c r="AB341" s="1">
        <f t="shared" si="35"/>
        <v>988689.01675161929</v>
      </c>
      <c r="AC341" s="1">
        <f t="shared" si="34"/>
        <v>2.8248257621474835</v>
      </c>
    </row>
    <row r="342" spans="23:29" x14ac:dyDescent="0.3">
      <c r="W342" s="1">
        <f t="shared" si="36"/>
        <v>341</v>
      </c>
      <c r="AA342" s="1">
        <f t="shared" si="33"/>
        <v>311.96400576167474</v>
      </c>
      <c r="AB342" s="1">
        <f t="shared" si="35"/>
        <v>989000.98075738095</v>
      </c>
      <c r="AC342" s="1">
        <f t="shared" si="34"/>
        <v>2.8257170878782314</v>
      </c>
    </row>
    <row r="343" spans="23:29" x14ac:dyDescent="0.3">
      <c r="W343" s="1">
        <f t="shared" si="36"/>
        <v>342</v>
      </c>
      <c r="AA343" s="1">
        <f t="shared" si="33"/>
        <v>307.6269399799927</v>
      </c>
      <c r="AB343" s="1">
        <f t="shared" si="35"/>
        <v>989308.60769736092</v>
      </c>
      <c r="AC343" s="1">
        <f t="shared" si="34"/>
        <v>2.8265960219924597</v>
      </c>
    </row>
    <row r="344" spans="23:29" x14ac:dyDescent="0.3">
      <c r="W344" s="1">
        <f t="shared" si="36"/>
        <v>343</v>
      </c>
      <c r="AA344" s="1">
        <f t="shared" si="33"/>
        <v>303.35017006336949</v>
      </c>
      <c r="AB344" s="1">
        <f t="shared" si="35"/>
        <v>989611.95786742424</v>
      </c>
      <c r="AC344" s="1">
        <f t="shared" si="34"/>
        <v>2.827462736764069</v>
      </c>
    </row>
    <row r="345" spans="23:29" x14ac:dyDescent="0.3">
      <c r="W345" s="1">
        <f t="shared" si="36"/>
        <v>344</v>
      </c>
      <c r="AA345" s="1">
        <f t="shared" si="33"/>
        <v>299.13285775121045</v>
      </c>
      <c r="AB345" s="1">
        <f t="shared" si="35"/>
        <v>989911.09072517545</v>
      </c>
      <c r="AC345" s="1">
        <f t="shared" si="34"/>
        <v>2.8283174020719297</v>
      </c>
    </row>
    <row r="346" spans="23:29" x14ac:dyDescent="0.3">
      <c r="W346" s="1">
        <f t="shared" si="36"/>
        <v>345</v>
      </c>
      <c r="AA346" s="1">
        <f t="shared" si="33"/>
        <v>294.97417643680052</v>
      </c>
      <c r="AB346" s="1">
        <f t="shared" si="35"/>
        <v>990206.06490161223</v>
      </c>
      <c r="AC346" s="1">
        <f t="shared" si="34"/>
        <v>2.829160185433178</v>
      </c>
    </row>
    <row r="347" spans="23:29" x14ac:dyDescent="0.3">
      <c r="W347" s="1">
        <f t="shared" si="36"/>
        <v>346</v>
      </c>
      <c r="AA347" s="1">
        <f t="shared" si="33"/>
        <v>290.87331100528905</v>
      </c>
      <c r="AB347" s="1">
        <f t="shared" si="35"/>
        <v>990496.93821261753</v>
      </c>
      <c r="AC347" s="1">
        <f t="shared" si="34"/>
        <v>2.82999125203605</v>
      </c>
    </row>
    <row r="348" spans="23:29" x14ac:dyDescent="0.3">
      <c r="W348" s="1">
        <f t="shared" si="36"/>
        <v>347</v>
      </c>
      <c r="AA348" s="1">
        <f t="shared" si="33"/>
        <v>286.82945767392317</v>
      </c>
      <c r="AB348" s="1">
        <f t="shared" si="35"/>
        <v>990783.76767029148</v>
      </c>
      <c r="AC348" s="1">
        <f t="shared" si="34"/>
        <v>2.8308107647722616</v>
      </c>
    </row>
    <row r="349" spans="23:29" x14ac:dyDescent="0.3">
      <c r="W349" s="1">
        <f t="shared" si="36"/>
        <v>348</v>
      </c>
      <c r="AA349" s="1">
        <f t="shared" si="33"/>
        <v>282.84182383450428</v>
      </c>
      <c r="AB349" s="1">
        <f t="shared" si="35"/>
        <v>991066.60949412594</v>
      </c>
      <c r="AC349" s="1">
        <f t="shared" si="34"/>
        <v>2.8316188842689316</v>
      </c>
    </row>
    <row r="350" spans="23:29" x14ac:dyDescent="0.3">
      <c r="W350" s="1">
        <f t="shared" si="36"/>
        <v>349</v>
      </c>
      <c r="AA350" s="1">
        <f t="shared" si="33"/>
        <v>278.90962789803359</v>
      </c>
      <c r="AB350" s="1">
        <f t="shared" si="35"/>
        <v>991345.51912202395</v>
      </c>
      <c r="AC350" s="1">
        <f t="shared" si="34"/>
        <v>2.8324157689200682</v>
      </c>
    </row>
    <row r="351" spans="23:29" x14ac:dyDescent="0.3">
      <c r="W351" s="1">
        <f t="shared" si="36"/>
        <v>350</v>
      </c>
      <c r="AA351" s="1">
        <f t="shared" si="33"/>
        <v>275.0320991415195</v>
      </c>
      <c r="AB351" s="1">
        <f t="shared" si="35"/>
        <v>991620.55122116546</v>
      </c>
      <c r="AC351" s="1">
        <f t="shared" si="34"/>
        <v>2.8332015749176156</v>
      </c>
    </row>
    <row r="352" spans="23:29" x14ac:dyDescent="0.3">
      <c r="W352" s="1">
        <f t="shared" si="36"/>
        <v>351</v>
      </c>
      <c r="AA352" s="1">
        <f t="shared" si="33"/>
        <v>271.2084775569125</v>
      </c>
      <c r="AB352" s="1">
        <f t="shared" si="35"/>
        <v>991891.7596987224</v>
      </c>
      <c r="AC352" s="1">
        <f t="shared" si="34"/>
        <v>2.833976456282064</v>
      </c>
    </row>
    <row r="353" spans="23:29" x14ac:dyDescent="0.3">
      <c r="W353" s="1">
        <f t="shared" si="36"/>
        <v>352</v>
      </c>
      <c r="AA353" s="1">
        <f t="shared" si="33"/>
        <v>267.43801370214089</v>
      </c>
      <c r="AB353" s="1">
        <f t="shared" si="35"/>
        <v>992159.19771242456</v>
      </c>
      <c r="AC353" s="1">
        <f t="shared" si="34"/>
        <v>2.8347405648926416</v>
      </c>
    </row>
    <row r="354" spans="23:29" x14ac:dyDescent="0.3">
      <c r="W354" s="1">
        <f t="shared" si="36"/>
        <v>353</v>
      </c>
      <c r="AA354" s="1">
        <f t="shared" si="33"/>
        <v>263.71996855421867</v>
      </c>
      <c r="AB354" s="1">
        <f t="shared" si="35"/>
        <v>992422.91768097878</v>
      </c>
      <c r="AC354" s="1">
        <f t="shared" si="34"/>
        <v>2.8354940505170823</v>
      </c>
    </row>
    <row r="355" spans="23:29" x14ac:dyDescent="0.3">
      <c r="W355" s="1">
        <f t="shared" si="36"/>
        <v>354</v>
      </c>
      <c r="AA355" s="1">
        <f t="shared" si="33"/>
        <v>260.05361336439415</v>
      </c>
      <c r="AB355" s="1">
        <f t="shared" si="35"/>
        <v>992682.97129434312</v>
      </c>
      <c r="AC355" s="1">
        <f t="shared" si="34"/>
        <v>2.8362370608409804</v>
      </c>
    </row>
    <row r="356" spans="23:29" x14ac:dyDescent="0.3">
      <c r="W356" s="1">
        <f t="shared" si="36"/>
        <v>355</v>
      </c>
      <c r="AA356" s="1">
        <f t="shared" si="33"/>
        <v>256.43822951531297</v>
      </c>
      <c r="AB356" s="1">
        <f t="shared" si="35"/>
        <v>992939.40952385846</v>
      </c>
      <c r="AC356" s="1">
        <f t="shared" si="34"/>
        <v>2.8369697414967385</v>
      </c>
    </row>
    <row r="357" spans="23:29" x14ac:dyDescent="0.3">
      <c r="W357" s="1">
        <f t="shared" si="36"/>
        <v>356</v>
      </c>
      <c r="AA357" s="1">
        <f t="shared" si="33"/>
        <v>252.87310838016623</v>
      </c>
      <c r="AB357" s="1">
        <f t="shared" si="35"/>
        <v>993192.28263223858</v>
      </c>
      <c r="AC357" s="1">
        <f t="shared" si="34"/>
        <v>2.8376922360921104</v>
      </c>
    </row>
    <row r="358" spans="23:29" x14ac:dyDescent="0.3">
      <c r="W358" s="1">
        <f t="shared" si="36"/>
        <v>357</v>
      </c>
      <c r="AA358" s="1">
        <f t="shared" si="33"/>
        <v>249.35755118379839</v>
      </c>
      <c r="AB358" s="1">
        <f t="shared" si="35"/>
        <v>993441.64018342237</v>
      </c>
      <c r="AC358" s="1">
        <f t="shared" si="34"/>
        <v>2.8384046862383498</v>
      </c>
    </row>
    <row r="359" spans="23:29" x14ac:dyDescent="0.3">
      <c r="W359" s="1">
        <f t="shared" si="36"/>
        <v>358</v>
      </c>
      <c r="AA359" s="1">
        <f t="shared" si="33"/>
        <v>245.89086886574441</v>
      </c>
      <c r="AB359" s="1">
        <f t="shared" si="35"/>
        <v>993687.53105228813</v>
      </c>
      <c r="AC359" s="1">
        <f t="shared" si="34"/>
        <v>2.839107231577966</v>
      </c>
    </row>
    <row r="360" spans="23:29" x14ac:dyDescent="0.3">
      <c r="W360" s="1">
        <f t="shared" si="36"/>
        <v>359</v>
      </c>
      <c r="AA360" s="1">
        <f t="shared" si="33"/>
        <v>242.47238194517212</v>
      </c>
      <c r="AB360" s="1">
        <f t="shared" si="35"/>
        <v>993930.00343423325</v>
      </c>
      <c r="AC360" s="1">
        <f t="shared" si="34"/>
        <v>2.839800009812095</v>
      </c>
    </row>
  </sheetData>
  <mergeCells count="2">
    <mergeCell ref="Z1:Z69"/>
    <mergeCell ref="AD1:AD6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F0D7-C655-4DCF-96B6-A2BDB86D8922}">
  <dimension ref="A1:AL216"/>
  <sheetViews>
    <sheetView topLeftCell="AJ1" zoomScale="89" workbookViewId="0">
      <selection activeCell="W2" sqref="W2"/>
    </sheetView>
  </sheetViews>
  <sheetFormatPr defaultColWidth="8.77734375" defaultRowHeight="14.4" x14ac:dyDescent="0.3"/>
  <cols>
    <col min="1" max="7" width="8.88671875" style="1" bestFit="1" customWidth="1"/>
    <col min="8" max="8" width="18.6640625" style="1" bestFit="1" customWidth="1"/>
    <col min="9" max="12" width="8.88671875" style="1" bestFit="1" customWidth="1"/>
    <col min="13" max="13" width="8.77734375" style="1"/>
    <col min="14" max="16" width="8.88671875" style="1" bestFit="1" customWidth="1"/>
    <col min="17" max="17" width="8.77734375" style="1"/>
    <col min="18" max="18" width="12.6640625" style="1" bestFit="1" customWidth="1"/>
    <col min="19" max="22" width="8.77734375" style="1"/>
    <col min="23" max="23" width="11.77734375" style="1" customWidth="1"/>
    <col min="24" max="24" width="27.33203125" style="1" customWidth="1"/>
    <col min="25" max="25" width="18.33203125" style="1" customWidth="1"/>
    <col min="26" max="26" width="12.44140625" style="1" customWidth="1"/>
    <col min="27" max="27" width="44.77734375" style="1" customWidth="1"/>
    <col min="28" max="28" width="31.6640625" style="1" customWidth="1"/>
    <col min="29" max="29" width="15.109375" style="1" customWidth="1"/>
    <col min="30" max="30" width="0.21875" style="1" customWidth="1"/>
    <col min="31" max="31" width="8.77734375" style="1"/>
    <col min="32" max="32" width="26.6640625" style="1" customWidth="1"/>
    <col min="33" max="33" width="18.109375" style="1" customWidth="1"/>
    <col min="34" max="35" width="8.77734375" style="1"/>
    <col min="36" max="36" width="12.109375" style="1" customWidth="1"/>
    <col min="37" max="37" width="14.21875" style="1" customWidth="1"/>
    <col min="38" max="38" width="13.6640625" style="1" customWidth="1"/>
    <col min="39" max="16384" width="8.77734375" style="1"/>
  </cols>
  <sheetData>
    <row r="1" spans="1:38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  <c r="V1" s="55" t="s">
        <v>117</v>
      </c>
      <c r="W1" s="55" t="s">
        <v>197</v>
      </c>
      <c r="X1" s="55" t="s">
        <v>116</v>
      </c>
      <c r="Y1" s="55" t="s">
        <v>121</v>
      </c>
      <c r="Z1" s="150" t="s">
        <v>182</v>
      </c>
      <c r="AA1" s="55" t="s">
        <v>192</v>
      </c>
      <c r="AB1" s="55" t="s">
        <v>156</v>
      </c>
      <c r="AC1" s="55" t="s">
        <v>180</v>
      </c>
      <c r="AE1" s="137" t="s">
        <v>187</v>
      </c>
      <c r="AF1" s="55" t="s">
        <v>193</v>
      </c>
      <c r="AG1" s="55" t="s">
        <v>180</v>
      </c>
    </row>
    <row r="2" spans="1:38" x14ac:dyDescent="0.3">
      <c r="A2" s="4">
        <v>44593</v>
      </c>
      <c r="B2" s="5">
        <v>525.98238000000003</v>
      </c>
      <c r="C2" s="5">
        <v>465.97903571428571</v>
      </c>
      <c r="D2" s="5">
        <v>60.003344285714284</v>
      </c>
      <c r="E2" s="5">
        <v>3484.1071428571427</v>
      </c>
      <c r="F2" s="5">
        <v>0</v>
      </c>
      <c r="G2" s="5">
        <v>13047.413</v>
      </c>
      <c r="H2" s="9">
        <v>1.7457451320000001E-3</v>
      </c>
      <c r="I2" s="5">
        <v>97555</v>
      </c>
      <c r="J2" s="5">
        <v>1680.0936400000001</v>
      </c>
      <c r="K2" s="5">
        <v>11.407862043917572</v>
      </c>
      <c r="L2" s="5">
        <v>47.028590188721701</v>
      </c>
      <c r="N2" s="1">
        <f>A2 -$A$2</f>
        <v>0</v>
      </c>
      <c r="O2" s="1">
        <f>D2/C2</f>
        <v>0.1287683343816893</v>
      </c>
      <c r="P2" s="1" t="str">
        <f>IF(OR(N4&lt;=0, N2&lt;=0)," ", (O4 - O2) / (LN(N4) - LN(N2)))</f>
        <v xml:space="preserve"> </v>
      </c>
      <c r="R2" s="1">
        <f>(O3-O2) / (N3-N2)</f>
        <v>-2.6525619543587725E-3</v>
      </c>
      <c r="V2" s="1">
        <f>_xlfn.DAYS($A$43,A2)</f>
        <v>1246</v>
      </c>
      <c r="W2" s="1">
        <v>0</v>
      </c>
      <c r="X2" s="1">
        <f>LN(C2 / $U$4) / V2</f>
        <v>-3.6106540580209442E-8</v>
      </c>
      <c r="Y2" s="1">
        <f xml:space="preserve">  $U$4 * EXP($AB$2 * V2)</f>
        <v>466</v>
      </c>
      <c r="Z2" s="151"/>
      <c r="AA2" s="1">
        <f xml:space="preserve"> 41400*EXP(-0.024*W2)</f>
        <v>41400</v>
      </c>
      <c r="AC2" s="1">
        <f>(AB2*100)/(35*10^6)</f>
        <v>0</v>
      </c>
      <c r="AE2" s="138"/>
      <c r="AF2" s="3">
        <f>G2</f>
        <v>13047.413</v>
      </c>
      <c r="AG2" s="1">
        <f>(AF2*100)/(35*10^6)</f>
        <v>3.7278322857142859E-2</v>
      </c>
    </row>
    <row r="3" spans="1:38" x14ac:dyDescent="0.3">
      <c r="A3" s="2">
        <v>44621</v>
      </c>
      <c r="B3" s="3">
        <v>654.38269590322591</v>
      </c>
      <c r="C3" s="3">
        <v>620.56406451612906</v>
      </c>
      <c r="D3" s="3">
        <v>33.818631387096772</v>
      </c>
      <c r="E3" s="3">
        <v>4010.0322580645161</v>
      </c>
      <c r="F3" s="3">
        <v>0</v>
      </c>
      <c r="G3" s="3">
        <v>19237.486000000001</v>
      </c>
      <c r="H3" s="10">
        <v>2.5739775049999996E-3</v>
      </c>
      <c r="I3" s="3">
        <v>124311</v>
      </c>
      <c r="J3" s="3">
        <v>1048.377573</v>
      </c>
      <c r="K3" s="3">
        <v>5.1680204257873719</v>
      </c>
      <c r="L3" s="3">
        <v>40.644153180930189</v>
      </c>
      <c r="N3" s="1">
        <f t="shared" ref="N3:N43" si="0">A3 -$A$2</f>
        <v>28</v>
      </c>
      <c r="O3" s="1">
        <f t="shared" ref="O3:O43" si="1">D3/C3</f>
        <v>5.4496599659643673E-2</v>
      </c>
      <c r="P3" s="1">
        <f t="shared" ref="P3:P43" si="2">IF(OR(N5&lt;=0, N3&lt;=0)," ", (O5 - O3) / (LN(N5) - LN(N3)))</f>
        <v>-3.2869750083231862E-2</v>
      </c>
      <c r="R3" s="1">
        <f t="shared" ref="R3:R43" si="3">(O4-O3) / (N4-N3)</f>
        <v>-1.1792898558289338E-3</v>
      </c>
      <c r="V3" s="1">
        <f t="shared" ref="V3:V44" si="4">_xlfn.DAYS($A$43,A3)</f>
        <v>1218</v>
      </c>
      <c r="W3" s="1">
        <f>($V$2-V3)/30</f>
        <v>0.93333333333333335</v>
      </c>
      <c r="X3" s="1">
        <f t="shared" ref="X3:X44" si="5">LN(C3 / $U$4) / V3</f>
        <v>2.3517505073135356E-4</v>
      </c>
      <c r="Y3" s="1">
        <f t="shared" ref="Y3:Y44" si="6" xml:space="preserve">  $U$4 * EXP($AB$2 * V3)</f>
        <v>466</v>
      </c>
      <c r="Z3" s="151"/>
      <c r="AA3" s="1">
        <f t="shared" ref="AA3:AA66" si="7" xml:space="preserve"> 41400*EXP(-0.024*W3)</f>
        <v>40482.949312327357</v>
      </c>
      <c r="AC3" s="1">
        <f t="shared" ref="AC3:AC66" si="8">(AB3*100)/(35*10^6)</f>
        <v>0</v>
      </c>
      <c r="AE3" s="138"/>
      <c r="AF3" s="3">
        <f>AF2+G3</f>
        <v>32284.899000000001</v>
      </c>
      <c r="AG3" s="1">
        <f t="shared" ref="AG3:AG44" si="9">(AF3*100)/(35*10^6)</f>
        <v>9.2242568571428568E-2</v>
      </c>
    </row>
    <row r="4" spans="1:38" x14ac:dyDescent="0.3">
      <c r="A4" s="2">
        <v>44652</v>
      </c>
      <c r="B4" s="3">
        <v>751.61170386666663</v>
      </c>
      <c r="C4" s="3">
        <v>738.36643333333325</v>
      </c>
      <c r="D4" s="3">
        <v>13.245270533333333</v>
      </c>
      <c r="E4" s="3">
        <v>4291.4333333333334</v>
      </c>
      <c r="F4" s="3">
        <v>0</v>
      </c>
      <c r="G4" s="3">
        <v>22150.992999999999</v>
      </c>
      <c r="H4" s="10">
        <v>2.9638050259999998E-3</v>
      </c>
      <c r="I4" s="3">
        <v>128743</v>
      </c>
      <c r="J4" s="3">
        <v>397.358116</v>
      </c>
      <c r="K4" s="3">
        <v>1.7622491061798313</v>
      </c>
      <c r="L4" s="3">
        <v>36.556723276468915</v>
      </c>
      <c r="N4" s="1">
        <f t="shared" si="0"/>
        <v>59</v>
      </c>
      <c r="O4" s="1">
        <f t="shared" si="1"/>
        <v>1.7938614128946727E-2</v>
      </c>
      <c r="P4" s="1">
        <f t="shared" si="2"/>
        <v>-2.6212159520469524E-4</v>
      </c>
      <c r="R4" s="1">
        <f t="shared" si="3"/>
        <v>-4.8454689374220761E-5</v>
      </c>
      <c r="T4" s="55" t="s">
        <v>113</v>
      </c>
      <c r="U4" s="1">
        <v>466</v>
      </c>
      <c r="V4" s="1">
        <f t="shared" si="4"/>
        <v>1187</v>
      </c>
      <c r="W4" s="1">
        <f t="shared" ref="W4:W44" si="10">($V$2-V4)/30</f>
        <v>1.9666666666666666</v>
      </c>
      <c r="X4" s="1">
        <f t="shared" si="5"/>
        <v>3.877460736144809E-4</v>
      </c>
      <c r="Y4" s="1">
        <f t="shared" si="6"/>
        <v>466</v>
      </c>
      <c r="Z4" s="151"/>
      <c r="AA4" s="1">
        <f t="shared" si="7"/>
        <v>39491.319206521017</v>
      </c>
      <c r="AC4" s="1">
        <f t="shared" si="8"/>
        <v>0</v>
      </c>
      <c r="AE4" s="138"/>
      <c r="AF4" s="3">
        <f t="shared" ref="AF4:AF44" si="11">AF3+G4</f>
        <v>54435.892</v>
      </c>
      <c r="AG4" s="1">
        <f t="shared" si="9"/>
        <v>0.15553111999999999</v>
      </c>
      <c r="AI4" s="117" t="s">
        <v>135</v>
      </c>
      <c r="AJ4" s="149" t="s">
        <v>194</v>
      </c>
      <c r="AK4" s="149">
        <f>12*0.024</f>
        <v>0.28800000000000003</v>
      </c>
      <c r="AL4" s="149" t="s">
        <v>189</v>
      </c>
    </row>
    <row r="5" spans="1:38" x14ac:dyDescent="0.3">
      <c r="A5" s="2">
        <v>44682</v>
      </c>
      <c r="B5" s="3">
        <v>897.55554296774187</v>
      </c>
      <c r="C5" s="3">
        <v>882.99932258064518</v>
      </c>
      <c r="D5" s="3">
        <v>14.556220387096776</v>
      </c>
      <c r="E5" s="3">
        <v>5149.2580645161288</v>
      </c>
      <c r="F5" s="3">
        <v>0</v>
      </c>
      <c r="G5" s="3">
        <v>27372.978999999999</v>
      </c>
      <c r="H5" s="10">
        <v>3.66250726E-3</v>
      </c>
      <c r="I5" s="3">
        <v>159627</v>
      </c>
      <c r="J5" s="3">
        <v>451.24283200000002</v>
      </c>
      <c r="K5" s="3">
        <v>1.6217626308637174</v>
      </c>
      <c r="L5" s="3">
        <v>36.679307159078299</v>
      </c>
      <c r="N5" s="1">
        <f t="shared" si="0"/>
        <v>89</v>
      </c>
      <c r="O5" s="1">
        <f t="shared" si="1"/>
        <v>1.6484973447720104E-2</v>
      </c>
      <c r="P5" s="1">
        <f t="shared" si="2"/>
        <v>4.916845505855639E-3</v>
      </c>
      <c r="R5" s="1">
        <f t="shared" si="3"/>
        <v>4.0888591222023526E-5</v>
      </c>
      <c r="V5" s="1">
        <f t="shared" si="4"/>
        <v>1157</v>
      </c>
      <c r="W5" s="1">
        <f t="shared" si="10"/>
        <v>2.9666666666666668</v>
      </c>
      <c r="X5" s="1">
        <f t="shared" si="5"/>
        <v>5.5241037104466941E-4</v>
      </c>
      <c r="Y5" s="1">
        <f t="shared" si="6"/>
        <v>466</v>
      </c>
      <c r="Z5" s="151"/>
      <c r="AA5" s="1">
        <f t="shared" si="7"/>
        <v>38554.810600814526</v>
      </c>
      <c r="AC5" s="1">
        <f t="shared" si="8"/>
        <v>0</v>
      </c>
      <c r="AE5" s="138"/>
      <c r="AF5" s="3">
        <f t="shared" si="11"/>
        <v>81808.870999999999</v>
      </c>
      <c r="AG5" s="1">
        <f t="shared" si="9"/>
        <v>0.23373963142857143</v>
      </c>
      <c r="AJ5" s="120" t="s">
        <v>195</v>
      </c>
      <c r="AK5" s="120" t="s">
        <v>196</v>
      </c>
    </row>
    <row r="6" spans="1:38" x14ac:dyDescent="0.3">
      <c r="A6" s="2">
        <v>44713</v>
      </c>
      <c r="B6" s="3">
        <v>902.25535160000004</v>
      </c>
      <c r="C6" s="3">
        <v>886.51743333333332</v>
      </c>
      <c r="D6" s="3">
        <v>15.737918266666666</v>
      </c>
      <c r="E6" s="3">
        <v>5170.5</v>
      </c>
      <c r="F6" s="3">
        <v>0</v>
      </c>
      <c r="G6" s="3">
        <v>26595.523000000001</v>
      </c>
      <c r="H6" s="10">
        <v>3.5584835720000002E-3</v>
      </c>
      <c r="I6" s="3">
        <v>155115</v>
      </c>
      <c r="J6" s="3">
        <v>472.13754799999998</v>
      </c>
      <c r="K6" s="3">
        <v>1.7442864970274858</v>
      </c>
      <c r="L6" s="3">
        <v>36.684457267488213</v>
      </c>
      <c r="N6" s="1">
        <f t="shared" si="0"/>
        <v>120</v>
      </c>
      <c r="O6" s="1">
        <f t="shared" si="1"/>
        <v>1.7752519775602833E-2</v>
      </c>
      <c r="P6" s="1">
        <f t="shared" si="2"/>
        <v>1.023852964412527E-2</v>
      </c>
      <c r="R6" s="1">
        <f t="shared" si="3"/>
        <v>4.3301391247948377E-5</v>
      </c>
      <c r="V6" s="1">
        <f t="shared" si="4"/>
        <v>1126</v>
      </c>
      <c r="W6" s="1">
        <f t="shared" si="10"/>
        <v>4</v>
      </c>
      <c r="X6" s="1">
        <f t="shared" si="5"/>
        <v>5.7115022783826473E-4</v>
      </c>
      <c r="Y6" s="1">
        <f t="shared" si="6"/>
        <v>466</v>
      </c>
      <c r="Z6" s="151"/>
      <c r="AA6" s="1">
        <f t="shared" si="7"/>
        <v>37610.410265244434</v>
      </c>
      <c r="AC6" s="1">
        <f t="shared" si="8"/>
        <v>0</v>
      </c>
      <c r="AE6" s="138"/>
      <c r="AF6" s="3">
        <f t="shared" si="11"/>
        <v>108404.394</v>
      </c>
      <c r="AG6" s="1">
        <f t="shared" si="9"/>
        <v>0.30972684</v>
      </c>
    </row>
    <row r="7" spans="1:38" x14ac:dyDescent="0.3">
      <c r="A7" s="2">
        <v>44743</v>
      </c>
      <c r="B7" s="3">
        <v>950.03004870967732</v>
      </c>
      <c r="C7" s="3">
        <v>932.26887096774192</v>
      </c>
      <c r="D7" s="3">
        <v>17.761177741935484</v>
      </c>
      <c r="E7" s="3">
        <v>5237.6451612903229</v>
      </c>
      <c r="F7" s="3">
        <v>0</v>
      </c>
      <c r="G7" s="3">
        <v>28900.334999999999</v>
      </c>
      <c r="H7" s="10">
        <v>3.866867644E-3</v>
      </c>
      <c r="I7" s="3">
        <v>162367</v>
      </c>
      <c r="J7" s="3">
        <v>550.59650999999997</v>
      </c>
      <c r="K7" s="3">
        <v>1.8695385231297224</v>
      </c>
      <c r="L7" s="3">
        <v>35.337166735264489</v>
      </c>
      <c r="N7" s="1">
        <f t="shared" si="0"/>
        <v>150</v>
      </c>
      <c r="O7" s="1">
        <f t="shared" si="1"/>
        <v>1.9051561513041285E-2</v>
      </c>
      <c r="P7" s="1">
        <f t="shared" si="2"/>
        <v>-5.3225779993869779E-3</v>
      </c>
      <c r="R7" s="1">
        <f t="shared" si="3"/>
        <v>9.3840261051451339E-5</v>
      </c>
      <c r="V7" s="1">
        <f t="shared" si="4"/>
        <v>1096</v>
      </c>
      <c r="W7" s="1">
        <f t="shared" si="10"/>
        <v>5</v>
      </c>
      <c r="X7" s="1">
        <f t="shared" si="5"/>
        <v>6.3269674007121338E-4</v>
      </c>
      <c r="Y7" s="1">
        <f t="shared" si="6"/>
        <v>466</v>
      </c>
      <c r="Z7" s="151"/>
      <c r="AA7" s="1">
        <f t="shared" si="7"/>
        <v>36718.506080090323</v>
      </c>
      <c r="AC7" s="1">
        <f t="shared" si="8"/>
        <v>0</v>
      </c>
      <c r="AE7" s="138"/>
      <c r="AF7" s="3">
        <f t="shared" si="11"/>
        <v>137304.72899999999</v>
      </c>
      <c r="AG7" s="1">
        <f t="shared" si="9"/>
        <v>0.39229922571428566</v>
      </c>
    </row>
    <row r="8" spans="1:38" x14ac:dyDescent="0.3">
      <c r="A8" s="2">
        <v>44774</v>
      </c>
      <c r="B8" s="3">
        <v>957.18475722580604</v>
      </c>
      <c r="C8" s="3">
        <v>936.61609677419301</v>
      </c>
      <c r="D8" s="3">
        <v>20.568660451612899</v>
      </c>
      <c r="E8" s="3">
        <v>5186.7419354838703</v>
      </c>
      <c r="F8" s="3">
        <v>0</v>
      </c>
      <c r="G8" s="3">
        <v>29035.098999999998</v>
      </c>
      <c r="H8" s="10">
        <v>3.8848990789999999E-3</v>
      </c>
      <c r="I8" s="3">
        <v>160789</v>
      </c>
      <c r="J8" s="3">
        <v>637.62847399999998</v>
      </c>
      <c r="K8" s="3">
        <v>2.1488704553995119</v>
      </c>
      <c r="L8" s="3">
        <v>34.831314065779488</v>
      </c>
      <c r="N8" s="1">
        <f t="shared" si="0"/>
        <v>181</v>
      </c>
      <c r="O8" s="1">
        <f t="shared" si="1"/>
        <v>2.1960609605636276E-2</v>
      </c>
      <c r="P8" s="1">
        <f t="shared" si="2"/>
        <v>-2.1151917372311965E-2</v>
      </c>
      <c r="R8" s="1">
        <f t="shared" si="3"/>
        <v>-1.5323868292496342E-4</v>
      </c>
      <c r="V8" s="1">
        <f t="shared" si="4"/>
        <v>1065</v>
      </c>
      <c r="W8" s="1">
        <f t="shared" si="10"/>
        <v>6.0333333333333332</v>
      </c>
      <c r="X8" s="1">
        <f t="shared" si="5"/>
        <v>6.5548154823241256E-4</v>
      </c>
      <c r="Y8" s="1">
        <f t="shared" si="6"/>
        <v>466</v>
      </c>
      <c r="Z8" s="151"/>
      <c r="AA8" s="1">
        <f t="shared" si="7"/>
        <v>35819.086035657856</v>
      </c>
      <c r="AC8" s="1">
        <f t="shared" si="8"/>
        <v>0</v>
      </c>
      <c r="AE8" s="138"/>
      <c r="AF8" s="3">
        <f t="shared" si="11"/>
        <v>166339.82799999998</v>
      </c>
      <c r="AG8" s="1">
        <f t="shared" si="9"/>
        <v>0.47525665142857132</v>
      </c>
    </row>
    <row r="9" spans="1:38" x14ac:dyDescent="0.3">
      <c r="A9" s="2">
        <v>44805</v>
      </c>
      <c r="B9" s="3">
        <v>988.54407386666605</v>
      </c>
      <c r="C9" s="3">
        <v>971.81886666666605</v>
      </c>
      <c r="D9" s="3">
        <v>16.7252072</v>
      </c>
      <c r="E9" s="3">
        <v>5444.8333333333303</v>
      </c>
      <c r="F9" s="3">
        <v>0</v>
      </c>
      <c r="G9" s="3">
        <v>29154.565999999999</v>
      </c>
      <c r="H9" s="10">
        <v>3.9008837739999999E-3</v>
      </c>
      <c r="I9" s="3">
        <v>163345</v>
      </c>
      <c r="J9" s="3">
        <v>501.75621599999999</v>
      </c>
      <c r="K9" s="3">
        <v>1.6919030362075562</v>
      </c>
      <c r="L9" s="3">
        <v>35.240016297961695</v>
      </c>
      <c r="N9" s="1">
        <f t="shared" si="0"/>
        <v>212</v>
      </c>
      <c r="O9" s="1">
        <f t="shared" si="1"/>
        <v>1.721021043496241E-2</v>
      </c>
      <c r="P9" s="1">
        <f t="shared" si="2"/>
        <v>3.852595534862583E-2</v>
      </c>
      <c r="R9" s="1">
        <f t="shared" si="3"/>
        <v>-4.6432613640482942E-5</v>
      </c>
      <c r="V9" s="1">
        <f t="shared" si="4"/>
        <v>1034</v>
      </c>
      <c r="W9" s="1">
        <f t="shared" si="10"/>
        <v>7.0666666666666664</v>
      </c>
      <c r="X9" s="1">
        <f t="shared" si="5"/>
        <v>7.1081605590258775E-4</v>
      </c>
      <c r="Y9" s="1">
        <f t="shared" si="6"/>
        <v>466</v>
      </c>
      <c r="Z9" s="151"/>
      <c r="AA9" s="1">
        <f t="shared" si="7"/>
        <v>34941.697291043594</v>
      </c>
      <c r="AC9" s="1">
        <f t="shared" si="8"/>
        <v>0</v>
      </c>
      <c r="AE9" s="138"/>
      <c r="AF9" s="3">
        <f t="shared" si="11"/>
        <v>195494.39399999997</v>
      </c>
      <c r="AG9" s="1">
        <f t="shared" si="9"/>
        <v>0.55855541142857135</v>
      </c>
    </row>
    <row r="10" spans="1:38" x14ac:dyDescent="0.3">
      <c r="A10" s="2">
        <v>44835</v>
      </c>
      <c r="B10" s="3">
        <v>1016.23368432258</v>
      </c>
      <c r="C10" s="3">
        <v>1000.40996774193</v>
      </c>
      <c r="D10" s="3">
        <v>15.823716580645099</v>
      </c>
      <c r="E10" s="3">
        <v>5486.3548387096698</v>
      </c>
      <c r="F10" s="3">
        <v>0</v>
      </c>
      <c r="G10" s="3">
        <v>31012.708999999999</v>
      </c>
      <c r="H10" s="10">
        <v>4.1495034900000003E-3</v>
      </c>
      <c r="I10" s="3">
        <v>170077</v>
      </c>
      <c r="J10" s="3">
        <v>490.535214</v>
      </c>
      <c r="K10" s="3">
        <v>1.5570942810455275</v>
      </c>
      <c r="L10" s="3">
        <v>34.493933264585174</v>
      </c>
      <c r="N10" s="1">
        <f t="shared" si="0"/>
        <v>242</v>
      </c>
      <c r="O10" s="1">
        <f t="shared" si="1"/>
        <v>1.5817232025747922E-2</v>
      </c>
      <c r="P10" s="1">
        <f t="shared" si="2"/>
        <v>0.2163661445527526</v>
      </c>
      <c r="R10" s="1">
        <f t="shared" si="3"/>
        <v>3.5921402196162263E-4</v>
      </c>
      <c r="V10" s="1">
        <f t="shared" si="4"/>
        <v>1004</v>
      </c>
      <c r="W10" s="1">
        <f t="shared" si="10"/>
        <v>8.0666666666666664</v>
      </c>
      <c r="X10" s="1">
        <f t="shared" si="5"/>
        <v>7.6093578544283622E-4</v>
      </c>
      <c r="Y10" s="1">
        <f t="shared" si="6"/>
        <v>466</v>
      </c>
      <c r="Z10" s="151"/>
      <c r="AA10" s="1">
        <f t="shared" si="7"/>
        <v>34113.079739932517</v>
      </c>
      <c r="AC10" s="1">
        <f t="shared" si="8"/>
        <v>0</v>
      </c>
      <c r="AE10" s="138"/>
      <c r="AF10" s="3">
        <f t="shared" si="11"/>
        <v>226507.10299999997</v>
      </c>
      <c r="AG10" s="1">
        <f t="shared" si="9"/>
        <v>0.64716315142857139</v>
      </c>
    </row>
    <row r="11" spans="1:38" x14ac:dyDescent="0.3">
      <c r="A11" s="2">
        <v>44866</v>
      </c>
      <c r="B11" s="3">
        <v>926.36964553333337</v>
      </c>
      <c r="C11" s="3">
        <v>902.05663333333337</v>
      </c>
      <c r="D11" s="3">
        <v>24.313012199999999</v>
      </c>
      <c r="E11" s="3">
        <v>5077.166666666667</v>
      </c>
      <c r="F11" s="3">
        <v>0</v>
      </c>
      <c r="G11" s="3">
        <v>27061.699000000001</v>
      </c>
      <c r="H11" s="10">
        <v>3.6208579669999999E-3</v>
      </c>
      <c r="I11" s="3">
        <v>152315</v>
      </c>
      <c r="J11" s="3">
        <v>729.39036599999997</v>
      </c>
      <c r="K11" s="3">
        <v>2.6245475893159704</v>
      </c>
      <c r="L11" s="3">
        <v>35.401727252971064</v>
      </c>
      <c r="N11" s="1">
        <f t="shared" si="0"/>
        <v>273</v>
      </c>
      <c r="O11" s="1">
        <f t="shared" si="1"/>
        <v>2.6952866706558224E-2</v>
      </c>
      <c r="P11" s="1">
        <f t="shared" si="2"/>
        <v>0.3029596645208299</v>
      </c>
      <c r="R11" s="1">
        <f t="shared" si="3"/>
        <v>1.2500803317719864E-3</v>
      </c>
      <c r="V11" s="1">
        <f t="shared" si="4"/>
        <v>973</v>
      </c>
      <c r="W11" s="1">
        <f t="shared" si="10"/>
        <v>9.1</v>
      </c>
      <c r="X11" s="1">
        <f t="shared" si="5"/>
        <v>6.7881980510440447E-4</v>
      </c>
      <c r="Y11" s="1">
        <f t="shared" si="6"/>
        <v>466</v>
      </c>
      <c r="Z11" s="151"/>
      <c r="AA11" s="1">
        <f t="shared" si="7"/>
        <v>33277.479630589973</v>
      </c>
      <c r="AC11" s="1">
        <f t="shared" si="8"/>
        <v>0</v>
      </c>
      <c r="AE11" s="138"/>
      <c r="AF11" s="3">
        <f t="shared" si="11"/>
        <v>253568.80199999997</v>
      </c>
      <c r="AG11" s="1">
        <f t="shared" si="9"/>
        <v>0.72448229142857135</v>
      </c>
    </row>
    <row r="12" spans="1:38" x14ac:dyDescent="0.3">
      <c r="A12" s="2">
        <v>44896</v>
      </c>
      <c r="B12" s="3">
        <v>968.05971764516141</v>
      </c>
      <c r="C12" s="3">
        <v>909.44141935483879</v>
      </c>
      <c r="D12" s="3">
        <v>58.618298290322585</v>
      </c>
      <c r="E12" s="3">
        <v>4807.677419354839</v>
      </c>
      <c r="F12" s="3">
        <v>0</v>
      </c>
      <c r="G12" s="3">
        <v>28192.684000000001</v>
      </c>
      <c r="H12" s="10">
        <v>3.7721838710000001E-3</v>
      </c>
      <c r="I12" s="3">
        <v>149038</v>
      </c>
      <c r="J12" s="3">
        <v>1817.1672470000001</v>
      </c>
      <c r="K12" s="3">
        <v>6.0552357692264707</v>
      </c>
      <c r="L12" s="3">
        <v>33.250442292049947</v>
      </c>
      <c r="N12" s="1">
        <f t="shared" si="0"/>
        <v>303</v>
      </c>
      <c r="O12" s="1">
        <f t="shared" si="1"/>
        <v>6.4455276659717814E-2</v>
      </c>
      <c r="P12" s="1">
        <f t="shared" si="2"/>
        <v>0.15962117251284508</v>
      </c>
      <c r="R12" s="1">
        <f t="shared" si="3"/>
        <v>7.6113621141971511E-4</v>
      </c>
      <c r="V12" s="1">
        <f t="shared" si="4"/>
        <v>943</v>
      </c>
      <c r="W12" s="1">
        <f t="shared" si="10"/>
        <v>10.1</v>
      </c>
      <c r="X12" s="1">
        <f t="shared" si="5"/>
        <v>7.0906145496589046E-4</v>
      </c>
      <c r="Y12" s="1">
        <f t="shared" si="6"/>
        <v>466</v>
      </c>
      <c r="Z12" s="151"/>
      <c r="AA12" s="1">
        <f t="shared" si="7"/>
        <v>32488.327820104896</v>
      </c>
      <c r="AC12" s="1">
        <f t="shared" si="8"/>
        <v>0</v>
      </c>
      <c r="AE12" s="138"/>
      <c r="AF12" s="3">
        <f t="shared" si="11"/>
        <v>281761.48599999998</v>
      </c>
      <c r="AG12" s="1">
        <f t="shared" si="9"/>
        <v>0.80503281714285713</v>
      </c>
    </row>
    <row r="13" spans="1:38" x14ac:dyDescent="0.3">
      <c r="A13" s="2">
        <v>44927</v>
      </c>
      <c r="B13" s="3">
        <v>1047.4110409032201</v>
      </c>
      <c r="C13" s="3">
        <v>962.64929032257999</v>
      </c>
      <c r="D13" s="3">
        <v>84.761750580645099</v>
      </c>
      <c r="E13" s="3">
        <v>5008.4193548387002</v>
      </c>
      <c r="F13" s="3">
        <v>0</v>
      </c>
      <c r="G13" s="3">
        <v>29842.128000000001</v>
      </c>
      <c r="H13" s="10">
        <v>3.9928796440000004E-3</v>
      </c>
      <c r="I13" s="3">
        <v>155261</v>
      </c>
      <c r="J13" s="3">
        <v>2627.6142679999998</v>
      </c>
      <c r="K13" s="3">
        <v>8.092501154804669</v>
      </c>
      <c r="L13" s="3">
        <v>32.724229243973483</v>
      </c>
      <c r="N13" s="1">
        <f t="shared" si="0"/>
        <v>334</v>
      </c>
      <c r="O13" s="1">
        <f t="shared" si="1"/>
        <v>8.8050499213728983E-2</v>
      </c>
      <c r="P13" s="1">
        <f t="shared" si="2"/>
        <v>0.14770435778692564</v>
      </c>
      <c r="R13" s="1">
        <f t="shared" si="3"/>
        <v>1.9743809321756724E-4</v>
      </c>
      <c r="V13" s="1">
        <f t="shared" si="4"/>
        <v>912</v>
      </c>
      <c r="W13" s="1">
        <f t="shared" si="10"/>
        <v>11.133333333333333</v>
      </c>
      <c r="X13" s="1">
        <f t="shared" si="5"/>
        <v>7.9550825311088533E-4</v>
      </c>
      <c r="Y13" s="1">
        <f t="shared" si="6"/>
        <v>466</v>
      </c>
      <c r="Z13" s="151"/>
      <c r="AA13" s="1">
        <f t="shared" si="7"/>
        <v>31692.526019569788</v>
      </c>
      <c r="AC13" s="1">
        <f t="shared" si="8"/>
        <v>0</v>
      </c>
      <c r="AE13" s="138"/>
      <c r="AF13" s="3">
        <f t="shared" si="11"/>
        <v>311603.614</v>
      </c>
      <c r="AG13" s="1">
        <f t="shared" si="9"/>
        <v>0.89029603999999996</v>
      </c>
    </row>
    <row r="14" spans="1:38" x14ac:dyDescent="0.3">
      <c r="A14" s="2">
        <v>44958</v>
      </c>
      <c r="B14" s="3">
        <v>1024.0554249642801</v>
      </c>
      <c r="C14" s="3">
        <v>935.91892857142795</v>
      </c>
      <c r="D14" s="3">
        <v>88.136496392857097</v>
      </c>
      <c r="E14" s="3">
        <v>5065.4642857142799</v>
      </c>
      <c r="F14" s="3">
        <v>0</v>
      </c>
      <c r="G14" s="3">
        <v>26205.73</v>
      </c>
      <c r="H14" s="10">
        <v>3.5063292349999998E-3</v>
      </c>
      <c r="I14" s="3">
        <v>141833</v>
      </c>
      <c r="J14" s="3">
        <v>2467.821899</v>
      </c>
      <c r="K14" s="3">
        <v>8.6066138847837195</v>
      </c>
      <c r="L14" s="3">
        <v>34.042219140623061</v>
      </c>
      <c r="N14" s="1">
        <f t="shared" si="0"/>
        <v>365</v>
      </c>
      <c r="O14" s="1">
        <f t="shared" si="1"/>
        <v>9.4171080103473567E-2</v>
      </c>
      <c r="P14" s="1">
        <f t="shared" si="2"/>
        <v>0.28279554367602089</v>
      </c>
      <c r="R14" s="1">
        <f t="shared" si="3"/>
        <v>6.3951010699525731E-4</v>
      </c>
      <c r="V14" s="1">
        <f t="shared" si="4"/>
        <v>881</v>
      </c>
      <c r="W14" s="1">
        <f t="shared" si="10"/>
        <v>12.166666666666666</v>
      </c>
      <c r="X14" s="1">
        <f t="shared" si="5"/>
        <v>7.9153600888371691E-4</v>
      </c>
      <c r="Y14" s="1">
        <f t="shared" si="6"/>
        <v>466</v>
      </c>
      <c r="Z14" s="151"/>
      <c r="AA14" s="1">
        <f t="shared" si="7"/>
        <v>30916.217389296984</v>
      </c>
      <c r="AC14" s="1">
        <f t="shared" si="8"/>
        <v>0</v>
      </c>
      <c r="AE14" s="138"/>
      <c r="AF14" s="3">
        <f t="shared" si="11"/>
        <v>337809.34399999998</v>
      </c>
      <c r="AG14" s="1">
        <f t="shared" si="9"/>
        <v>0.96516955428571427</v>
      </c>
    </row>
    <row r="15" spans="1:38" x14ac:dyDescent="0.3">
      <c r="A15" s="2">
        <v>44986</v>
      </c>
      <c r="B15" s="3">
        <v>1065.51927570967</v>
      </c>
      <c r="C15" s="3">
        <v>958.13412903225799</v>
      </c>
      <c r="D15" s="3">
        <v>107.385146677419</v>
      </c>
      <c r="E15" s="3">
        <v>4968.3870967741896</v>
      </c>
      <c r="F15" s="3">
        <v>0</v>
      </c>
      <c r="G15" s="3">
        <v>29702.157999999999</v>
      </c>
      <c r="H15" s="10">
        <v>3.9741516379999996E-3</v>
      </c>
      <c r="I15" s="3">
        <v>154020</v>
      </c>
      <c r="J15" s="3">
        <v>3328.9395469999999</v>
      </c>
      <c r="K15" s="3">
        <v>10.07819840761648</v>
      </c>
      <c r="L15" s="3">
        <v>32.615643482874205</v>
      </c>
      <c r="N15" s="1">
        <f t="shared" si="0"/>
        <v>393</v>
      </c>
      <c r="O15" s="1">
        <f t="shared" si="1"/>
        <v>0.11207736309934077</v>
      </c>
      <c r="P15" s="1">
        <f t="shared" si="2"/>
        <v>0.16738126695123337</v>
      </c>
      <c r="R15" s="1">
        <f t="shared" si="3"/>
        <v>7.8924834943190766E-4</v>
      </c>
      <c r="V15" s="1">
        <f t="shared" si="4"/>
        <v>853</v>
      </c>
      <c r="W15" s="1">
        <f t="shared" si="10"/>
        <v>13.1</v>
      </c>
      <c r="X15" s="1">
        <f t="shared" si="5"/>
        <v>8.450200978582105E-4</v>
      </c>
      <c r="Y15" s="1">
        <f t="shared" si="6"/>
        <v>466</v>
      </c>
      <c r="Z15" s="151"/>
      <c r="AA15" s="1">
        <f t="shared" si="7"/>
        <v>30231.392789850328</v>
      </c>
      <c r="AC15" s="1">
        <f t="shared" si="8"/>
        <v>0</v>
      </c>
      <c r="AE15" s="138"/>
      <c r="AF15" s="3">
        <f t="shared" si="11"/>
        <v>367511.50199999998</v>
      </c>
      <c r="AG15" s="1">
        <f t="shared" si="9"/>
        <v>1.0500328628571427</v>
      </c>
    </row>
    <row r="16" spans="1:38" x14ac:dyDescent="0.3">
      <c r="A16" s="2">
        <v>45017</v>
      </c>
      <c r="B16" s="3">
        <v>1075.98395563333</v>
      </c>
      <c r="C16" s="3">
        <v>946.71556666666595</v>
      </c>
      <c r="D16" s="3">
        <v>129.26838896666601</v>
      </c>
      <c r="E16" s="3">
        <v>5021.9666666666599</v>
      </c>
      <c r="F16" s="3">
        <v>0</v>
      </c>
      <c r="G16" s="3">
        <v>28401.467000000001</v>
      </c>
      <c r="H16" s="10">
        <v>3.800119056E-3</v>
      </c>
      <c r="I16" s="3">
        <v>150659</v>
      </c>
      <c r="J16" s="3">
        <v>3878.0516689999999</v>
      </c>
      <c r="K16" s="3">
        <v>12.013969937923301</v>
      </c>
      <c r="L16" s="3">
        <v>33.365001117723949</v>
      </c>
      <c r="N16" s="1">
        <f t="shared" si="0"/>
        <v>424</v>
      </c>
      <c r="O16" s="1">
        <f t="shared" si="1"/>
        <v>0.13654406193172991</v>
      </c>
      <c r="P16" s="1">
        <f t="shared" si="2"/>
        <v>0.55794326160544616</v>
      </c>
      <c r="R16" s="1">
        <f t="shared" si="3"/>
        <v>-1.0521995118997763E-5</v>
      </c>
      <c r="V16" s="1">
        <f t="shared" si="4"/>
        <v>822</v>
      </c>
      <c r="W16" s="1">
        <f t="shared" si="10"/>
        <v>14.133333333333333</v>
      </c>
      <c r="X16" s="1">
        <f t="shared" si="5"/>
        <v>8.6230299508151188E-4</v>
      </c>
      <c r="Y16" s="1">
        <f t="shared" si="6"/>
        <v>466</v>
      </c>
      <c r="Z16" s="151"/>
      <c r="AA16" s="1">
        <f t="shared" si="7"/>
        <v>29490.87462751022</v>
      </c>
      <c r="AC16" s="1">
        <f t="shared" si="8"/>
        <v>0</v>
      </c>
      <c r="AE16" s="138"/>
      <c r="AF16" s="3">
        <f t="shared" si="11"/>
        <v>395912.96899999998</v>
      </c>
      <c r="AG16" s="1">
        <f t="shared" si="9"/>
        <v>1.1311799114285714</v>
      </c>
    </row>
    <row r="17" spans="1:33" x14ac:dyDescent="0.3">
      <c r="A17" s="2">
        <v>45047</v>
      </c>
      <c r="B17" s="3">
        <v>953.44267929032253</v>
      </c>
      <c r="C17" s="3">
        <v>839.12941935483866</v>
      </c>
      <c r="D17" s="3">
        <v>114.31325993548387</v>
      </c>
      <c r="E17" s="3">
        <v>4447.677419354839</v>
      </c>
      <c r="F17" s="3">
        <v>0</v>
      </c>
      <c r="G17" s="3">
        <v>26013.011999999999</v>
      </c>
      <c r="H17" s="10">
        <v>3.480543541E-3</v>
      </c>
      <c r="I17" s="3">
        <v>137878</v>
      </c>
      <c r="J17" s="3">
        <v>3543.7110579999999</v>
      </c>
      <c r="K17" s="3">
        <v>11.989526210487119</v>
      </c>
      <c r="L17" s="3">
        <v>33.338124950697747</v>
      </c>
      <c r="N17" s="1">
        <f t="shared" si="0"/>
        <v>454</v>
      </c>
      <c r="O17" s="1">
        <f t="shared" si="1"/>
        <v>0.13622840207815998</v>
      </c>
      <c r="P17" s="1">
        <f t="shared" si="2"/>
        <v>0.70796311934723666</v>
      </c>
      <c r="R17" s="1">
        <f t="shared" si="3"/>
        <v>2.4294144019750981E-3</v>
      </c>
      <c r="V17" s="1">
        <f t="shared" si="4"/>
        <v>792</v>
      </c>
      <c r="W17" s="1">
        <f t="shared" si="10"/>
        <v>15.133333333333333</v>
      </c>
      <c r="X17" s="1">
        <f t="shared" si="5"/>
        <v>7.4265064992699381E-4</v>
      </c>
      <c r="Y17" s="1">
        <f t="shared" si="6"/>
        <v>466</v>
      </c>
      <c r="Z17" s="151"/>
      <c r="AA17" s="1">
        <f t="shared" si="7"/>
        <v>28791.519467100334</v>
      </c>
      <c r="AC17" s="1">
        <f t="shared" si="8"/>
        <v>0</v>
      </c>
      <c r="AE17" s="138"/>
      <c r="AF17" s="3">
        <f t="shared" si="11"/>
        <v>421925.98099999997</v>
      </c>
      <c r="AG17" s="1">
        <f t="shared" si="9"/>
        <v>1.2055028028571426</v>
      </c>
    </row>
    <row r="18" spans="1:33" x14ac:dyDescent="0.3">
      <c r="A18" s="2">
        <v>45078</v>
      </c>
      <c r="B18" s="3">
        <v>1096.4822096</v>
      </c>
      <c r="C18" s="3">
        <v>905.03160000000003</v>
      </c>
      <c r="D18" s="3">
        <v>191.45060960000001</v>
      </c>
      <c r="E18" s="3">
        <v>4539.2333333333336</v>
      </c>
      <c r="F18" s="3">
        <v>0</v>
      </c>
      <c r="G18" s="3">
        <v>27150.948</v>
      </c>
      <c r="H18" s="10">
        <v>3.6327994880000001E-3</v>
      </c>
      <c r="I18" s="3">
        <v>136177</v>
      </c>
      <c r="J18" s="3">
        <v>5743.5182880000002</v>
      </c>
      <c r="K18" s="3">
        <v>17.460439204922597</v>
      </c>
      <c r="L18" s="3">
        <v>31.546820928683591</v>
      </c>
      <c r="N18" s="1">
        <f t="shared" si="0"/>
        <v>485</v>
      </c>
      <c r="O18" s="1">
        <f t="shared" si="1"/>
        <v>0.21154024853938802</v>
      </c>
      <c r="P18" s="1">
        <f t="shared" si="2"/>
        <v>0.45967665931951091</v>
      </c>
      <c r="R18" s="1">
        <f t="shared" si="3"/>
        <v>4.6469511541654313E-4</v>
      </c>
      <c r="V18" s="1">
        <f t="shared" si="4"/>
        <v>761</v>
      </c>
      <c r="W18" s="1">
        <f t="shared" si="10"/>
        <v>16.166666666666668</v>
      </c>
      <c r="X18" s="1">
        <f t="shared" si="5"/>
        <v>8.7225259670402561E-4</v>
      </c>
      <c r="Y18" s="1">
        <f t="shared" si="6"/>
        <v>466</v>
      </c>
      <c r="Z18" s="151"/>
      <c r="AA18" s="1">
        <f t="shared" si="7"/>
        <v>28086.271011133907</v>
      </c>
      <c r="AC18" s="1">
        <f t="shared" si="8"/>
        <v>0</v>
      </c>
      <c r="AE18" s="138"/>
      <c r="AF18" s="3">
        <f t="shared" si="11"/>
        <v>449076.92899999995</v>
      </c>
      <c r="AG18" s="1">
        <f t="shared" si="9"/>
        <v>1.2830769399999997</v>
      </c>
    </row>
    <row r="19" spans="1:33" x14ac:dyDescent="0.3">
      <c r="A19" s="2">
        <v>45108</v>
      </c>
      <c r="B19" s="3">
        <v>1090.1274653870967</v>
      </c>
      <c r="C19" s="3">
        <v>889.55061290322578</v>
      </c>
      <c r="D19" s="3">
        <v>200.57685248387097</v>
      </c>
      <c r="E19" s="3">
        <v>4081.483870967742</v>
      </c>
      <c r="F19" s="3">
        <v>0</v>
      </c>
      <c r="G19" s="3">
        <v>27576.069</v>
      </c>
      <c r="H19" s="10">
        <v>3.689680721E-3</v>
      </c>
      <c r="I19" s="3">
        <v>126526</v>
      </c>
      <c r="J19" s="3">
        <v>6217.8824269999996</v>
      </c>
      <c r="K19" s="3">
        <v>18.399394460963101</v>
      </c>
      <c r="L19" s="3">
        <v>28.859197980683902</v>
      </c>
      <c r="N19" s="1">
        <f t="shared" si="0"/>
        <v>515</v>
      </c>
      <c r="O19" s="1">
        <f t="shared" si="1"/>
        <v>0.22548110200188431</v>
      </c>
      <c r="P19" s="1">
        <f t="shared" si="2"/>
        <v>0.69396596188116333</v>
      </c>
      <c r="R19" s="1">
        <f t="shared" si="3"/>
        <v>1.30700255971221E-3</v>
      </c>
      <c r="V19" s="1">
        <f t="shared" si="4"/>
        <v>731</v>
      </c>
      <c r="W19" s="1">
        <f t="shared" si="10"/>
        <v>17.166666666666668</v>
      </c>
      <c r="X19" s="1">
        <f t="shared" si="5"/>
        <v>8.8444702018958103E-4</v>
      </c>
      <c r="Y19" s="1">
        <f t="shared" si="6"/>
        <v>466</v>
      </c>
      <c r="Z19" s="151"/>
      <c r="AA19" s="1">
        <f t="shared" si="7"/>
        <v>27420.225028557859</v>
      </c>
      <c r="AC19" s="1">
        <f t="shared" si="8"/>
        <v>0</v>
      </c>
      <c r="AE19" s="138"/>
      <c r="AF19" s="3">
        <f t="shared" si="11"/>
        <v>476652.99799999996</v>
      </c>
      <c r="AG19" s="1">
        <f t="shared" si="9"/>
        <v>1.3618657085714285</v>
      </c>
    </row>
    <row r="20" spans="1:33" x14ac:dyDescent="0.3">
      <c r="A20" s="2">
        <v>45139</v>
      </c>
      <c r="B20" s="3">
        <v>1077.5053048387097</v>
      </c>
      <c r="C20" s="3">
        <v>851.11125806451616</v>
      </c>
      <c r="D20" s="3">
        <v>226.39404677419353</v>
      </c>
      <c r="E20" s="3">
        <v>3058.8709677419356</v>
      </c>
      <c r="F20" s="3">
        <v>0</v>
      </c>
      <c r="G20" s="3">
        <v>26384.449000000001</v>
      </c>
      <c r="H20" s="10">
        <v>3.530241849E-3</v>
      </c>
      <c r="I20" s="3">
        <v>94825</v>
      </c>
      <c r="J20" s="3">
        <v>7018.2154499999997</v>
      </c>
      <c r="K20" s="3">
        <v>21.010944981665975</v>
      </c>
      <c r="L20" s="3">
        <v>22.605372012885315</v>
      </c>
      <c r="N20" s="1">
        <f t="shared" si="0"/>
        <v>546</v>
      </c>
      <c r="O20" s="1">
        <f t="shared" si="1"/>
        <v>0.26599818135296283</v>
      </c>
      <c r="P20" s="1">
        <f t="shared" si="2"/>
        <v>0.48770174561082763</v>
      </c>
      <c r="R20" s="1">
        <f t="shared" si="3"/>
        <v>1.2377340402999456E-3</v>
      </c>
      <c r="V20" s="1">
        <f t="shared" si="4"/>
        <v>700</v>
      </c>
      <c r="W20" s="1">
        <f t="shared" si="10"/>
        <v>18.2</v>
      </c>
      <c r="X20" s="1">
        <f t="shared" si="5"/>
        <v>8.6051031990487927E-4</v>
      </c>
      <c r="Y20" s="1">
        <f t="shared" si="6"/>
        <v>466</v>
      </c>
      <c r="Z20" s="151"/>
      <c r="AA20" s="1">
        <f t="shared" si="7"/>
        <v>26748.566438751939</v>
      </c>
      <c r="AC20" s="1">
        <f t="shared" si="8"/>
        <v>0</v>
      </c>
      <c r="AE20" s="138"/>
      <c r="AF20" s="3">
        <f t="shared" si="11"/>
        <v>503037.44699999999</v>
      </c>
      <c r="AG20" s="1">
        <f t="shared" si="9"/>
        <v>1.4372498485714285</v>
      </c>
    </row>
    <row r="21" spans="1:33" x14ac:dyDescent="0.3">
      <c r="A21" s="2">
        <v>45170</v>
      </c>
      <c r="B21" s="3">
        <v>1100.4265313999999</v>
      </c>
      <c r="C21" s="3">
        <v>843.64733333333322</v>
      </c>
      <c r="D21" s="3">
        <v>256.77919806666665</v>
      </c>
      <c r="E21" s="3">
        <v>2726.2666666666669</v>
      </c>
      <c r="F21" s="3">
        <v>0</v>
      </c>
      <c r="G21" s="3">
        <v>25309.42</v>
      </c>
      <c r="H21" s="10">
        <v>3.3864028640000002E-3</v>
      </c>
      <c r="I21" s="3">
        <v>81788</v>
      </c>
      <c r="J21" s="3">
        <v>7703.3759419999997</v>
      </c>
      <c r="K21" s="3">
        <v>23.334515366508246</v>
      </c>
      <c r="L21" s="3">
        <v>20.325640113443928</v>
      </c>
      <c r="N21" s="1">
        <f t="shared" si="0"/>
        <v>577</v>
      </c>
      <c r="O21" s="1">
        <f t="shared" si="1"/>
        <v>0.30436793660226114</v>
      </c>
      <c r="P21" s="1">
        <f t="shared" si="2"/>
        <v>0.5761573367723879</v>
      </c>
      <c r="R21" s="1">
        <f t="shared" si="3"/>
        <v>4.4275488523163876E-4</v>
      </c>
      <c r="V21" s="1">
        <f t="shared" si="4"/>
        <v>669</v>
      </c>
      <c r="W21" s="1">
        <f t="shared" si="10"/>
        <v>19.233333333333334</v>
      </c>
      <c r="X21" s="1">
        <f t="shared" si="5"/>
        <v>8.8721811905120504E-4</v>
      </c>
      <c r="Y21" s="1">
        <f t="shared" si="6"/>
        <v>466</v>
      </c>
      <c r="Z21" s="151"/>
      <c r="AA21" s="1">
        <f t="shared" si="7"/>
        <v>26093.360130456844</v>
      </c>
      <c r="AC21" s="1">
        <f t="shared" si="8"/>
        <v>0</v>
      </c>
      <c r="AE21" s="138"/>
      <c r="AF21" s="3">
        <f t="shared" si="11"/>
        <v>528346.86699999997</v>
      </c>
      <c r="AG21" s="1">
        <f t="shared" si="9"/>
        <v>1.5095624771428571</v>
      </c>
    </row>
    <row r="22" spans="1:33" x14ac:dyDescent="0.3">
      <c r="A22" s="2">
        <v>45200</v>
      </c>
      <c r="B22" s="3">
        <v>1111.180347419355</v>
      </c>
      <c r="C22" s="3">
        <v>843.30425806451615</v>
      </c>
      <c r="D22" s="3">
        <v>267.87608935483871</v>
      </c>
      <c r="E22" s="3">
        <v>3271.516129032258</v>
      </c>
      <c r="F22" s="3">
        <v>0</v>
      </c>
      <c r="G22" s="3">
        <v>26142.432000000001</v>
      </c>
      <c r="H22" s="10">
        <v>3.497859952E-3</v>
      </c>
      <c r="I22" s="3">
        <v>101417</v>
      </c>
      <c r="J22" s="3">
        <v>8304.15877</v>
      </c>
      <c r="K22" s="3">
        <v>24.107345848670178</v>
      </c>
      <c r="L22" s="3">
        <v>24.400661981257137</v>
      </c>
      <c r="N22" s="1">
        <f t="shared" si="0"/>
        <v>607</v>
      </c>
      <c r="O22" s="1">
        <f t="shared" si="1"/>
        <v>0.3176505831592103</v>
      </c>
      <c r="P22" s="1">
        <f t="shared" si="2"/>
        <v>1.9982118827460227</v>
      </c>
      <c r="R22" s="1">
        <f t="shared" si="3"/>
        <v>1.4393184148358443E-3</v>
      </c>
      <c r="V22" s="1">
        <f t="shared" si="4"/>
        <v>639</v>
      </c>
      <c r="W22" s="1">
        <f t="shared" si="10"/>
        <v>20.233333333333334</v>
      </c>
      <c r="X22" s="1">
        <f t="shared" si="5"/>
        <v>9.2823502618174982E-4</v>
      </c>
      <c r="Y22" s="1">
        <f t="shared" si="6"/>
        <v>466</v>
      </c>
      <c r="Z22" s="151"/>
      <c r="AA22" s="1">
        <f t="shared" si="7"/>
        <v>25474.574614931789</v>
      </c>
      <c r="AC22" s="1">
        <f t="shared" si="8"/>
        <v>0</v>
      </c>
      <c r="AE22" s="138"/>
      <c r="AF22" s="3">
        <f t="shared" si="11"/>
        <v>554489.299</v>
      </c>
      <c r="AG22" s="1">
        <f t="shared" si="9"/>
        <v>1.58425514</v>
      </c>
    </row>
    <row r="23" spans="1:33" x14ac:dyDescent="0.3">
      <c r="A23" s="2">
        <v>45231</v>
      </c>
      <c r="B23" s="3">
        <v>1099.0082029</v>
      </c>
      <c r="C23" s="3">
        <v>806.7480333333333</v>
      </c>
      <c r="D23" s="3">
        <v>292.26016956666666</v>
      </c>
      <c r="E23" s="3">
        <v>4733.2666666666664</v>
      </c>
      <c r="F23" s="3">
        <v>0</v>
      </c>
      <c r="G23" s="3">
        <v>24202.440999999999</v>
      </c>
      <c r="H23" s="10">
        <v>3.2382889690000002E-3</v>
      </c>
      <c r="I23" s="3">
        <v>141998</v>
      </c>
      <c r="J23" s="3">
        <v>8767.8050870000006</v>
      </c>
      <c r="K23" s="3">
        <v>26.593083545279033</v>
      </c>
      <c r="L23" s="3">
        <v>36.902848782897557</v>
      </c>
      <c r="N23" s="1">
        <f t="shared" si="0"/>
        <v>638</v>
      </c>
      <c r="O23" s="1">
        <f t="shared" si="1"/>
        <v>0.36226945401912147</v>
      </c>
      <c r="P23" s="1">
        <f t="shared" si="2"/>
        <v>2.5404609209831737</v>
      </c>
      <c r="R23" s="1">
        <f t="shared" si="3"/>
        <v>4.8909555030115072E-3</v>
      </c>
      <c r="V23" s="1">
        <f t="shared" si="4"/>
        <v>608</v>
      </c>
      <c r="W23" s="1">
        <f t="shared" si="10"/>
        <v>21.266666666666666</v>
      </c>
      <c r="X23" s="1">
        <f t="shared" si="5"/>
        <v>9.0267394578743448E-4</v>
      </c>
      <c r="Y23" s="1">
        <f t="shared" si="6"/>
        <v>466</v>
      </c>
      <c r="Z23" s="151"/>
      <c r="AA23" s="1">
        <f t="shared" si="7"/>
        <v>24850.574744618883</v>
      </c>
      <c r="AC23" s="1">
        <f t="shared" si="8"/>
        <v>0</v>
      </c>
      <c r="AE23" s="138"/>
      <c r="AF23" s="3">
        <f t="shared" si="11"/>
        <v>578691.74</v>
      </c>
      <c r="AG23" s="1">
        <f t="shared" si="9"/>
        <v>1.6534049714285715</v>
      </c>
    </row>
    <row r="24" spans="1:33" x14ac:dyDescent="0.3">
      <c r="A24" s="2">
        <v>45261</v>
      </c>
      <c r="B24" s="3">
        <v>1162.0098915806452</v>
      </c>
      <c r="C24" s="3">
        <v>770.05390322580638</v>
      </c>
      <c r="D24" s="3">
        <v>391.95598835483872</v>
      </c>
      <c r="E24" s="3">
        <v>8381.5806451612898</v>
      </c>
      <c r="F24" s="3">
        <v>0</v>
      </c>
      <c r="G24" s="3">
        <v>23871.670999999998</v>
      </c>
      <c r="H24" s="10">
        <v>3.1940319110000002E-3</v>
      </c>
      <c r="I24" s="3">
        <v>259829</v>
      </c>
      <c r="J24" s="3">
        <v>12150.635639</v>
      </c>
      <c r="K24" s="3">
        <v>33.730865046395898</v>
      </c>
      <c r="L24" s="3">
        <v>68.460747645189983</v>
      </c>
      <c r="N24" s="1">
        <f t="shared" si="0"/>
        <v>668</v>
      </c>
      <c r="O24" s="1">
        <f t="shared" si="1"/>
        <v>0.50899811910946668</v>
      </c>
      <c r="P24" s="1">
        <f t="shared" si="2"/>
        <v>0.65868357841011504</v>
      </c>
      <c r="R24" s="1">
        <f t="shared" si="3"/>
        <v>2.7499054295514109E-3</v>
      </c>
      <c r="V24" s="1">
        <f t="shared" si="4"/>
        <v>578</v>
      </c>
      <c r="W24" s="1">
        <f t="shared" si="10"/>
        <v>22.266666666666666</v>
      </c>
      <c r="X24" s="1">
        <f t="shared" si="5"/>
        <v>8.6898768591914136E-4</v>
      </c>
      <c r="Y24" s="1">
        <f t="shared" si="6"/>
        <v>466</v>
      </c>
      <c r="Z24" s="151"/>
      <c r="AA24" s="1">
        <f t="shared" si="7"/>
        <v>24261.261002442225</v>
      </c>
      <c r="AC24" s="1">
        <f t="shared" si="8"/>
        <v>0</v>
      </c>
      <c r="AE24" s="138"/>
      <c r="AF24" s="3">
        <f t="shared" si="11"/>
        <v>602563.41099999996</v>
      </c>
      <c r="AG24" s="1">
        <f t="shared" si="9"/>
        <v>1.7216097457142856</v>
      </c>
    </row>
    <row r="25" spans="1:33" x14ac:dyDescent="0.3">
      <c r="A25" s="2">
        <v>45292</v>
      </c>
      <c r="B25" s="3">
        <v>1143.6739041290323</v>
      </c>
      <c r="C25" s="3">
        <v>717.37641935483873</v>
      </c>
      <c r="D25" s="3">
        <v>426.29748477419355</v>
      </c>
      <c r="E25" s="3">
        <v>7911.3548387096771</v>
      </c>
      <c r="F25" s="3">
        <v>0</v>
      </c>
      <c r="G25" s="3">
        <v>22238.669000000002</v>
      </c>
      <c r="H25" s="10">
        <v>2.9755360839999996E-3</v>
      </c>
      <c r="I25" s="3">
        <v>245252</v>
      </c>
      <c r="J25" s="3">
        <v>13215.222028</v>
      </c>
      <c r="K25" s="3">
        <v>37.274391173491146</v>
      </c>
      <c r="L25" s="3">
        <v>69.365033923567992</v>
      </c>
      <c r="N25" s="1">
        <f t="shared" si="0"/>
        <v>699</v>
      </c>
      <c r="O25" s="1">
        <f t="shared" si="1"/>
        <v>0.59424518742556043</v>
      </c>
      <c r="P25" s="1">
        <f t="shared" si="2"/>
        <v>-9.7799067778060994E-2</v>
      </c>
      <c r="R25" s="1">
        <f t="shared" si="3"/>
        <v>-8.640229388907234E-4</v>
      </c>
      <c r="V25" s="1">
        <f t="shared" si="4"/>
        <v>547</v>
      </c>
      <c r="W25" s="1">
        <f t="shared" si="10"/>
        <v>23.3</v>
      </c>
      <c r="X25" s="1">
        <f t="shared" si="5"/>
        <v>7.886929814268994E-4</v>
      </c>
      <c r="Y25" s="1">
        <f t="shared" si="6"/>
        <v>466</v>
      </c>
      <c r="Z25" s="151"/>
      <c r="AA25" s="1">
        <f t="shared" si="7"/>
        <v>23666.981256931656</v>
      </c>
      <c r="AC25" s="1">
        <f t="shared" si="8"/>
        <v>0</v>
      </c>
      <c r="AE25" s="138"/>
      <c r="AF25" s="3">
        <f t="shared" si="11"/>
        <v>624802.07999999996</v>
      </c>
      <c r="AG25" s="1">
        <f t="shared" si="9"/>
        <v>1.7851487999999998</v>
      </c>
    </row>
    <row r="26" spans="1:33" x14ac:dyDescent="0.3">
      <c r="A26" s="2">
        <v>45323</v>
      </c>
      <c r="B26" s="3">
        <v>1146.645767551724</v>
      </c>
      <c r="C26" s="3">
        <v>731.53089655172414</v>
      </c>
      <c r="D26" s="3">
        <v>415.11487099999999</v>
      </c>
      <c r="E26" s="3">
        <v>7477.6551724137935</v>
      </c>
      <c r="F26" s="3">
        <v>0</v>
      </c>
      <c r="G26" s="3">
        <v>21214.396000000001</v>
      </c>
      <c r="H26" s="10">
        <v>2.838488253E-3</v>
      </c>
      <c r="I26" s="3">
        <v>216852</v>
      </c>
      <c r="J26" s="3">
        <v>12038.331259000001</v>
      </c>
      <c r="K26" s="3">
        <v>36.202538111341745</v>
      </c>
      <c r="L26" s="3">
        <v>64.293874291778096</v>
      </c>
      <c r="N26" s="1">
        <f t="shared" si="0"/>
        <v>730</v>
      </c>
      <c r="O26" s="1">
        <f t="shared" si="1"/>
        <v>0.567460476319948</v>
      </c>
      <c r="P26" s="1">
        <f t="shared" si="2"/>
        <v>0.87259123745778744</v>
      </c>
      <c r="R26" s="1">
        <f t="shared" si="3"/>
        <v>6.4589160814579609E-4</v>
      </c>
      <c r="V26" s="1">
        <f t="shared" si="4"/>
        <v>516</v>
      </c>
      <c r="W26" s="1">
        <f t="shared" si="10"/>
        <v>24.333333333333332</v>
      </c>
      <c r="X26" s="1">
        <f t="shared" si="5"/>
        <v>8.7394151685492988E-4</v>
      </c>
      <c r="Y26" s="1">
        <f t="shared" si="6"/>
        <v>466</v>
      </c>
      <c r="Z26" s="151"/>
      <c r="AA26" s="1">
        <f t="shared" si="7"/>
        <v>23087.258397639358</v>
      </c>
      <c r="AC26" s="1">
        <f t="shared" si="8"/>
        <v>0</v>
      </c>
      <c r="AE26" s="138"/>
      <c r="AF26" s="3">
        <f t="shared" si="11"/>
        <v>646016.47599999991</v>
      </c>
      <c r="AG26" s="1">
        <f t="shared" si="9"/>
        <v>1.8457613599999998</v>
      </c>
    </row>
    <row r="27" spans="1:33" x14ac:dyDescent="0.3">
      <c r="A27" s="2">
        <v>45352</v>
      </c>
      <c r="B27" s="3">
        <v>1153.6146986129033</v>
      </c>
      <c r="C27" s="3">
        <v>727.28596774193556</v>
      </c>
      <c r="D27" s="3">
        <v>426.32873087096772</v>
      </c>
      <c r="E27" s="3">
        <v>5303.6129032258068</v>
      </c>
      <c r="F27" s="3">
        <v>0</v>
      </c>
      <c r="G27" s="3">
        <v>22545.865000000002</v>
      </c>
      <c r="H27" s="10">
        <v>3.016638936E-3</v>
      </c>
      <c r="I27" s="3">
        <v>164412</v>
      </c>
      <c r="J27" s="3">
        <v>13216.190656999999</v>
      </c>
      <c r="K27" s="3">
        <v>36.955903161045171</v>
      </c>
      <c r="L27" s="3">
        <v>45.867328558917563</v>
      </c>
      <c r="N27" s="1">
        <f t="shared" si="0"/>
        <v>759</v>
      </c>
      <c r="O27" s="1">
        <f t="shared" si="1"/>
        <v>0.58619133295617609</v>
      </c>
      <c r="P27" s="1">
        <f t="shared" si="2"/>
        <v>0.1654635459432173</v>
      </c>
      <c r="R27" s="1">
        <f t="shared" si="3"/>
        <v>1.6191528690684014E-3</v>
      </c>
      <c r="V27" s="1">
        <f t="shared" si="4"/>
        <v>487</v>
      </c>
      <c r="W27" s="1">
        <f t="shared" si="10"/>
        <v>25.3</v>
      </c>
      <c r="X27" s="1">
        <f t="shared" si="5"/>
        <v>9.1403309900902902E-4</v>
      </c>
      <c r="Y27" s="1">
        <f t="shared" si="6"/>
        <v>466</v>
      </c>
      <c r="Z27" s="151"/>
      <c r="AA27" s="1">
        <f t="shared" si="7"/>
        <v>22557.799474111591</v>
      </c>
      <c r="AC27" s="1">
        <f t="shared" si="8"/>
        <v>0</v>
      </c>
      <c r="AE27" s="138"/>
      <c r="AF27" s="3">
        <f t="shared" si="11"/>
        <v>668562.3409999999</v>
      </c>
      <c r="AG27" s="1">
        <f t="shared" si="9"/>
        <v>1.9101781171428567</v>
      </c>
    </row>
    <row r="28" spans="1:33" x14ac:dyDescent="0.3">
      <c r="A28" s="2">
        <v>45383</v>
      </c>
      <c r="B28" s="3">
        <v>1197.6937980666667</v>
      </c>
      <c r="C28" s="3">
        <v>731.9144</v>
      </c>
      <c r="D28" s="3">
        <v>465.77939806666666</v>
      </c>
      <c r="E28" s="3">
        <v>3824.9666666666667</v>
      </c>
      <c r="F28" s="3">
        <v>0</v>
      </c>
      <c r="G28" s="3">
        <v>21957.432000000001</v>
      </c>
      <c r="H28" s="10">
        <v>2.9379065460000001E-3</v>
      </c>
      <c r="I28" s="3">
        <v>114749</v>
      </c>
      <c r="J28" s="3">
        <v>13973.381942</v>
      </c>
      <c r="K28" s="3">
        <v>38.889689402962091</v>
      </c>
      <c r="L28" s="3">
        <v>32.870340220113171</v>
      </c>
      <c r="N28" s="1">
        <f t="shared" si="0"/>
        <v>790</v>
      </c>
      <c r="O28" s="1">
        <f t="shared" si="1"/>
        <v>0.63638507189729654</v>
      </c>
      <c r="P28" s="1">
        <f t="shared" si="2"/>
        <v>0.72745104471816546</v>
      </c>
      <c r="R28" s="1">
        <f t="shared" si="3"/>
        <v>-1.2467660926454979E-3</v>
      </c>
      <c r="V28" s="1">
        <f t="shared" si="4"/>
        <v>456</v>
      </c>
      <c r="W28" s="1">
        <f t="shared" si="10"/>
        <v>26.333333333333332</v>
      </c>
      <c r="X28" s="1">
        <f t="shared" si="5"/>
        <v>9.9008318663805516E-4</v>
      </c>
      <c r="Y28" s="1">
        <f t="shared" si="6"/>
        <v>466</v>
      </c>
      <c r="Z28" s="151"/>
      <c r="AA28" s="1">
        <f t="shared" si="7"/>
        <v>22005.246029778922</v>
      </c>
      <c r="AC28" s="1">
        <f t="shared" si="8"/>
        <v>0</v>
      </c>
      <c r="AE28" s="138"/>
      <c r="AF28" s="3">
        <f t="shared" si="11"/>
        <v>690519.77299999993</v>
      </c>
      <c r="AG28" s="1">
        <f t="shared" si="9"/>
        <v>1.9729136371428571</v>
      </c>
    </row>
    <row r="29" spans="1:33" x14ac:dyDescent="0.3">
      <c r="A29" s="2">
        <v>45413</v>
      </c>
      <c r="B29" s="3">
        <v>1095.4652082580646</v>
      </c>
      <c r="C29" s="3">
        <v>685.10161290322583</v>
      </c>
      <c r="D29" s="3">
        <v>410.36359535483871</v>
      </c>
      <c r="E29" s="3">
        <v>3644.1935483870966</v>
      </c>
      <c r="F29" s="3">
        <v>0</v>
      </c>
      <c r="G29" s="3">
        <v>21238.15</v>
      </c>
      <c r="H29" s="10">
        <v>2.8416665460000001E-3</v>
      </c>
      <c r="I29" s="3">
        <v>112970</v>
      </c>
      <c r="J29" s="3">
        <v>12721.271456</v>
      </c>
      <c r="K29" s="3">
        <v>37.460212543616187</v>
      </c>
      <c r="L29" s="3">
        <v>33.456713790984615</v>
      </c>
      <c r="N29" s="1">
        <f t="shared" si="0"/>
        <v>820</v>
      </c>
      <c r="O29" s="1">
        <f t="shared" si="1"/>
        <v>0.5989820891179316</v>
      </c>
      <c r="P29" s="1">
        <f t="shared" si="2"/>
        <v>2.6131584684096243</v>
      </c>
      <c r="R29" s="1">
        <f t="shared" si="3"/>
        <v>2.9519418464418207E-3</v>
      </c>
      <c r="V29" s="1">
        <f t="shared" si="4"/>
        <v>426</v>
      </c>
      <c r="W29" s="1">
        <f t="shared" si="10"/>
        <v>27.333333333333332</v>
      </c>
      <c r="X29" s="1">
        <f t="shared" si="5"/>
        <v>9.046514862441268E-4</v>
      </c>
      <c r="Y29" s="1">
        <f t="shared" si="6"/>
        <v>466</v>
      </c>
      <c r="Z29" s="151"/>
      <c r="AA29" s="1">
        <f t="shared" si="7"/>
        <v>21483.407238580134</v>
      </c>
      <c r="AC29" s="1">
        <f t="shared" si="8"/>
        <v>0</v>
      </c>
      <c r="AE29" s="138"/>
      <c r="AF29" s="3">
        <f t="shared" si="11"/>
        <v>711757.92299999995</v>
      </c>
      <c r="AG29" s="1">
        <f t="shared" si="9"/>
        <v>2.0335940657142855</v>
      </c>
    </row>
    <row r="30" spans="1:33" x14ac:dyDescent="0.3">
      <c r="A30" s="2">
        <v>45444</v>
      </c>
      <c r="B30" s="3">
        <v>1050.1926937666665</v>
      </c>
      <c r="C30" s="3">
        <v>621.23483333333331</v>
      </c>
      <c r="D30" s="3">
        <v>428.95786043333334</v>
      </c>
      <c r="E30" s="3">
        <v>4269.9666666666662</v>
      </c>
      <c r="F30" s="3">
        <v>0</v>
      </c>
      <c r="G30" s="3">
        <v>18637.044999999998</v>
      </c>
      <c r="H30" s="10">
        <v>2.4936384370000003E-3</v>
      </c>
      <c r="I30" s="3">
        <v>128099</v>
      </c>
      <c r="J30" s="3">
        <v>12868.735812999999</v>
      </c>
      <c r="K30" s="3">
        <v>40.845633661267868</v>
      </c>
      <c r="L30" s="3">
        <v>43.232019357145944</v>
      </c>
      <c r="N30" s="1">
        <f t="shared" si="0"/>
        <v>851</v>
      </c>
      <c r="O30" s="1">
        <f t="shared" si="1"/>
        <v>0.69049228635762805</v>
      </c>
      <c r="P30" s="1">
        <f t="shared" si="2"/>
        <v>0.55983716393140959</v>
      </c>
      <c r="R30" s="1">
        <f t="shared" si="3"/>
        <v>3.1997502955224892E-3</v>
      </c>
      <c r="V30" s="1">
        <f t="shared" si="4"/>
        <v>395</v>
      </c>
      <c r="W30" s="1">
        <f t="shared" si="10"/>
        <v>28.366666666666667</v>
      </c>
      <c r="X30" s="1">
        <f t="shared" si="5"/>
        <v>7.279076704851821E-4</v>
      </c>
      <c r="Y30" s="1">
        <f t="shared" si="6"/>
        <v>466</v>
      </c>
      <c r="Z30" s="151"/>
      <c r="AA30" s="1">
        <f t="shared" si="7"/>
        <v>20957.171039020755</v>
      </c>
      <c r="AC30" s="1">
        <f t="shared" si="8"/>
        <v>0</v>
      </c>
      <c r="AE30" s="138"/>
      <c r="AF30" s="3">
        <f t="shared" si="11"/>
        <v>730394.96799999999</v>
      </c>
      <c r="AG30" s="1">
        <f t="shared" si="9"/>
        <v>2.0868427657142856</v>
      </c>
    </row>
    <row r="31" spans="1:33" x14ac:dyDescent="0.3">
      <c r="A31" s="2">
        <v>45474</v>
      </c>
      <c r="B31" s="3">
        <v>1099.434553935484</v>
      </c>
      <c r="C31" s="3">
        <v>615.41780645161293</v>
      </c>
      <c r="D31" s="3">
        <v>484.01674748387097</v>
      </c>
      <c r="E31" s="3">
        <v>5148.5161290322585</v>
      </c>
      <c r="F31" s="3">
        <v>0</v>
      </c>
      <c r="G31" s="3">
        <v>19077.952000000001</v>
      </c>
      <c r="H31" s="10">
        <v>2.5526318409999998E-3</v>
      </c>
      <c r="I31" s="3">
        <v>159604</v>
      </c>
      <c r="J31" s="3">
        <v>15004.519172</v>
      </c>
      <c r="K31" s="3">
        <v>44.024152756642721</v>
      </c>
      <c r="L31" s="3">
        <v>52.619759143958426</v>
      </c>
      <c r="N31" s="1">
        <f t="shared" si="0"/>
        <v>881</v>
      </c>
      <c r="O31" s="1">
        <f t="shared" si="1"/>
        <v>0.78648479522330272</v>
      </c>
      <c r="P31" s="1">
        <f t="shared" si="2"/>
        <v>-1.2816878946236787</v>
      </c>
      <c r="R31" s="1">
        <f t="shared" si="3"/>
        <v>-1.8463283618691216E-3</v>
      </c>
      <c r="V31" s="1">
        <f t="shared" si="4"/>
        <v>365</v>
      </c>
      <c r="W31" s="1">
        <f t="shared" si="10"/>
        <v>29.366666666666667</v>
      </c>
      <c r="X31" s="1">
        <f t="shared" si="5"/>
        <v>7.6196099480601491E-4</v>
      </c>
      <c r="Y31" s="1">
        <f t="shared" si="6"/>
        <v>466</v>
      </c>
      <c r="Z31" s="151"/>
      <c r="AA31" s="1">
        <f t="shared" si="7"/>
        <v>20460.186602348283</v>
      </c>
      <c r="AC31" s="1">
        <f t="shared" si="8"/>
        <v>0</v>
      </c>
      <c r="AE31" s="138"/>
      <c r="AF31" s="3">
        <f t="shared" si="11"/>
        <v>749472.92</v>
      </c>
      <c r="AG31" s="1">
        <f t="shared" si="9"/>
        <v>2.1413511999999999</v>
      </c>
    </row>
    <row r="32" spans="1:33" s="55" customFormat="1" x14ac:dyDescent="0.3">
      <c r="A32" s="59">
        <v>45505</v>
      </c>
      <c r="B32" s="58">
        <v>1157.6063268709677</v>
      </c>
      <c r="C32" s="58">
        <v>669.42735483870968</v>
      </c>
      <c r="D32" s="58">
        <v>488.17897203225806</v>
      </c>
      <c r="E32" s="58">
        <v>5302.5161290322585</v>
      </c>
      <c r="F32" s="58">
        <v>0</v>
      </c>
      <c r="G32" s="58">
        <v>20752.248</v>
      </c>
      <c r="H32" s="60">
        <v>2.7766528079999999E-3</v>
      </c>
      <c r="I32" s="58">
        <v>164378</v>
      </c>
      <c r="J32" s="58">
        <v>15133.548133</v>
      </c>
      <c r="K32" s="58">
        <v>42.171415333554314</v>
      </c>
      <c r="L32" s="58">
        <v>49.821337158268342</v>
      </c>
      <c r="N32" s="55">
        <f t="shared" si="0"/>
        <v>912</v>
      </c>
      <c r="O32" s="55">
        <f t="shared" si="1"/>
        <v>0.72924861600535995</v>
      </c>
      <c r="P32" s="55">
        <f t="shared" si="2"/>
        <v>-3.631032315580237E-2</v>
      </c>
      <c r="R32" s="55">
        <f t="shared" si="3"/>
        <v>-9.6547396130889252E-4</v>
      </c>
      <c r="V32" s="55">
        <f t="shared" si="4"/>
        <v>334</v>
      </c>
      <c r="W32" s="55">
        <f t="shared" si="10"/>
        <v>30.4</v>
      </c>
      <c r="X32" s="55">
        <f t="shared" si="5"/>
        <v>1.084541971644859E-3</v>
      </c>
      <c r="Y32" s="55">
        <f t="shared" si="6"/>
        <v>466</v>
      </c>
      <c r="Z32" s="151"/>
      <c r="AA32" s="1">
        <f t="shared" si="7"/>
        <v>19959.014198905683</v>
      </c>
      <c r="AB32" s="1"/>
      <c r="AC32" s="1">
        <f t="shared" si="8"/>
        <v>0</v>
      </c>
      <c r="AE32" s="138"/>
      <c r="AF32" s="3">
        <f t="shared" si="11"/>
        <v>770225.16800000006</v>
      </c>
      <c r="AG32" s="1">
        <f t="shared" si="9"/>
        <v>2.2006433371428575</v>
      </c>
    </row>
    <row r="33" spans="1:33" x14ac:dyDescent="0.3">
      <c r="A33" s="2">
        <v>45536</v>
      </c>
      <c r="B33" s="3">
        <v>1093.9656151666666</v>
      </c>
      <c r="C33" s="3">
        <v>643.76709999999991</v>
      </c>
      <c r="D33" s="3">
        <v>450.19851516666665</v>
      </c>
      <c r="E33" s="3">
        <v>5026.1333333333332</v>
      </c>
      <c r="F33" s="3">
        <v>0</v>
      </c>
      <c r="G33" s="3">
        <v>19313.012999999999</v>
      </c>
      <c r="H33" s="10">
        <v>2.584083022E-3</v>
      </c>
      <c r="I33" s="3">
        <v>150784</v>
      </c>
      <c r="J33" s="3">
        <v>13505.955454999999</v>
      </c>
      <c r="K33" s="3">
        <v>41.152894471740645</v>
      </c>
      <c r="L33" s="3">
        <v>49.1068484860441</v>
      </c>
      <c r="N33" s="1">
        <f t="shared" si="0"/>
        <v>943</v>
      </c>
      <c r="O33" s="1">
        <f t="shared" si="1"/>
        <v>0.69931892320478428</v>
      </c>
      <c r="P33" s="1">
        <f t="shared" si="2"/>
        <v>0.58606644910013095</v>
      </c>
      <c r="R33" s="1">
        <f t="shared" si="3"/>
        <v>9.1929379645239173E-4</v>
      </c>
      <c r="V33" s="1">
        <f t="shared" si="4"/>
        <v>303</v>
      </c>
      <c r="W33" s="1">
        <f t="shared" si="10"/>
        <v>31.433333333333334</v>
      </c>
      <c r="X33" s="1">
        <f t="shared" si="5"/>
        <v>1.0665062066214617E-3</v>
      </c>
      <c r="Y33" s="1">
        <f t="shared" si="6"/>
        <v>466</v>
      </c>
      <c r="Z33" s="151"/>
      <c r="AA33" s="1">
        <f t="shared" si="7"/>
        <v>19470.11801673389</v>
      </c>
      <c r="AC33" s="1">
        <f t="shared" si="8"/>
        <v>0</v>
      </c>
      <c r="AE33" s="138"/>
      <c r="AF33" s="3">
        <f t="shared" si="11"/>
        <v>789538.1810000001</v>
      </c>
      <c r="AG33" s="1">
        <f t="shared" si="9"/>
        <v>2.2558233742857143</v>
      </c>
    </row>
    <row r="34" spans="1:33" x14ac:dyDescent="0.3">
      <c r="A34" s="2">
        <v>45566</v>
      </c>
      <c r="B34" s="3">
        <v>1067.9916052580645</v>
      </c>
      <c r="C34" s="3">
        <v>618.44519354838712</v>
      </c>
      <c r="D34" s="3">
        <v>449.54641170967744</v>
      </c>
      <c r="E34" s="3">
        <v>5481.7096774193551</v>
      </c>
      <c r="F34" s="3">
        <v>0</v>
      </c>
      <c r="G34" s="3">
        <v>19171.800999999999</v>
      </c>
      <c r="H34" s="10">
        <v>2.5651888439999996E-3</v>
      </c>
      <c r="I34" s="3">
        <v>169933</v>
      </c>
      <c r="J34" s="3">
        <v>13935.938763</v>
      </c>
      <c r="K34" s="3">
        <v>42.092691505852351</v>
      </c>
      <c r="L34" s="3">
        <v>55.750869905232165</v>
      </c>
      <c r="N34" s="1">
        <f t="shared" si="0"/>
        <v>973</v>
      </c>
      <c r="O34" s="1">
        <f t="shared" si="1"/>
        <v>0.72689773709835603</v>
      </c>
      <c r="P34" s="1">
        <f t="shared" si="2"/>
        <v>-0.15587773112799858</v>
      </c>
      <c r="R34" s="1">
        <f t="shared" si="3"/>
        <v>2.9536862993287844E-4</v>
      </c>
      <c r="V34" s="1">
        <f t="shared" si="4"/>
        <v>273</v>
      </c>
      <c r="W34" s="1">
        <f t="shared" si="10"/>
        <v>32.43333333333333</v>
      </c>
      <c r="X34" s="1">
        <f t="shared" si="5"/>
        <v>1.0367140728733866E-3</v>
      </c>
      <c r="Y34" s="1">
        <f t="shared" si="6"/>
        <v>466</v>
      </c>
      <c r="Z34" s="151"/>
      <c r="AA34" s="1">
        <f t="shared" si="7"/>
        <v>19008.397987037304</v>
      </c>
      <c r="AC34" s="1">
        <f t="shared" si="8"/>
        <v>0</v>
      </c>
      <c r="AE34" s="138"/>
      <c r="AF34" s="3">
        <f t="shared" si="11"/>
        <v>808709.98200000008</v>
      </c>
      <c r="AG34" s="1">
        <f t="shared" si="9"/>
        <v>2.3105999485714288</v>
      </c>
    </row>
    <row r="35" spans="1:33" x14ac:dyDescent="0.3">
      <c r="A35" s="2">
        <v>45597</v>
      </c>
      <c r="B35" s="3">
        <v>1067.5725043666669</v>
      </c>
      <c r="C35" s="3">
        <v>614.9419333333334</v>
      </c>
      <c r="D35" s="3">
        <v>452.63057103333335</v>
      </c>
      <c r="E35" s="3">
        <v>5217.2333333333336</v>
      </c>
      <c r="F35" s="3">
        <v>0</v>
      </c>
      <c r="G35" s="3">
        <v>18448.258000000002</v>
      </c>
      <c r="H35" s="10">
        <v>2.468378722E-3</v>
      </c>
      <c r="I35" s="3">
        <v>156517</v>
      </c>
      <c r="J35" s="3">
        <v>13578.917131</v>
      </c>
      <c r="K35" s="3">
        <v>42.398110590329843</v>
      </c>
      <c r="L35" s="3">
        <v>53.363337969362732</v>
      </c>
      <c r="N35" s="1">
        <f t="shared" si="0"/>
        <v>1004</v>
      </c>
      <c r="O35" s="1">
        <f t="shared" si="1"/>
        <v>0.73605416462627526</v>
      </c>
      <c r="P35" s="1">
        <f t="shared" si="2"/>
        <v>1.7361944842968726</v>
      </c>
      <c r="R35" s="1">
        <f t="shared" si="3"/>
        <v>-6.2115748732845353E-4</v>
      </c>
      <c r="V35" s="1">
        <f t="shared" si="4"/>
        <v>242</v>
      </c>
      <c r="W35" s="1">
        <f t="shared" si="10"/>
        <v>33.466666666666669</v>
      </c>
      <c r="X35" s="1">
        <f t="shared" si="5"/>
        <v>1.146042197847523E-3</v>
      </c>
      <c r="Y35" s="1">
        <f t="shared" si="6"/>
        <v>466</v>
      </c>
      <c r="Z35" s="151"/>
      <c r="AA35" s="1">
        <f t="shared" si="7"/>
        <v>18542.787155136892</v>
      </c>
      <c r="AC35" s="1">
        <f t="shared" si="8"/>
        <v>0</v>
      </c>
      <c r="AE35" s="138"/>
      <c r="AF35" s="3">
        <f t="shared" si="11"/>
        <v>827158.24000000011</v>
      </c>
      <c r="AG35" s="1">
        <f t="shared" si="9"/>
        <v>2.3633092571428578</v>
      </c>
    </row>
    <row r="36" spans="1:33" x14ac:dyDescent="0.3">
      <c r="A36" s="2">
        <v>45627</v>
      </c>
      <c r="B36" s="3">
        <v>998.68887787096776</v>
      </c>
      <c r="C36" s="3">
        <v>581.50551612903223</v>
      </c>
      <c r="D36" s="3">
        <v>417.18336174193553</v>
      </c>
      <c r="E36" s="3">
        <v>4127.4193548387093</v>
      </c>
      <c r="F36" s="3">
        <v>0</v>
      </c>
      <c r="G36" s="3">
        <v>18026.670999999998</v>
      </c>
      <c r="H36" s="10">
        <v>2.4119703370000002E-3</v>
      </c>
      <c r="I36" s="3">
        <v>127950</v>
      </c>
      <c r="J36" s="3">
        <v>12932.684214000001</v>
      </c>
      <c r="K36" s="3">
        <v>41.77310581762945</v>
      </c>
      <c r="L36" s="3">
        <v>44.643845222448448</v>
      </c>
      <c r="N36" s="1">
        <f t="shared" si="0"/>
        <v>1034</v>
      </c>
      <c r="O36" s="1">
        <f t="shared" si="1"/>
        <v>0.71741944000642166</v>
      </c>
      <c r="P36" s="1">
        <f t="shared" si="2"/>
        <v>3.5120595067522862</v>
      </c>
      <c r="R36" s="1">
        <f t="shared" si="3"/>
        <v>3.9045257504578225E-3</v>
      </c>
      <c r="V36" s="1">
        <f t="shared" si="4"/>
        <v>212</v>
      </c>
      <c r="W36" s="1">
        <f t="shared" si="10"/>
        <v>34.466666666666669</v>
      </c>
      <c r="X36" s="1">
        <f t="shared" si="5"/>
        <v>1.0445038859553317E-3</v>
      </c>
      <c r="Y36" s="1">
        <f t="shared" si="6"/>
        <v>466</v>
      </c>
      <c r="Z36" s="151"/>
      <c r="AA36" s="1">
        <f t="shared" si="7"/>
        <v>18103.058118642664</v>
      </c>
      <c r="AC36" s="1">
        <f t="shared" si="8"/>
        <v>0</v>
      </c>
      <c r="AE36" s="138"/>
      <c r="AF36" s="3">
        <f t="shared" si="11"/>
        <v>845184.91100000008</v>
      </c>
      <c r="AG36" s="1">
        <f t="shared" si="9"/>
        <v>2.4148140314285715</v>
      </c>
    </row>
    <row r="37" spans="1:33" x14ac:dyDescent="0.3">
      <c r="A37" s="2">
        <v>45658</v>
      </c>
      <c r="B37" s="3">
        <v>1045.1399274838709</v>
      </c>
      <c r="C37" s="3">
        <v>568.4867096774193</v>
      </c>
      <c r="D37" s="3">
        <v>476.65321780645161</v>
      </c>
      <c r="E37" s="3">
        <v>3740.7741935483873</v>
      </c>
      <c r="F37" s="3">
        <v>0</v>
      </c>
      <c r="G37" s="3">
        <v>17623.088</v>
      </c>
      <c r="H37" s="10">
        <v>2.3579708970000004E-3</v>
      </c>
      <c r="I37" s="3">
        <v>115964</v>
      </c>
      <c r="J37" s="3">
        <v>14776.249752</v>
      </c>
      <c r="K37" s="3">
        <v>45.60664129959838</v>
      </c>
      <c r="L37" s="3">
        <v>41.388340522387445</v>
      </c>
      <c r="N37" s="1">
        <f t="shared" si="0"/>
        <v>1065</v>
      </c>
      <c r="O37" s="1">
        <f t="shared" si="1"/>
        <v>0.83845973827061415</v>
      </c>
      <c r="P37" s="1">
        <f t="shared" si="2"/>
        <v>3.8280120775346655</v>
      </c>
      <c r="R37" s="1">
        <f t="shared" si="3"/>
        <v>2.6927548208186547E-3</v>
      </c>
      <c r="V37" s="1">
        <f t="shared" si="4"/>
        <v>181</v>
      </c>
      <c r="W37" s="1">
        <f t="shared" si="10"/>
        <v>35.5</v>
      </c>
      <c r="X37" s="1">
        <f t="shared" si="5"/>
        <v>1.0983000050582687E-3</v>
      </c>
      <c r="Y37" s="1">
        <f t="shared" si="6"/>
        <v>466</v>
      </c>
      <c r="Z37" s="151"/>
      <c r="AA37" s="1">
        <f t="shared" si="7"/>
        <v>17659.623592686785</v>
      </c>
      <c r="AC37" s="1">
        <f t="shared" si="8"/>
        <v>0</v>
      </c>
      <c r="AE37" s="138"/>
      <c r="AF37" s="3">
        <f t="shared" si="11"/>
        <v>862807.99900000007</v>
      </c>
      <c r="AG37" s="1">
        <f t="shared" si="9"/>
        <v>2.4651657114285714</v>
      </c>
    </row>
    <row r="38" spans="1:33" x14ac:dyDescent="0.3">
      <c r="A38" s="2">
        <v>45689</v>
      </c>
      <c r="B38" s="3">
        <v>1076.9232696785714</v>
      </c>
      <c r="C38" s="3">
        <v>560.33278571428571</v>
      </c>
      <c r="D38" s="3">
        <v>516.59048396428568</v>
      </c>
      <c r="E38" s="3">
        <v>3899.4285714285716</v>
      </c>
      <c r="F38" s="3">
        <v>0</v>
      </c>
      <c r="G38" s="3">
        <v>15689.317999999999</v>
      </c>
      <c r="H38" s="10">
        <v>2.0992322770000001E-3</v>
      </c>
      <c r="I38" s="3">
        <v>109184</v>
      </c>
      <c r="J38" s="3">
        <v>14464.533551</v>
      </c>
      <c r="K38" s="3">
        <v>47.969107782253808</v>
      </c>
      <c r="L38" s="3">
        <v>43.771534441458826</v>
      </c>
      <c r="N38" s="1">
        <f t="shared" si="0"/>
        <v>1096</v>
      </c>
      <c r="O38" s="1">
        <f t="shared" si="1"/>
        <v>0.92193513771599245</v>
      </c>
      <c r="P38" s="1">
        <f t="shared" si="2"/>
        <v>2.1609134634293627</v>
      </c>
      <c r="R38" s="1">
        <f t="shared" si="3"/>
        <v>4.3902500430622405E-3</v>
      </c>
      <c r="V38" s="1">
        <f t="shared" si="4"/>
        <v>150</v>
      </c>
      <c r="W38" s="1">
        <f t="shared" si="10"/>
        <v>36.533333333333331</v>
      </c>
      <c r="X38" s="1">
        <f t="shared" si="5"/>
        <v>1.2289682220330517E-3</v>
      </c>
      <c r="Y38" s="1">
        <f t="shared" si="6"/>
        <v>466</v>
      </c>
      <c r="Z38" s="151"/>
      <c r="AA38" s="1">
        <f t="shared" si="7"/>
        <v>17227.050998318427</v>
      </c>
      <c r="AC38" s="1">
        <f t="shared" si="8"/>
        <v>0</v>
      </c>
      <c r="AE38" s="138"/>
      <c r="AF38" s="3">
        <f t="shared" si="11"/>
        <v>878497.31700000004</v>
      </c>
      <c r="AG38" s="1">
        <f t="shared" si="9"/>
        <v>2.5099923342857142</v>
      </c>
    </row>
    <row r="39" spans="1:33" x14ac:dyDescent="0.3">
      <c r="A39" s="2">
        <v>45717</v>
      </c>
      <c r="B39" s="3">
        <v>1155.6328614838708</v>
      </c>
      <c r="C39" s="3">
        <v>565.13974193548381</v>
      </c>
      <c r="D39" s="3">
        <v>590.49311954838709</v>
      </c>
      <c r="E39" s="3">
        <v>4012.6451612903224</v>
      </c>
      <c r="F39" s="3">
        <v>0</v>
      </c>
      <c r="G39" s="3">
        <v>17519.331999999999</v>
      </c>
      <c r="H39" s="10">
        <v>2.3440883300000002E-3</v>
      </c>
      <c r="I39" s="3">
        <v>124392</v>
      </c>
      <c r="J39" s="3">
        <v>18305.286705999999</v>
      </c>
      <c r="K39" s="3">
        <v>51.096947761607815</v>
      </c>
      <c r="L39" s="3">
        <v>44.659282762607617</v>
      </c>
      <c r="N39" s="1">
        <f t="shared" si="0"/>
        <v>1124</v>
      </c>
      <c r="O39" s="1">
        <f t="shared" si="1"/>
        <v>1.0448621389217352</v>
      </c>
      <c r="P39" s="1">
        <f t="shared" si="2"/>
        <v>-0.61325745412163091</v>
      </c>
      <c r="R39" s="1">
        <f t="shared" si="3"/>
        <v>-3.1043515058776764E-4</v>
      </c>
      <c r="V39" s="1">
        <f t="shared" si="4"/>
        <v>122</v>
      </c>
      <c r="W39" s="1">
        <f t="shared" si="10"/>
        <v>37.466666666666669</v>
      </c>
      <c r="X39" s="1">
        <f t="shared" si="5"/>
        <v>1.5810442401542931E-3</v>
      </c>
      <c r="Y39" s="1">
        <f t="shared" si="6"/>
        <v>466</v>
      </c>
      <c r="Z39" s="151"/>
      <c r="AA39" s="1">
        <f t="shared" si="7"/>
        <v>16845.454888062879</v>
      </c>
      <c r="AC39" s="1">
        <f t="shared" si="8"/>
        <v>0</v>
      </c>
      <c r="AE39" s="138"/>
      <c r="AF39" s="3">
        <f t="shared" si="11"/>
        <v>896016.64900000009</v>
      </c>
      <c r="AG39" s="1">
        <f t="shared" si="9"/>
        <v>2.5600475685714286</v>
      </c>
    </row>
    <row r="40" spans="1:33" x14ac:dyDescent="0.3">
      <c r="A40" s="2">
        <v>45748</v>
      </c>
      <c r="B40" s="3">
        <v>1041.5044783666667</v>
      </c>
      <c r="C40" s="3">
        <v>511.73580000000004</v>
      </c>
      <c r="D40" s="3">
        <v>529.76867836666668</v>
      </c>
      <c r="E40" s="3">
        <v>4126.5</v>
      </c>
      <c r="F40" s="3">
        <v>0</v>
      </c>
      <c r="G40" s="3">
        <v>15352.074000000001</v>
      </c>
      <c r="H40" s="10">
        <v>2.0541089999999997E-3</v>
      </c>
      <c r="I40" s="3">
        <v>123795</v>
      </c>
      <c r="J40" s="3">
        <v>15893.060351</v>
      </c>
      <c r="K40" s="3">
        <v>50.865712953771769</v>
      </c>
      <c r="L40" s="3">
        <v>50.719257280807788</v>
      </c>
      <c r="N40" s="1">
        <f t="shared" si="0"/>
        <v>1155</v>
      </c>
      <c r="O40" s="1">
        <f t="shared" si="1"/>
        <v>1.0352386492535144</v>
      </c>
      <c r="P40" s="1">
        <f t="shared" si="2"/>
        <v>1.2499988353428677</v>
      </c>
      <c r="R40" s="1">
        <f t="shared" si="3"/>
        <v>-7.595522566821389E-4</v>
      </c>
      <c r="V40" s="1">
        <f t="shared" si="4"/>
        <v>91</v>
      </c>
      <c r="W40" s="1">
        <f t="shared" si="10"/>
        <v>38.5</v>
      </c>
      <c r="X40" s="1">
        <f t="shared" si="5"/>
        <v>1.0288224407360603E-3</v>
      </c>
      <c r="Y40" s="1">
        <f t="shared" si="6"/>
        <v>466</v>
      </c>
      <c r="Z40" s="151"/>
      <c r="AA40" s="1">
        <f t="shared" si="7"/>
        <v>16432.825361391533</v>
      </c>
      <c r="AC40" s="1">
        <f t="shared" si="8"/>
        <v>0</v>
      </c>
      <c r="AE40" s="138"/>
      <c r="AF40" s="3">
        <f t="shared" si="11"/>
        <v>911368.72300000011</v>
      </c>
      <c r="AG40" s="1">
        <f t="shared" si="9"/>
        <v>2.6039106371428575</v>
      </c>
    </row>
    <row r="41" spans="1:33" x14ac:dyDescent="0.3">
      <c r="A41" s="2">
        <v>45778</v>
      </c>
      <c r="B41" s="3">
        <v>1065.3063755483872</v>
      </c>
      <c r="C41" s="3">
        <v>529.35738709677423</v>
      </c>
      <c r="D41" s="3">
        <v>535.94898845161288</v>
      </c>
      <c r="E41" s="3">
        <v>3688.8709677419356</v>
      </c>
      <c r="F41" s="3">
        <v>0</v>
      </c>
      <c r="G41" s="3">
        <v>16410.079000000002</v>
      </c>
      <c r="H41" s="10">
        <v>2.19567017E-3</v>
      </c>
      <c r="I41" s="3">
        <v>114355</v>
      </c>
      <c r="J41" s="3">
        <v>16614.418642000001</v>
      </c>
      <c r="K41" s="3">
        <v>50.309375852155469</v>
      </c>
      <c r="L41" s="3">
        <v>43.830994293202366</v>
      </c>
      <c r="N41" s="1">
        <f t="shared" si="0"/>
        <v>1185</v>
      </c>
      <c r="O41" s="1">
        <f t="shared" si="1"/>
        <v>1.0124520815530502</v>
      </c>
      <c r="P41" s="1">
        <f t="shared" si="2"/>
        <v>2.7632875129158729</v>
      </c>
      <c r="R41" s="1">
        <f t="shared" si="3"/>
        <v>2.8103082974994154E-3</v>
      </c>
      <c r="V41" s="1">
        <f t="shared" si="4"/>
        <v>61</v>
      </c>
      <c r="W41" s="1">
        <f t="shared" si="10"/>
        <v>39.5</v>
      </c>
      <c r="X41" s="1">
        <f t="shared" si="5"/>
        <v>2.0898058950734014E-3</v>
      </c>
      <c r="Y41" s="1">
        <f t="shared" si="6"/>
        <v>466</v>
      </c>
      <c r="Z41" s="151"/>
      <c r="AA41" s="1">
        <f t="shared" si="7"/>
        <v>16043.132571273905</v>
      </c>
      <c r="AC41" s="1">
        <f t="shared" si="8"/>
        <v>0</v>
      </c>
      <c r="AE41" s="138"/>
      <c r="AF41" s="3">
        <f t="shared" si="11"/>
        <v>927778.80200000014</v>
      </c>
      <c r="AG41" s="1">
        <f t="shared" si="9"/>
        <v>2.6507965771428577</v>
      </c>
    </row>
    <row r="42" spans="1:33" x14ac:dyDescent="0.3">
      <c r="A42" s="2">
        <v>45809</v>
      </c>
      <c r="B42" s="3">
        <v>1128.7676452666667</v>
      </c>
      <c r="C42" s="3">
        <v>537.61806666666666</v>
      </c>
      <c r="D42" s="3">
        <v>591.14957859999993</v>
      </c>
      <c r="E42" s="3">
        <v>3057.0333333333333</v>
      </c>
      <c r="F42" s="3">
        <v>0</v>
      </c>
      <c r="G42" s="3">
        <v>16128.541999999999</v>
      </c>
      <c r="H42" s="10">
        <v>2.1580004959999999E-3</v>
      </c>
      <c r="I42" s="3">
        <v>91711</v>
      </c>
      <c r="J42" s="3">
        <v>17734.487357999998</v>
      </c>
      <c r="K42" s="3">
        <v>52.371236992742055</v>
      </c>
      <c r="L42" s="3">
        <v>35.765405688871319</v>
      </c>
      <c r="N42" s="1">
        <f t="shared" si="0"/>
        <v>1216</v>
      </c>
      <c r="O42" s="1">
        <f t="shared" si="1"/>
        <v>1.0995716387755321</v>
      </c>
      <c r="P42" s="1" t="str">
        <f t="shared" si="2"/>
        <v xml:space="preserve"> </v>
      </c>
      <c r="R42" s="1">
        <f t="shared" si="3"/>
        <v>1.7195147986358793E-3</v>
      </c>
      <c r="V42" s="1">
        <f t="shared" si="4"/>
        <v>30</v>
      </c>
      <c r="W42" s="1">
        <f t="shared" si="10"/>
        <v>40.533333333333331</v>
      </c>
      <c r="X42" s="1">
        <f t="shared" si="5"/>
        <v>4.7654253556471161E-3</v>
      </c>
      <c r="Y42" s="1">
        <f t="shared" si="6"/>
        <v>466</v>
      </c>
      <c r="Z42" s="151"/>
      <c r="AA42" s="1">
        <f t="shared" si="7"/>
        <v>15650.155934952772</v>
      </c>
      <c r="AC42" s="1">
        <f t="shared" si="8"/>
        <v>0</v>
      </c>
      <c r="AE42" s="138"/>
      <c r="AF42" s="3">
        <f t="shared" si="11"/>
        <v>943907.34400000016</v>
      </c>
      <c r="AG42" s="1">
        <f t="shared" si="9"/>
        <v>2.6968781257142864</v>
      </c>
    </row>
    <row r="43" spans="1:33" x14ac:dyDescent="0.3">
      <c r="A43" s="2">
        <v>45839</v>
      </c>
      <c r="B43" s="3">
        <v>1085.9340033870967</v>
      </c>
      <c r="C43" s="3">
        <v>504.81390322580643</v>
      </c>
      <c r="D43" s="3">
        <v>581.12010016129034</v>
      </c>
      <c r="E43" s="3">
        <v>3391.4193548387098</v>
      </c>
      <c r="F43" s="3">
        <v>0</v>
      </c>
      <c r="G43" s="3">
        <v>15649.231</v>
      </c>
      <c r="H43" s="10">
        <v>2.0938686349999997E-3</v>
      </c>
      <c r="I43" s="1">
        <v>105134</v>
      </c>
      <c r="J43" s="3">
        <v>18014.723105000001</v>
      </c>
      <c r="K43" s="3">
        <v>53.51339016447961</v>
      </c>
      <c r="L43" s="3">
        <v>42.255867601417606</v>
      </c>
      <c r="N43" s="1">
        <f t="shared" si="0"/>
        <v>1246</v>
      </c>
      <c r="O43" s="1">
        <f t="shared" si="1"/>
        <v>1.1511570827346085</v>
      </c>
      <c r="P43" s="1" t="str">
        <f t="shared" si="2"/>
        <v xml:space="preserve"> </v>
      </c>
      <c r="R43" s="1">
        <f t="shared" si="3"/>
        <v>9.2388208887207745E-4</v>
      </c>
      <c r="V43" s="1">
        <f t="shared" si="4"/>
        <v>0</v>
      </c>
      <c r="W43" s="1">
        <f t="shared" si="10"/>
        <v>41.533333333333331</v>
      </c>
      <c r="X43" s="1" t="e">
        <f t="shared" si="5"/>
        <v>#DIV/0!</v>
      </c>
      <c r="Y43" s="1">
        <f t="shared" si="6"/>
        <v>466</v>
      </c>
      <c r="Z43" s="151"/>
      <c r="AA43" s="1">
        <f t="shared" si="7"/>
        <v>15279.023594777322</v>
      </c>
      <c r="AC43" s="1">
        <f t="shared" si="8"/>
        <v>0</v>
      </c>
      <c r="AE43" s="138"/>
      <c r="AF43" s="3">
        <f t="shared" si="11"/>
        <v>959556.57500000019</v>
      </c>
      <c r="AG43" s="1">
        <f t="shared" si="9"/>
        <v>2.7415902142857149</v>
      </c>
    </row>
    <row r="44" spans="1:33" x14ac:dyDescent="0.3">
      <c r="A44" s="2">
        <v>45870</v>
      </c>
      <c r="W44" s="1">
        <v>42</v>
      </c>
      <c r="X44" s="1" t="e">
        <f t="shared" si="5"/>
        <v>#NUM!</v>
      </c>
      <c r="Y44" s="1">
        <f t="shared" si="6"/>
        <v>466</v>
      </c>
      <c r="Z44" s="152"/>
      <c r="AA44" s="1">
        <f t="shared" si="7"/>
        <v>15108.85326321604</v>
      </c>
      <c r="AB44" s="1">
        <f t="shared" ref="AB44:AB67" si="12">AB43+AA44</f>
        <v>15108.85326321604</v>
      </c>
      <c r="AC44" s="1">
        <f t="shared" si="8"/>
        <v>4.3168152180617259E-2</v>
      </c>
      <c r="AE44" s="139"/>
      <c r="AF44" s="3"/>
      <c r="AG44" s="1">
        <f t="shared" si="9"/>
        <v>0</v>
      </c>
    </row>
    <row r="45" spans="1:33" x14ac:dyDescent="0.3">
      <c r="W45" s="1">
        <f>W44+1</f>
        <v>43</v>
      </c>
      <c r="AA45" s="1">
        <f t="shared" si="7"/>
        <v>14750.557531706976</v>
      </c>
      <c r="AB45" s="1">
        <f t="shared" si="12"/>
        <v>29859.410794923017</v>
      </c>
      <c r="AC45" s="1">
        <f t="shared" si="8"/>
        <v>8.5312602271208626E-2</v>
      </c>
    </row>
    <row r="46" spans="1:33" x14ac:dyDescent="0.3">
      <c r="W46" s="1">
        <f t="shared" ref="W46:W109" si="13">W45+1</f>
        <v>44</v>
      </c>
      <c r="AA46" s="1">
        <f t="shared" si="7"/>
        <v>14400.758529167419</v>
      </c>
      <c r="AB46" s="1">
        <f t="shared" si="12"/>
        <v>44260.169324090435</v>
      </c>
      <c r="AC46" s="1">
        <f t="shared" si="8"/>
        <v>0.12645762664025839</v>
      </c>
    </row>
    <row r="47" spans="1:33" x14ac:dyDescent="0.3">
      <c r="W47" s="1">
        <f t="shared" si="13"/>
        <v>45</v>
      </c>
      <c r="AA47" s="1">
        <f t="shared" si="7"/>
        <v>14059.254761700478</v>
      </c>
      <c r="AB47" s="1">
        <f t="shared" si="12"/>
        <v>58319.424085790917</v>
      </c>
      <c r="AC47" s="1">
        <f t="shared" si="8"/>
        <v>0.16662692595940262</v>
      </c>
    </row>
    <row r="48" spans="1:33" x14ac:dyDescent="0.3">
      <c r="W48" s="1">
        <f t="shared" si="13"/>
        <v>46</v>
      </c>
      <c r="AA48" s="1">
        <f t="shared" si="7"/>
        <v>13725.84951369402</v>
      </c>
      <c r="AB48" s="1">
        <f t="shared" si="12"/>
        <v>72045.273599484935</v>
      </c>
      <c r="AC48" s="1">
        <f t="shared" si="8"/>
        <v>0.20584363885567125</v>
      </c>
    </row>
    <row r="49" spans="23:29" x14ac:dyDescent="0.3">
      <c r="W49" s="1">
        <f t="shared" si="13"/>
        <v>47</v>
      </c>
      <c r="AA49" s="1">
        <f t="shared" si="7"/>
        <v>13400.350734507019</v>
      </c>
      <c r="AB49" s="1">
        <f t="shared" si="12"/>
        <v>85445.62433399196</v>
      </c>
      <c r="AC49" s="1">
        <f t="shared" si="8"/>
        <v>0.24413035523997706</v>
      </c>
    </row>
    <row r="50" spans="23:29" x14ac:dyDescent="0.3">
      <c r="W50" s="1">
        <f t="shared" si="13"/>
        <v>48</v>
      </c>
      <c r="AA50" s="1">
        <f t="shared" si="7"/>
        <v>13082.570927843106</v>
      </c>
      <c r="AB50" s="1">
        <f t="shared" si="12"/>
        <v>98528.195261835062</v>
      </c>
      <c r="AC50" s="1">
        <f t="shared" si="8"/>
        <v>0.28150912931952876</v>
      </c>
    </row>
    <row r="51" spans="23:29" x14ac:dyDescent="0.3">
      <c r="W51" s="1">
        <f t="shared" si="13"/>
        <v>49</v>
      </c>
      <c r="AA51" s="1">
        <f t="shared" si="7"/>
        <v>12772.3270437475</v>
      </c>
      <c r="AB51" s="1">
        <f t="shared" si="12"/>
        <v>111300.52230558256</v>
      </c>
      <c r="AC51" s="1">
        <f t="shared" si="8"/>
        <v>0.31800149230166447</v>
      </c>
    </row>
    <row r="52" spans="23:29" x14ac:dyDescent="0.3">
      <c r="W52" s="1">
        <f t="shared" si="13"/>
        <v>50</v>
      </c>
      <c r="AA52" s="1">
        <f t="shared" si="7"/>
        <v>12469.440373165169</v>
      </c>
      <c r="AB52" s="1">
        <f t="shared" si="12"/>
        <v>123769.96267874773</v>
      </c>
      <c r="AC52" s="1">
        <f t="shared" si="8"/>
        <v>0.35362846479642213</v>
      </c>
    </row>
    <row r="53" spans="23:29" x14ac:dyDescent="0.3">
      <c r="W53" s="1">
        <f t="shared" si="13"/>
        <v>51</v>
      </c>
      <c r="AA53" s="1">
        <f t="shared" si="7"/>
        <v>12173.736444999484</v>
      </c>
      <c r="AB53" s="1">
        <f t="shared" si="12"/>
        <v>135943.69912374721</v>
      </c>
      <c r="AC53" s="1">
        <f t="shared" si="8"/>
        <v>0.38841056892499204</v>
      </c>
    </row>
    <row r="54" spans="23:29" x14ac:dyDescent="0.3">
      <c r="W54" s="1">
        <f t="shared" si="13"/>
        <v>52</v>
      </c>
      <c r="AA54" s="1">
        <f t="shared" si="7"/>
        <v>11885.044925612048</v>
      </c>
      <c r="AB54" s="1">
        <f t="shared" si="12"/>
        <v>147828.74404935926</v>
      </c>
      <c r="AC54" s="1">
        <f t="shared" si="8"/>
        <v>0.42236784014102646</v>
      </c>
    </row>
    <row r="55" spans="23:29" x14ac:dyDescent="0.3">
      <c r="W55" s="1">
        <f t="shared" si="13"/>
        <v>53</v>
      </c>
      <c r="AA55" s="1">
        <f t="shared" si="7"/>
        <v>11603.199520705799</v>
      </c>
      <c r="AB55" s="1">
        <f t="shared" si="12"/>
        <v>159431.94357006505</v>
      </c>
      <c r="AC55" s="1">
        <f t="shared" si="8"/>
        <v>0.45551983877161445</v>
      </c>
    </row>
    <row r="56" spans="23:29" x14ac:dyDescent="0.3">
      <c r="W56" s="1">
        <f t="shared" si="13"/>
        <v>54</v>
      </c>
      <c r="AA56" s="1">
        <f t="shared" si="7"/>
        <v>11328.037879534893</v>
      </c>
      <c r="AB56" s="1">
        <f t="shared" si="12"/>
        <v>170759.98144959993</v>
      </c>
      <c r="AC56" s="1">
        <f t="shared" si="8"/>
        <v>0.48788566128457123</v>
      </c>
    </row>
    <row r="57" spans="23:29" x14ac:dyDescent="0.3">
      <c r="W57" s="1">
        <f t="shared" si="13"/>
        <v>55</v>
      </c>
      <c r="AA57" s="1">
        <f t="shared" si="7"/>
        <v>11059.401501386204</v>
      </c>
      <c r="AB57" s="1">
        <f t="shared" si="12"/>
        <v>181819.38295098612</v>
      </c>
      <c r="AC57" s="1">
        <f t="shared" si="8"/>
        <v>0.51948395128853186</v>
      </c>
    </row>
    <row r="58" spans="23:29" x14ac:dyDescent="0.3">
      <c r="W58" s="1">
        <f t="shared" si="13"/>
        <v>56</v>
      </c>
      <c r="AA58" s="1">
        <f t="shared" si="7"/>
        <v>10797.135644278518</v>
      </c>
      <c r="AB58" s="1">
        <f t="shared" si="12"/>
        <v>192616.51859526464</v>
      </c>
      <c r="AC58" s="1">
        <f t="shared" si="8"/>
        <v>0.55033291027218467</v>
      </c>
    </row>
    <row r="59" spans="23:29" x14ac:dyDescent="0.3">
      <c r="W59" s="1">
        <f t="shared" si="13"/>
        <v>57</v>
      </c>
      <c r="AA59" s="1">
        <f t="shared" si="7"/>
        <v>10541.089235826874</v>
      </c>
      <c r="AB59" s="1">
        <f t="shared" si="12"/>
        <v>203157.6078310915</v>
      </c>
      <c r="AC59" s="1">
        <f t="shared" si="8"/>
        <v>0.58045030808883291</v>
      </c>
    </row>
    <row r="60" spans="23:29" x14ac:dyDescent="0.3">
      <c r="W60" s="1">
        <f t="shared" si="13"/>
        <v>58</v>
      </c>
      <c r="AA60" s="1">
        <f t="shared" si="7"/>
        <v>10291.114786220698</v>
      </c>
      <c r="AB60" s="1">
        <f t="shared" si="12"/>
        <v>213448.72261731219</v>
      </c>
      <c r="AC60" s="1">
        <f t="shared" si="8"/>
        <v>0.60985349319232052</v>
      </c>
    </row>
    <row r="61" spans="23:29" x14ac:dyDescent="0.3">
      <c r="W61" s="1">
        <f t="shared" si="13"/>
        <v>59</v>
      </c>
      <c r="AA61" s="1">
        <f t="shared" si="7"/>
        <v>10047.068303265591</v>
      </c>
      <c r="AB61" s="1">
        <f t="shared" si="12"/>
        <v>223495.79092057777</v>
      </c>
      <c r="AC61" s="1">
        <f t="shared" si="8"/>
        <v>0.63855940263022215</v>
      </c>
    </row>
    <row r="62" spans="23:29" x14ac:dyDescent="0.3">
      <c r="W62" s="1">
        <f t="shared" si="13"/>
        <v>60</v>
      </c>
      <c r="AA62" s="1">
        <f t="shared" si="7"/>
        <v>9808.8092094398417</v>
      </c>
      <c r="AB62" s="1">
        <f t="shared" si="12"/>
        <v>233304.60013001761</v>
      </c>
      <c r="AC62" s="1">
        <f t="shared" si="8"/>
        <v>0.66658457180005037</v>
      </c>
    </row>
    <row r="63" spans="23:29" x14ac:dyDescent="0.3">
      <c r="W63" s="1">
        <f t="shared" si="13"/>
        <v>61</v>
      </c>
      <c r="AA63" s="1">
        <f t="shared" si="7"/>
        <v>9576.2002609178926</v>
      </c>
      <c r="AB63" s="1">
        <f t="shared" si="12"/>
        <v>242880.8003909355</v>
      </c>
      <c r="AC63" s="1">
        <f t="shared" si="8"/>
        <v>0.69394514397410145</v>
      </c>
    </row>
    <row r="64" spans="23:29" x14ac:dyDescent="0.3">
      <c r="W64" s="1">
        <f t="shared" si="13"/>
        <v>62</v>
      </c>
      <c r="AA64" s="1">
        <f t="shared" si="7"/>
        <v>9349.1074685141011</v>
      </c>
      <c r="AB64" s="1">
        <f t="shared" si="12"/>
        <v>252229.90785944959</v>
      </c>
      <c r="AC64" s="1">
        <f t="shared" si="8"/>
        <v>0.7206568795984275</v>
      </c>
    </row>
    <row r="65" spans="23:29" x14ac:dyDescent="0.3">
      <c r="W65" s="1">
        <f t="shared" si="13"/>
        <v>63</v>
      </c>
      <c r="AA65" s="1">
        <f t="shared" si="7"/>
        <v>9127.4000205012599</v>
      </c>
      <c r="AB65" s="1">
        <f t="shared" si="12"/>
        <v>261357.30787995085</v>
      </c>
      <c r="AC65" s="1">
        <f t="shared" si="8"/>
        <v>0.74673516537128815</v>
      </c>
    </row>
    <row r="66" spans="23:29" x14ac:dyDescent="0.3">
      <c r="W66" s="1">
        <f t="shared" si="13"/>
        <v>64</v>
      </c>
      <c r="AA66" s="1">
        <f t="shared" si="7"/>
        <v>8910.9502072594278</v>
      </c>
      <c r="AB66" s="1">
        <f t="shared" si="12"/>
        <v>270268.2580872103</v>
      </c>
      <c r="AC66" s="1">
        <f t="shared" si="8"/>
        <v>0.77219502310631505</v>
      </c>
    </row>
    <row r="67" spans="23:29" x14ac:dyDescent="0.3">
      <c r="W67" s="1">
        <f t="shared" si="13"/>
        <v>65</v>
      </c>
      <c r="AA67" s="1">
        <f t="shared" ref="AA67:AA130" si="14" xml:space="preserve"> 41400*EXP(-0.024*W67)</f>
        <v>8699.6333477116586</v>
      </c>
      <c r="AB67" s="1">
        <f t="shared" si="12"/>
        <v>278967.89143492194</v>
      </c>
      <c r="AC67" s="1">
        <f t="shared" ref="AC67:AC130" si="15">(AB67*100)/(35*10^6)</f>
        <v>0.79705111838549125</v>
      </c>
    </row>
    <row r="68" spans="23:29" x14ac:dyDescent="0.3">
      <c r="W68" s="1">
        <f t="shared" si="13"/>
        <v>66</v>
      </c>
      <c r="AA68" s="1">
        <f t="shared" si="14"/>
        <v>8493.3277175042549</v>
      </c>
      <c r="AB68" s="1">
        <f t="shared" ref="AB68:AB131" si="16">AB67+AA68</f>
        <v>287461.21915242617</v>
      </c>
      <c r="AC68" s="1">
        <f t="shared" si="15"/>
        <v>0.82131776900693187</v>
      </c>
    </row>
    <row r="69" spans="23:29" x14ac:dyDescent="0.3">
      <c r="W69" s="1">
        <f t="shared" si="13"/>
        <v>67</v>
      </c>
      <c r="AA69" s="1">
        <f t="shared" si="14"/>
        <v>8291.9144788901649</v>
      </c>
      <c r="AB69" s="1">
        <f t="shared" si="16"/>
        <v>295753.13363131636</v>
      </c>
      <c r="AC69" s="1">
        <f t="shared" si="15"/>
        <v>0.84500895323233238</v>
      </c>
    </row>
    <row r="70" spans="23:29" x14ac:dyDescent="0.3">
      <c r="W70" s="1">
        <f t="shared" si="13"/>
        <v>68</v>
      </c>
      <c r="AA70" s="1">
        <f t="shared" si="14"/>
        <v>8095.2776122751693</v>
      </c>
      <c r="AB70" s="1">
        <f t="shared" si="16"/>
        <v>303848.41124359152</v>
      </c>
      <c r="AC70" s="1">
        <f t="shared" si="15"/>
        <v>0.868138317838833</v>
      </c>
    </row>
    <row r="71" spans="23:29" x14ac:dyDescent="0.3">
      <c r="W71" s="1">
        <f t="shared" si="13"/>
        <v>69</v>
      </c>
      <c r="AA71" s="1">
        <f t="shared" si="14"/>
        <v>7903.3038493873764</v>
      </c>
      <c r="AB71" s="1">
        <f t="shared" si="16"/>
        <v>311751.71509297891</v>
      </c>
      <c r="AC71" s="1">
        <f t="shared" si="15"/>
        <v>0.89071918597993982</v>
      </c>
    </row>
    <row r="72" spans="23:29" x14ac:dyDescent="0.3">
      <c r="W72" s="1">
        <f t="shared" si="13"/>
        <v>70</v>
      </c>
      <c r="AA72" s="1">
        <f t="shared" si="14"/>
        <v>7715.882608031573</v>
      </c>
      <c r="AB72" s="1">
        <f t="shared" si="16"/>
        <v>319467.59770101047</v>
      </c>
      <c r="AC72" s="1">
        <f t="shared" si="15"/>
        <v>0.91276456486002999</v>
      </c>
    </row>
    <row r="73" spans="23:29" x14ac:dyDescent="0.3">
      <c r="W73" s="1">
        <f t="shared" si="13"/>
        <v>71</v>
      </c>
      <c r="AA73" s="1">
        <f t="shared" si="14"/>
        <v>7532.9059283908127</v>
      </c>
      <c r="AB73" s="1">
        <f t="shared" si="16"/>
        <v>327000.50362940127</v>
      </c>
      <c r="AC73" s="1">
        <f t="shared" si="15"/>
        <v>0.93428715322686073</v>
      </c>
    </row>
    <row r="74" spans="23:29" x14ac:dyDescent="0.3">
      <c r="W74" s="1">
        <f t="shared" si="13"/>
        <v>72</v>
      </c>
      <c r="AA74" s="1">
        <f t="shared" si="14"/>
        <v>7354.2684108385874</v>
      </c>
      <c r="AB74" s="1">
        <f t="shared" si="16"/>
        <v>334354.77204023988</v>
      </c>
      <c r="AC74" s="1">
        <f t="shared" si="15"/>
        <v>0.95529934868639965</v>
      </c>
    </row>
    <row r="75" spans="23:29" x14ac:dyDescent="0.3">
      <c r="W75" s="1">
        <f t="shared" si="13"/>
        <v>73</v>
      </c>
      <c r="AA75" s="1">
        <f t="shared" si="14"/>
        <v>7179.8671552257219</v>
      </c>
      <c r="AB75" s="1">
        <f t="shared" si="16"/>
        <v>341534.6391954656</v>
      </c>
      <c r="AC75" s="1">
        <f t="shared" si="15"/>
        <v>0.97581325484418746</v>
      </c>
    </row>
    <row r="76" spans="23:29" x14ac:dyDescent="0.3">
      <c r="W76" s="1">
        <f t="shared" si="13"/>
        <v>74</v>
      </c>
      <c r="AA76" s="1">
        <f t="shared" si="14"/>
        <v>7009.6017016070446</v>
      </c>
      <c r="AB76" s="1">
        <f t="shared" si="16"/>
        <v>348544.24089707265</v>
      </c>
      <c r="AC76" s="1">
        <f t="shared" si="15"/>
        <v>0.99584068827735039</v>
      </c>
    </row>
    <row r="77" spans="23:29" x14ac:dyDescent="0.3">
      <c r="W77" s="1">
        <f t="shared" si="13"/>
        <v>75</v>
      </c>
      <c r="AA77" s="1">
        <f t="shared" si="14"/>
        <v>6843.3739723736826</v>
      </c>
      <c r="AB77" s="1">
        <f t="shared" si="16"/>
        <v>355387.61486944632</v>
      </c>
      <c r="AC77" s="1">
        <f t="shared" si="15"/>
        <v>1.0153931853412752</v>
      </c>
    </row>
    <row r="78" spans="23:29" x14ac:dyDescent="0.3">
      <c r="W78" s="1">
        <f t="shared" si="13"/>
        <v>76</v>
      </c>
      <c r="AA78" s="1">
        <f t="shared" si="14"/>
        <v>6681.0882157576443</v>
      </c>
      <c r="AB78" s="1">
        <f t="shared" si="16"/>
        <v>362068.70308520395</v>
      </c>
      <c r="AC78" s="1">
        <f t="shared" si="15"/>
        <v>1.0344820088148683</v>
      </c>
    </row>
    <row r="79" spans="23:29" x14ac:dyDescent="0.3">
      <c r="W79" s="1">
        <f t="shared" si="13"/>
        <v>77</v>
      </c>
      <c r="AA79" s="1">
        <f t="shared" si="14"/>
        <v>6522.6509506761549</v>
      </c>
      <c r="AB79" s="1">
        <f t="shared" si="16"/>
        <v>368591.35403588013</v>
      </c>
      <c r="AC79" s="1">
        <f t="shared" si="15"/>
        <v>1.0531181543882289</v>
      </c>
    </row>
    <row r="80" spans="23:29" x14ac:dyDescent="0.3">
      <c r="W80" s="1">
        <f t="shared" si="13"/>
        <v>78</v>
      </c>
      <c r="AA80" s="1">
        <f t="shared" si="14"/>
        <v>6367.9709128839713</v>
      </c>
      <c r="AB80" s="1">
        <f t="shared" si="16"/>
        <v>374959.32494876412</v>
      </c>
      <c r="AC80" s="1">
        <f t="shared" si="15"/>
        <v>1.0713123569964691</v>
      </c>
    </row>
    <row r="81" spans="23:29" x14ac:dyDescent="0.3">
      <c r="W81" s="1">
        <f t="shared" si="13"/>
        <v>79</v>
      </c>
      <c r="AA81" s="1">
        <f t="shared" si="14"/>
        <v>6216.9590024026502</v>
      </c>
      <c r="AB81" s="1">
        <f t="shared" si="16"/>
        <v>381176.28395116678</v>
      </c>
      <c r="AC81" s="1">
        <f t="shared" si="15"/>
        <v>1.0890750970033336</v>
      </c>
    </row>
    <row r="82" spans="23:29" x14ac:dyDescent="0.3">
      <c r="W82" s="1">
        <f t="shared" si="13"/>
        <v>80</v>
      </c>
      <c r="AA82" s="1">
        <f t="shared" si="14"/>
        <v>6069.528232196496</v>
      </c>
      <c r="AB82" s="1">
        <f t="shared" si="16"/>
        <v>387245.8121833633</v>
      </c>
      <c r="AC82" s="1">
        <f t="shared" si="15"/>
        <v>1.1064166062381808</v>
      </c>
    </row>
    <row r="83" spans="23:29" x14ac:dyDescent="0.3">
      <c r="W83" s="1">
        <f t="shared" si="13"/>
        <v>81</v>
      </c>
      <c r="AA83" s="1">
        <f t="shared" si="14"/>
        <v>5925.5936780656248</v>
      </c>
      <c r="AB83" s="1">
        <f t="shared" si="16"/>
        <v>393171.40586142894</v>
      </c>
      <c r="AC83" s="1">
        <f t="shared" si="15"/>
        <v>1.1233468738897971</v>
      </c>
    </row>
    <row r="84" spans="23:29" x14ac:dyDescent="0.3">
      <c r="W84" s="1">
        <f t="shared" si="13"/>
        <v>82</v>
      </c>
      <c r="AA84" s="1">
        <f t="shared" si="14"/>
        <v>5785.0724297272782</v>
      </c>
      <c r="AB84" s="1">
        <f t="shared" si="16"/>
        <v>398956.47829115624</v>
      </c>
      <c r="AC84" s="1">
        <f t="shared" si="15"/>
        <v>1.1398756522604463</v>
      </c>
    </row>
    <row r="85" spans="23:29" x14ac:dyDescent="0.3">
      <c r="W85" s="1">
        <f t="shared" si="13"/>
        <v>83</v>
      </c>
      <c r="AA85" s="1">
        <f t="shared" si="14"/>
        <v>5647.8835430572099</v>
      </c>
      <c r="AB85" s="1">
        <f t="shared" si="16"/>
        <v>404604.36183421343</v>
      </c>
      <c r="AC85" s="1">
        <f t="shared" si="15"/>
        <v>1.1560124623834669</v>
      </c>
    </row>
    <row r="86" spans="23:29" x14ac:dyDescent="0.3">
      <c r="W86" s="1">
        <f t="shared" si="13"/>
        <v>84</v>
      </c>
      <c r="AA86" s="1">
        <f t="shared" si="14"/>
        <v>5513.9479934636229</v>
      </c>
      <c r="AB86" s="1">
        <f t="shared" si="16"/>
        <v>410118.30982767703</v>
      </c>
      <c r="AC86" s="1">
        <f t="shared" si="15"/>
        <v>1.1717665995076485</v>
      </c>
    </row>
    <row r="87" spans="23:29" x14ac:dyDescent="0.3">
      <c r="W87" s="1">
        <f t="shared" si="13"/>
        <v>85</v>
      </c>
      <c r="AA87" s="1">
        <f t="shared" si="14"/>
        <v>5383.1886303668325</v>
      </c>
      <c r="AB87" s="1">
        <f t="shared" si="16"/>
        <v>415501.49845804385</v>
      </c>
      <c r="AC87" s="1">
        <f t="shared" si="15"/>
        <v>1.187147138451554</v>
      </c>
    </row>
    <row r="88" spans="23:29" x14ac:dyDescent="0.3">
      <c r="W88" s="1">
        <f t="shared" si="13"/>
        <v>86</v>
      </c>
      <c r="AA88" s="1">
        <f t="shared" si="14"/>
        <v>5255.5301327583911</v>
      </c>
      <c r="AB88" s="1">
        <f t="shared" si="16"/>
        <v>420757.02859080222</v>
      </c>
      <c r="AC88" s="1">
        <f t="shared" si="15"/>
        <v>1.2021629388308637</v>
      </c>
    </row>
    <row r="89" spans="23:29" x14ac:dyDescent="0.3">
      <c r="W89" s="1">
        <f t="shared" si="13"/>
        <v>87</v>
      </c>
      <c r="AA89" s="1">
        <f t="shared" si="14"/>
        <v>5130.8989658141054</v>
      </c>
      <c r="AB89" s="1">
        <f t="shared" si="16"/>
        <v>425887.92755661631</v>
      </c>
      <c r="AC89" s="1">
        <f t="shared" si="15"/>
        <v>1.2168226501617609</v>
      </c>
    </row>
    <row r="90" spans="23:29" x14ac:dyDescent="0.3">
      <c r="W90" s="1">
        <f t="shared" si="13"/>
        <v>88</v>
      </c>
      <c r="AA90" s="1">
        <f t="shared" si="14"/>
        <v>5009.2233385359459</v>
      </c>
      <c r="AB90" s="1">
        <f t="shared" si="16"/>
        <v>430897.15089515224</v>
      </c>
      <c r="AC90" s="1">
        <f t="shared" si="15"/>
        <v>1.231134716843292</v>
      </c>
    </row>
    <row r="91" spans="23:29" x14ac:dyDescent="0.3">
      <c r="W91" s="1">
        <f t="shared" si="13"/>
        <v>89</v>
      </c>
      <c r="AA91" s="1">
        <f t="shared" si="14"/>
        <v>4890.4331623984499</v>
      </c>
      <c r="AB91" s="1">
        <f t="shared" si="16"/>
        <v>435787.5840575507</v>
      </c>
      <c r="AC91" s="1">
        <f t="shared" si="15"/>
        <v>1.2451073830215735</v>
      </c>
    </row>
    <row r="92" spans="23:29" x14ac:dyDescent="0.3">
      <c r="W92" s="1">
        <f t="shared" si="13"/>
        <v>90</v>
      </c>
      <c r="AA92" s="1">
        <f t="shared" si="14"/>
        <v>4774.4600109757885</v>
      </c>
      <c r="AB92" s="1">
        <f t="shared" si="16"/>
        <v>440562.04406852648</v>
      </c>
      <c r="AC92" s="1">
        <f t="shared" si="15"/>
        <v>1.258748697338647</v>
      </c>
    </row>
    <row r="93" spans="23:29" x14ac:dyDescent="0.3">
      <c r="W93" s="1">
        <f t="shared" si="13"/>
        <v>91</v>
      </c>
      <c r="AA93" s="1">
        <f t="shared" si="14"/>
        <v>4661.2370805262526</v>
      </c>
      <c r="AB93" s="1">
        <f t="shared" si="16"/>
        <v>445223.28114905272</v>
      </c>
      <c r="AC93" s="1">
        <f t="shared" si="15"/>
        <v>1.2720665175687222</v>
      </c>
    </row>
    <row r="94" spans="23:29" x14ac:dyDescent="0.3">
      <c r="W94" s="1">
        <f t="shared" si="13"/>
        <v>92</v>
      </c>
      <c r="AA94" s="1">
        <f t="shared" si="14"/>
        <v>4550.6991515114569</v>
      </c>
      <c r="AB94" s="1">
        <f t="shared" si="16"/>
        <v>449773.9803005642</v>
      </c>
      <c r="AC94" s="1">
        <f t="shared" si="15"/>
        <v>1.285068515144469</v>
      </c>
    </row>
    <row r="95" spans="23:29" x14ac:dyDescent="0.3">
      <c r="W95" s="1">
        <f t="shared" si="13"/>
        <v>93</v>
      </c>
      <c r="AA95" s="1">
        <f t="shared" si="14"/>
        <v>4442.7825510280791</v>
      </c>
      <c r="AB95" s="1">
        <f t="shared" si="16"/>
        <v>454216.76285159227</v>
      </c>
      <c r="AC95" s="1">
        <f t="shared" si="15"/>
        <v>1.2977621795759779</v>
      </c>
    </row>
    <row r="96" spans="23:29" x14ac:dyDescent="0.3">
      <c r="W96" s="1">
        <f t="shared" si="13"/>
        <v>94</v>
      </c>
      <c r="AA96" s="1">
        <f t="shared" si="14"/>
        <v>4337.4251161305028</v>
      </c>
      <c r="AB96" s="1">
        <f t="shared" si="16"/>
        <v>458554.18796772277</v>
      </c>
      <c r="AC96" s="1">
        <f t="shared" si="15"/>
        <v>1.3101548227649222</v>
      </c>
    </row>
    <row r="97" spans="23:29" x14ac:dyDescent="0.3">
      <c r="W97" s="1">
        <f t="shared" si="13"/>
        <v>95</v>
      </c>
      <c r="AA97" s="1">
        <f t="shared" si="14"/>
        <v>4234.56615802325</v>
      </c>
      <c r="AB97" s="1">
        <f t="shared" si="16"/>
        <v>462788.75412574603</v>
      </c>
      <c r="AC97" s="1">
        <f t="shared" si="15"/>
        <v>1.3222535832164173</v>
      </c>
    </row>
    <row r="98" spans="23:29" x14ac:dyDescent="0.3">
      <c r="W98" s="1">
        <f t="shared" si="13"/>
        <v>96</v>
      </c>
      <c r="AA98" s="1">
        <f t="shared" si="14"/>
        <v>4134.1464271025516</v>
      </c>
      <c r="AB98" s="1">
        <f t="shared" si="16"/>
        <v>466922.90055284859</v>
      </c>
      <c r="AC98" s="1">
        <f t="shared" si="15"/>
        <v>1.334065430150996</v>
      </c>
    </row>
    <row r="99" spans="23:29" x14ac:dyDescent="0.3">
      <c r="W99" s="1">
        <f t="shared" si="13"/>
        <v>97</v>
      </c>
      <c r="AA99" s="1">
        <f t="shared" si="14"/>
        <v>4036.1080788269414</v>
      </c>
      <c r="AB99" s="1">
        <f t="shared" si="16"/>
        <v>470959.0086316755</v>
      </c>
      <c r="AC99" s="1">
        <f t="shared" si="15"/>
        <v>1.345597167519073</v>
      </c>
    </row>
    <row r="100" spans="23:29" x14ac:dyDescent="0.3">
      <c r="W100" s="1">
        <f t="shared" si="13"/>
        <v>98</v>
      </c>
      <c r="AA100" s="1">
        <f t="shared" si="14"/>
        <v>3940.3946403971918</v>
      </c>
      <c r="AB100" s="1">
        <f t="shared" si="16"/>
        <v>474899.40327207267</v>
      </c>
      <c r="AC100" s="1">
        <f t="shared" si="15"/>
        <v>1.3568554379202076</v>
      </c>
    </row>
    <row r="101" spans="23:29" x14ac:dyDescent="0.3">
      <c r="W101" s="1">
        <f t="shared" si="13"/>
        <v>99</v>
      </c>
      <c r="AA101" s="1">
        <f t="shared" si="14"/>
        <v>3846.9509782264345</v>
      </c>
      <c r="AB101" s="1">
        <f t="shared" si="16"/>
        <v>478746.3542502991</v>
      </c>
      <c r="AC101" s="1">
        <f t="shared" si="15"/>
        <v>1.3678467264294261</v>
      </c>
    </row>
    <row r="102" spans="23:29" x14ac:dyDescent="0.3">
      <c r="W102" s="1">
        <f t="shared" si="13"/>
        <v>100</v>
      </c>
      <c r="AA102" s="1">
        <f t="shared" si="14"/>
        <v>3755.7232661816779</v>
      </c>
      <c r="AB102" s="1">
        <f t="shared" si="16"/>
        <v>482502.07751648076</v>
      </c>
      <c r="AC102" s="1">
        <f t="shared" si="15"/>
        <v>1.3785773643328021</v>
      </c>
    </row>
    <row r="103" spans="23:29" x14ac:dyDescent="0.3">
      <c r="W103" s="1">
        <f t="shared" si="13"/>
        <v>101</v>
      </c>
      <c r="AA103" s="1">
        <f t="shared" si="14"/>
        <v>3666.6589545784727</v>
      </c>
      <c r="AB103" s="1">
        <f t="shared" si="16"/>
        <v>486168.73647105921</v>
      </c>
      <c r="AC103" s="1">
        <f t="shared" si="15"/>
        <v>1.3890535327744549</v>
      </c>
    </row>
    <row r="104" spans="23:29" x14ac:dyDescent="0.3">
      <c r="W104" s="1">
        <f t="shared" si="13"/>
        <v>102</v>
      </c>
      <c r="AA104" s="1">
        <f t="shared" si="14"/>
        <v>3579.7067399108378</v>
      </c>
      <c r="AB104" s="1">
        <f t="shared" si="16"/>
        <v>489748.44321097003</v>
      </c>
      <c r="AC104" s="1">
        <f t="shared" si="15"/>
        <v>1.3992812663170573</v>
      </c>
    </row>
    <row r="105" spans="23:29" x14ac:dyDescent="0.3">
      <c r="W105" s="1">
        <f t="shared" si="13"/>
        <v>103</v>
      </c>
      <c r="AA105" s="1">
        <f t="shared" si="14"/>
        <v>3494.8165352990241</v>
      </c>
      <c r="AB105" s="1">
        <f t="shared" si="16"/>
        <v>493243.25974626903</v>
      </c>
      <c r="AC105" s="1">
        <f t="shared" si="15"/>
        <v>1.4092664564179116</v>
      </c>
    </row>
    <row r="106" spans="23:29" x14ac:dyDescent="0.3">
      <c r="W106" s="1">
        <f t="shared" si="13"/>
        <v>104</v>
      </c>
      <c r="AA106" s="1">
        <f t="shared" si="14"/>
        <v>3411.9394416380851</v>
      </c>
      <c r="AB106" s="1">
        <f t="shared" si="16"/>
        <v>496655.1991879071</v>
      </c>
      <c r="AC106" s="1">
        <f t="shared" si="15"/>
        <v>1.4190148548225918</v>
      </c>
    </row>
    <row r="107" spans="23:29" x14ac:dyDescent="0.3">
      <c r="W107" s="1">
        <f t="shared" si="13"/>
        <v>105</v>
      </c>
      <c r="AA107" s="1">
        <f t="shared" si="14"/>
        <v>3331.0277194306432</v>
      </c>
      <c r="AB107" s="1">
        <f t="shared" si="16"/>
        <v>499986.22690733772</v>
      </c>
      <c r="AC107" s="1">
        <f t="shared" si="15"/>
        <v>1.4285320768781078</v>
      </c>
    </row>
    <row r="108" spans="23:29" x14ac:dyDescent="0.3">
      <c r="W108" s="1">
        <f t="shared" si="13"/>
        <v>106</v>
      </c>
      <c r="AA108" s="1">
        <f t="shared" si="14"/>
        <v>3252.0347612876149</v>
      </c>
      <c r="AB108" s="1">
        <f t="shared" si="16"/>
        <v>503238.26166862535</v>
      </c>
      <c r="AC108" s="1">
        <f t="shared" si="15"/>
        <v>1.4378236047675008</v>
      </c>
    </row>
    <row r="109" spans="23:29" x14ac:dyDescent="0.3">
      <c r="W109" s="1">
        <f t="shared" si="13"/>
        <v>107</v>
      </c>
      <c r="AA109" s="1">
        <f t="shared" si="14"/>
        <v>3174.915065081072</v>
      </c>
      <c r="AB109" s="1">
        <f t="shared" si="16"/>
        <v>506413.17673370644</v>
      </c>
      <c r="AC109" s="1">
        <f t="shared" si="15"/>
        <v>1.4468947906677327</v>
      </c>
    </row>
    <row r="110" spans="23:29" x14ac:dyDescent="0.3">
      <c r="W110" s="1">
        <f t="shared" ref="W110:W173" si="17">W109+1</f>
        <v>108</v>
      </c>
      <c r="AA110" s="1">
        <f t="shared" si="14"/>
        <v>3099.6242077337533</v>
      </c>
      <c r="AB110" s="1">
        <f t="shared" si="16"/>
        <v>509512.80094144022</v>
      </c>
      <c r="AC110" s="1">
        <f t="shared" si="15"/>
        <v>1.4557508598326865</v>
      </c>
    </row>
    <row r="111" spans="23:29" x14ac:dyDescent="0.3">
      <c r="W111" s="1">
        <f t="shared" si="17"/>
        <v>109</v>
      </c>
      <c r="AA111" s="1">
        <f t="shared" si="14"/>
        <v>3026.118819630145</v>
      </c>
      <c r="AB111" s="1">
        <f t="shared" si="16"/>
        <v>512538.91976107034</v>
      </c>
      <c r="AC111" s="1">
        <f t="shared" si="15"/>
        <v>1.4643969136030581</v>
      </c>
    </row>
    <row r="112" spans="23:29" x14ac:dyDescent="0.3">
      <c r="W112" s="1">
        <f t="shared" si="17"/>
        <v>110</v>
      </c>
      <c r="AA112" s="1">
        <f t="shared" si="14"/>
        <v>2954.3565596343824</v>
      </c>
      <c r="AB112" s="1">
        <f t="shared" si="16"/>
        <v>515493.27632070472</v>
      </c>
      <c r="AC112" s="1">
        <f t="shared" si="15"/>
        <v>1.4728379323448706</v>
      </c>
    </row>
    <row r="113" spans="23:29" x14ac:dyDescent="0.3">
      <c r="W113" s="1">
        <f t="shared" si="17"/>
        <v>111</v>
      </c>
      <c r="AA113" s="1">
        <f t="shared" si="14"/>
        <v>2884.2960907005881</v>
      </c>
      <c r="AB113" s="1">
        <f t="shared" si="16"/>
        <v>518377.57241140533</v>
      </c>
      <c r="AC113" s="1">
        <f t="shared" si="15"/>
        <v>1.4810787783183008</v>
      </c>
    </row>
    <row r="114" spans="23:29" x14ac:dyDescent="0.3">
      <c r="W114" s="1">
        <f t="shared" si="17"/>
        <v>112</v>
      </c>
      <c r="AA114" s="1">
        <f t="shared" si="14"/>
        <v>2815.8970560615867</v>
      </c>
      <c r="AB114" s="1">
        <f t="shared" si="16"/>
        <v>521193.46946746693</v>
      </c>
      <c r="AC114" s="1">
        <f t="shared" si="15"/>
        <v>1.4891241984784769</v>
      </c>
    </row>
    <row r="115" spans="23:29" x14ac:dyDescent="0.3">
      <c r="W115" s="1">
        <f t="shared" si="17"/>
        <v>113</v>
      </c>
      <c r="AA115" s="1">
        <f t="shared" si="14"/>
        <v>2749.1200559822937</v>
      </c>
      <c r="AB115" s="1">
        <f t="shared" si="16"/>
        <v>523942.58952344925</v>
      </c>
      <c r="AC115" s="1">
        <f t="shared" si="15"/>
        <v>1.496978827209855</v>
      </c>
    </row>
    <row r="116" spans="23:29" x14ac:dyDescent="0.3">
      <c r="W116" s="1">
        <f t="shared" si="17"/>
        <v>114</v>
      </c>
      <c r="AA116" s="1">
        <f t="shared" si="14"/>
        <v>2683.9266250643768</v>
      </c>
      <c r="AB116" s="1">
        <f t="shared" si="16"/>
        <v>526626.51614851365</v>
      </c>
      <c r="AC116" s="1">
        <f t="shared" si="15"/>
        <v>1.5046471889957533</v>
      </c>
    </row>
    <row r="117" spans="23:29" x14ac:dyDescent="0.3">
      <c r="W117" s="1">
        <f t="shared" si="17"/>
        <v>115</v>
      </c>
      <c r="AA117" s="1">
        <f t="shared" si="14"/>
        <v>2620.2792100891252</v>
      </c>
      <c r="AB117" s="1">
        <f t="shared" si="16"/>
        <v>529246.79535860277</v>
      </c>
      <c r="AC117" s="1">
        <f t="shared" si="15"/>
        <v>1.5121337010245794</v>
      </c>
    </row>
    <row r="118" spans="23:29" x14ac:dyDescent="0.3">
      <c r="W118" s="1">
        <f t="shared" si="17"/>
        <v>116</v>
      </c>
      <c r="AA118" s="1">
        <f t="shared" si="14"/>
        <v>2558.1411483857555</v>
      </c>
      <c r="AB118" s="1">
        <f t="shared" si="16"/>
        <v>531804.93650698848</v>
      </c>
      <c r="AC118" s="1">
        <f t="shared" si="15"/>
        <v>1.5194426757342527</v>
      </c>
    </row>
    <row r="119" spans="23:29" x14ac:dyDescent="0.3">
      <c r="W119" s="1">
        <f t="shared" si="17"/>
        <v>117</v>
      </c>
      <c r="AA119" s="1">
        <f t="shared" si="14"/>
        <v>2497.4766467127006</v>
      </c>
      <c r="AB119" s="1">
        <f t="shared" si="16"/>
        <v>534302.41315370123</v>
      </c>
      <c r="AC119" s="1">
        <f t="shared" si="15"/>
        <v>1.5265783232962891</v>
      </c>
    </row>
    <row r="120" spans="23:29" x14ac:dyDescent="0.3">
      <c r="W120" s="1">
        <f t="shared" si="17"/>
        <v>118</v>
      </c>
      <c r="AA120" s="1">
        <f t="shared" si="14"/>
        <v>2438.2507606397135</v>
      </c>
      <c r="AB120" s="1">
        <f t="shared" si="16"/>
        <v>536740.6639143409</v>
      </c>
      <c r="AC120" s="1">
        <f t="shared" si="15"/>
        <v>1.5335447540409739</v>
      </c>
    </row>
    <row r="121" spans="23:29" x14ac:dyDescent="0.3">
      <c r="W121" s="1">
        <f t="shared" si="17"/>
        <v>119</v>
      </c>
      <c r="AA121" s="1">
        <f t="shared" si="14"/>
        <v>2380.4293744189044</v>
      </c>
      <c r="AB121" s="1">
        <f t="shared" si="16"/>
        <v>539121.09328875982</v>
      </c>
      <c r="AC121" s="1">
        <f t="shared" si="15"/>
        <v>1.5403459808250279</v>
      </c>
    </row>
    <row r="122" spans="23:29" x14ac:dyDescent="0.3">
      <c r="W122" s="1">
        <f t="shared" si="17"/>
        <v>120</v>
      </c>
      <c r="AA122" s="1">
        <f t="shared" si="14"/>
        <v>2323.9791813331362</v>
      </c>
      <c r="AB122" s="1">
        <f t="shared" si="16"/>
        <v>541445.07247009291</v>
      </c>
      <c r="AC122" s="1">
        <f t="shared" si="15"/>
        <v>1.5469859213431227</v>
      </c>
    </row>
    <row r="123" spans="23:29" x14ac:dyDescent="0.3">
      <c r="W123" s="1">
        <f t="shared" si="17"/>
        <v>121</v>
      </c>
      <c r="AA123" s="1">
        <f t="shared" si="14"/>
        <v>2268.867664510426</v>
      </c>
      <c r="AB123" s="1">
        <f t="shared" si="16"/>
        <v>543713.9401346033</v>
      </c>
      <c r="AC123" s="1">
        <f t="shared" si="15"/>
        <v>1.5534684003845809</v>
      </c>
    </row>
    <row r="124" spans="23:29" x14ac:dyDescent="0.3">
      <c r="W124" s="1">
        <f t="shared" si="17"/>
        <v>122</v>
      </c>
      <c r="AA124" s="1">
        <f t="shared" si="14"/>
        <v>2215.063078193331</v>
      </c>
      <c r="AB124" s="1">
        <f t="shared" si="16"/>
        <v>545929.00321279664</v>
      </c>
      <c r="AC124" s="1">
        <f t="shared" si="15"/>
        <v>1.5597971520365619</v>
      </c>
    </row>
    <row r="125" spans="23:29" x14ac:dyDescent="0.3">
      <c r="W125" s="1">
        <f t="shared" si="17"/>
        <v>123</v>
      </c>
      <c r="AA125" s="1">
        <f t="shared" si="14"/>
        <v>2162.5344294525157</v>
      </c>
      <c r="AB125" s="1">
        <f t="shared" si="16"/>
        <v>548091.53764224914</v>
      </c>
      <c r="AC125" s="1">
        <f t="shared" si="15"/>
        <v>1.5659758218349977</v>
      </c>
    </row>
    <row r="126" spans="23:29" x14ac:dyDescent="0.3">
      <c r="W126" s="1">
        <f t="shared" si="17"/>
        <v>124</v>
      </c>
      <c r="AA126" s="1">
        <f t="shared" si="14"/>
        <v>2111.2514603339646</v>
      </c>
      <c r="AB126" s="1">
        <f t="shared" si="16"/>
        <v>550202.78910258308</v>
      </c>
      <c r="AC126" s="1">
        <f t="shared" si="15"/>
        <v>1.572007968864523</v>
      </c>
    </row>
    <row r="127" spans="23:29" x14ac:dyDescent="0.3">
      <c r="W127" s="1">
        <f t="shared" si="17"/>
        <v>125</v>
      </c>
      <c r="AA127" s="1">
        <f t="shared" si="14"/>
        <v>2061.1846304295673</v>
      </c>
      <c r="AB127" s="1">
        <f t="shared" si="16"/>
        <v>552263.97373301268</v>
      </c>
      <c r="AC127" s="1">
        <f t="shared" si="15"/>
        <v>1.5778970678086077</v>
      </c>
    </row>
    <row r="128" spans="23:29" x14ac:dyDescent="0.3">
      <c r="W128" s="1">
        <f t="shared" si="17"/>
        <v>126</v>
      </c>
      <c r="AA128" s="1">
        <f t="shared" si="14"/>
        <v>2012.305099861024</v>
      </c>
      <c r="AB128" s="1">
        <f t="shared" si="16"/>
        <v>554276.27883287368</v>
      </c>
      <c r="AC128" s="1">
        <f t="shared" si="15"/>
        <v>1.5836465109510678</v>
      </c>
    </row>
    <row r="129" spans="23:29" x14ac:dyDescent="0.3">
      <c r="W129" s="1">
        <f t="shared" si="17"/>
        <v>127</v>
      </c>
      <c r="AA129" s="1">
        <f t="shared" si="14"/>
        <v>1964.5847126672804</v>
      </c>
      <c r="AB129" s="1">
        <f t="shared" si="16"/>
        <v>556240.86354554095</v>
      </c>
      <c r="AC129" s="1">
        <f t="shared" si="15"/>
        <v>1.5892596101301171</v>
      </c>
    </row>
    <row r="130" spans="23:29" x14ac:dyDescent="0.3">
      <c r="W130" s="1">
        <f t="shared" si="17"/>
        <v>128</v>
      </c>
      <c r="AA130" s="1">
        <f t="shared" si="14"/>
        <v>1917.9959805859139</v>
      </c>
      <c r="AB130" s="1">
        <f t="shared" si="16"/>
        <v>558158.85952612688</v>
      </c>
      <c r="AC130" s="1">
        <f t="shared" si="15"/>
        <v>1.5947395986460768</v>
      </c>
    </row>
    <row r="131" spans="23:29" x14ac:dyDescent="0.3">
      <c r="W131" s="1">
        <f t="shared" si="17"/>
        <v>129</v>
      </c>
      <c r="AA131" s="1">
        <f t="shared" ref="AA131:AA194" si="18" xml:space="preserve"> 41400*EXP(-0.024*W131)</f>
        <v>1872.5120672191365</v>
      </c>
      <c r="AB131" s="1">
        <f t="shared" si="16"/>
        <v>560031.371593346</v>
      </c>
      <c r="AC131" s="1">
        <f t="shared" ref="AC131:AC194" si="19">(AB131*100)/(35*10^6)</f>
        <v>1.6000896331238457</v>
      </c>
    </row>
    <row r="132" spans="23:29" x14ac:dyDescent="0.3">
      <c r="W132" s="1">
        <f t="shared" si="17"/>
        <v>130</v>
      </c>
      <c r="AA132" s="1">
        <f t="shared" si="18"/>
        <v>1828.1067725752844</v>
      </c>
      <c r="AB132" s="1">
        <f t="shared" ref="AB132:AB195" si="20">AB131+AA132</f>
        <v>561859.4783659213</v>
      </c>
      <c r="AC132" s="1">
        <f t="shared" si="19"/>
        <v>1.6053127953312036</v>
      </c>
    </row>
    <row r="133" spans="23:29" x14ac:dyDescent="0.3">
      <c r="W133" s="1">
        <f t="shared" si="17"/>
        <v>131</v>
      </c>
      <c r="AA133" s="1">
        <f t="shared" si="18"/>
        <v>1784.7545179769027</v>
      </c>
      <c r="AB133" s="1">
        <f t="shared" si="20"/>
        <v>563644.23288389819</v>
      </c>
      <c r="AC133" s="1">
        <f t="shared" si="19"/>
        <v>1.6104120939539948</v>
      </c>
    </row>
    <row r="134" spans="23:29" x14ac:dyDescent="0.3">
      <c r="W134" s="1">
        <f t="shared" si="17"/>
        <v>132</v>
      </c>
      <c r="AA134" s="1">
        <f t="shared" si="18"/>
        <v>1742.4303313267155</v>
      </c>
      <c r="AB134" s="1">
        <f t="shared" si="20"/>
        <v>565386.66321522486</v>
      </c>
      <c r="AC134" s="1">
        <f t="shared" si="19"/>
        <v>1.615390466329214</v>
      </c>
    </row>
    <row r="135" spans="23:29" x14ac:dyDescent="0.3">
      <c r="W135" s="1">
        <f t="shared" si="17"/>
        <v>133</v>
      </c>
      <c r="AA135" s="1">
        <f t="shared" si="18"/>
        <v>1701.1098327230113</v>
      </c>
      <c r="AB135" s="1">
        <f t="shared" si="20"/>
        <v>567087.77304794791</v>
      </c>
      <c r="AC135" s="1">
        <f t="shared" si="19"/>
        <v>1.6202507801369939</v>
      </c>
    </row>
    <row r="136" spans="23:29" x14ac:dyDescent="0.3">
      <c r="W136" s="1">
        <f t="shared" si="17"/>
        <v>134</v>
      </c>
      <c r="AA136" s="1">
        <f t="shared" si="18"/>
        <v>1660.7692204161435</v>
      </c>
      <c r="AB136" s="1">
        <f t="shared" si="20"/>
        <v>568748.54226836411</v>
      </c>
      <c r="AC136" s="1">
        <f t="shared" si="19"/>
        <v>1.6249958350524689</v>
      </c>
    </row>
    <row r="137" spans="23:29" x14ac:dyDescent="0.3">
      <c r="W137" s="1">
        <f t="shared" si="17"/>
        <v>135</v>
      </c>
      <c r="AA137" s="1">
        <f t="shared" si="18"/>
        <v>1621.3852570980646</v>
      </c>
      <c r="AB137" s="1">
        <f t="shared" si="20"/>
        <v>570369.92752546212</v>
      </c>
      <c r="AC137" s="1">
        <f t="shared" si="19"/>
        <v>1.6296283643584633</v>
      </c>
    </row>
    <row r="138" spans="23:29" x14ac:dyDescent="0.3">
      <c r="W138" s="1">
        <f t="shared" si="17"/>
        <v>136</v>
      </c>
      <c r="AA138" s="1">
        <f t="shared" si="18"/>
        <v>1582.9352565169941</v>
      </c>
      <c r="AB138" s="1">
        <f t="shared" si="20"/>
        <v>571952.86278197914</v>
      </c>
      <c r="AC138" s="1">
        <f t="shared" si="19"/>
        <v>1.6341510365199403</v>
      </c>
    </row>
    <row r="139" spans="23:29" x14ac:dyDescent="0.3">
      <c r="W139" s="1">
        <f t="shared" si="17"/>
        <v>137</v>
      </c>
      <c r="AA139" s="1">
        <f t="shared" si="18"/>
        <v>1545.3970704095118</v>
      </c>
      <c r="AB139" s="1">
        <f t="shared" si="20"/>
        <v>573498.25985238864</v>
      </c>
      <c r="AC139" s="1">
        <f t="shared" si="19"/>
        <v>1.6385664567211105</v>
      </c>
    </row>
    <row r="140" spans="23:29" x14ac:dyDescent="0.3">
      <c r="W140" s="1">
        <f t="shared" si="17"/>
        <v>138</v>
      </c>
      <c r="AA140" s="1">
        <f t="shared" si="18"/>
        <v>1508.7490757425442</v>
      </c>
      <c r="AB140" s="1">
        <f t="shared" si="20"/>
        <v>575007.0089281312</v>
      </c>
      <c r="AC140" s="1">
        <f t="shared" si="19"/>
        <v>1.642877168366089</v>
      </c>
    </row>
    <row r="141" spans="23:29" x14ac:dyDescent="0.3">
      <c r="W141" s="1">
        <f t="shared" si="17"/>
        <v>139</v>
      </c>
      <c r="AA141" s="1">
        <f t="shared" si="18"/>
        <v>1472.9701622578998</v>
      </c>
      <c r="AB141" s="1">
        <f t="shared" si="20"/>
        <v>576479.9790903891</v>
      </c>
      <c r="AC141" s="1">
        <f t="shared" si="19"/>
        <v>1.6470856545439687</v>
      </c>
    </row>
    <row r="142" spans="23:29" x14ac:dyDescent="0.3">
      <c r="W142" s="1">
        <f t="shared" si="17"/>
        <v>140</v>
      </c>
      <c r="AA142" s="1">
        <f t="shared" si="18"/>
        <v>1438.0397203121765</v>
      </c>
      <c r="AB142" s="1">
        <f t="shared" si="20"/>
        <v>577918.01881070132</v>
      </c>
      <c r="AC142" s="1">
        <f t="shared" si="19"/>
        <v>1.6511943394591466</v>
      </c>
    </row>
    <row r="143" spans="23:29" x14ac:dyDescent="0.3">
      <c r="W143" s="1">
        <f t="shared" si="17"/>
        <v>141</v>
      </c>
      <c r="AA143" s="1">
        <f t="shared" si="18"/>
        <v>1403.9376290050386</v>
      </c>
      <c r="AB143" s="1">
        <f t="shared" si="20"/>
        <v>579321.95643970638</v>
      </c>
      <c r="AC143" s="1">
        <f t="shared" si="19"/>
        <v>1.6552055898277325</v>
      </c>
    </row>
    <row r="144" spans="23:29" x14ac:dyDescent="0.3">
      <c r="W144" s="1">
        <f t="shared" si="17"/>
        <v>142</v>
      </c>
      <c r="AA144" s="1">
        <f t="shared" si="18"/>
        <v>1370.6442445890204</v>
      </c>
      <c r="AB144" s="1">
        <f t="shared" si="20"/>
        <v>580692.60068429541</v>
      </c>
      <c r="AC144" s="1">
        <f t="shared" si="19"/>
        <v>1.659121716240844</v>
      </c>
    </row>
    <row r="145" spans="23:29" x14ac:dyDescent="0.3">
      <c r="W145" s="1">
        <f t="shared" si="17"/>
        <v>143</v>
      </c>
      <c r="AA145" s="1">
        <f t="shared" si="18"/>
        <v>1338.1403891541852</v>
      </c>
      <c r="AB145" s="1">
        <f t="shared" si="20"/>
        <v>582030.74107344961</v>
      </c>
      <c r="AC145" s="1">
        <f t="shared" si="19"/>
        <v>1.6629449744955704</v>
      </c>
    </row>
    <row r="146" spans="23:29" x14ac:dyDescent="0.3">
      <c r="W146" s="1">
        <f t="shared" si="17"/>
        <v>144</v>
      </c>
      <c r="AA146" s="1">
        <f t="shared" si="18"/>
        <v>1306.4073395811188</v>
      </c>
      <c r="AB146" s="1">
        <f t="shared" si="20"/>
        <v>583337.14841303078</v>
      </c>
      <c r="AC146" s="1">
        <f t="shared" si="19"/>
        <v>1.6666775668943736</v>
      </c>
    </row>
    <row r="147" spans="23:29" x14ac:dyDescent="0.3">
      <c r="W147" s="1">
        <f t="shared" si="17"/>
        <v>145</v>
      </c>
      <c r="AA147" s="1">
        <f t="shared" si="18"/>
        <v>1275.4268167558946</v>
      </c>
      <c r="AB147" s="1">
        <f t="shared" si="20"/>
        <v>584612.57522978669</v>
      </c>
      <c r="AC147" s="1">
        <f t="shared" si="19"/>
        <v>1.6703216435136763</v>
      </c>
    </row>
    <row r="148" spans="23:29" x14ac:dyDescent="0.3">
      <c r="W148" s="1">
        <f t="shared" si="17"/>
        <v>146</v>
      </c>
      <c r="AA148" s="1">
        <f t="shared" si="18"/>
        <v>1245.1809750407995</v>
      </c>
      <c r="AB148" s="1">
        <f t="shared" si="20"/>
        <v>585857.75620482746</v>
      </c>
      <c r="AC148" s="1">
        <f t="shared" si="19"/>
        <v>1.673879303442364</v>
      </c>
    </row>
    <row r="149" spans="23:29" x14ac:dyDescent="0.3">
      <c r="W149" s="1">
        <f t="shared" si="17"/>
        <v>147</v>
      </c>
      <c r="AA149" s="1">
        <f t="shared" si="18"/>
        <v>1215.6523919947524</v>
      </c>
      <c r="AB149" s="1">
        <f t="shared" si="20"/>
        <v>587073.40859682218</v>
      </c>
      <c r="AC149" s="1">
        <f t="shared" si="19"/>
        <v>1.6773525959909206</v>
      </c>
    </row>
    <row r="150" spans="23:29" x14ac:dyDescent="0.3">
      <c r="W150" s="1">
        <f t="shared" si="17"/>
        <v>148</v>
      </c>
      <c r="AA150" s="1">
        <f t="shared" si="18"/>
        <v>1186.824058337497</v>
      </c>
      <c r="AB150" s="1">
        <f t="shared" si="20"/>
        <v>588260.23265515966</v>
      </c>
      <c r="AC150" s="1">
        <f t="shared" si="19"/>
        <v>1.6807435218718849</v>
      </c>
    </row>
    <row r="151" spans="23:29" x14ac:dyDescent="0.3">
      <c r="W151" s="1">
        <f t="shared" si="17"/>
        <v>149</v>
      </c>
      <c r="AA151" s="1">
        <f t="shared" si="18"/>
        <v>1158.6793681517856</v>
      </c>
      <c r="AB151" s="1">
        <f t="shared" si="20"/>
        <v>589418.91202331148</v>
      </c>
      <c r="AC151" s="1">
        <f t="shared" si="19"/>
        <v>1.6840540343523185</v>
      </c>
    </row>
    <row r="152" spans="23:29" x14ac:dyDescent="0.3">
      <c r="W152" s="1">
        <f t="shared" si="17"/>
        <v>150</v>
      </c>
      <c r="AA152" s="1">
        <f t="shared" si="18"/>
        <v>1131.2021093179119</v>
      </c>
      <c r="AB152" s="1">
        <f t="shared" si="20"/>
        <v>590550.11413262936</v>
      </c>
      <c r="AC152" s="1">
        <f t="shared" si="19"/>
        <v>1.6872860403789409</v>
      </c>
    </row>
    <row r="153" spans="23:29" x14ac:dyDescent="0.3">
      <c r="W153" s="1">
        <f t="shared" si="17"/>
        <v>151</v>
      </c>
      <c r="AA153" s="1">
        <f t="shared" si="18"/>
        <v>1104.3764541750816</v>
      </c>
      <c r="AB153" s="1">
        <f t="shared" si="20"/>
        <v>591654.49058680446</v>
      </c>
      <c r="AC153" s="1">
        <f t="shared" si="19"/>
        <v>1.6904414016765841</v>
      </c>
    </row>
    <row r="154" spans="23:29" x14ac:dyDescent="0.3">
      <c r="W154" s="1">
        <f t="shared" si="17"/>
        <v>152</v>
      </c>
      <c r="AA154" s="1">
        <f t="shared" si="18"/>
        <v>1078.1869504042429</v>
      </c>
      <c r="AB154" s="1">
        <f t="shared" si="20"/>
        <v>592732.67753720866</v>
      </c>
      <c r="AC154" s="1">
        <f t="shared" si="19"/>
        <v>1.6935219358205962</v>
      </c>
    </row>
    <row r="155" spans="23:29" x14ac:dyDescent="0.3">
      <c r="W155" s="1">
        <f t="shared" si="17"/>
        <v>153</v>
      </c>
      <c r="AA155" s="1">
        <f t="shared" si="18"/>
        <v>1052.6185121271219</v>
      </c>
      <c r="AB155" s="1">
        <f t="shared" si="20"/>
        <v>593785.29604933574</v>
      </c>
      <c r="AC155" s="1">
        <f t="shared" si="19"/>
        <v>1.6965294172838163</v>
      </c>
    </row>
    <row r="156" spans="23:29" x14ac:dyDescent="0.3">
      <c r="W156" s="1">
        <f t="shared" si="17"/>
        <v>154</v>
      </c>
      <c r="AA156" s="1">
        <f t="shared" si="18"/>
        <v>1027.6564112163417</v>
      </c>
      <c r="AB156" s="1">
        <f t="shared" si="20"/>
        <v>594812.9524605521</v>
      </c>
      <c r="AC156" s="1">
        <f t="shared" si="19"/>
        <v>1.6994655784587203</v>
      </c>
    </row>
    <row r="157" spans="23:29" x14ac:dyDescent="0.3">
      <c r="W157" s="1">
        <f t="shared" si="17"/>
        <v>155</v>
      </c>
      <c r="AA157" s="1">
        <f t="shared" si="18"/>
        <v>1003.2862688116121</v>
      </c>
      <c r="AB157" s="1">
        <f t="shared" si="20"/>
        <v>595816.23872936366</v>
      </c>
      <c r="AC157" s="1">
        <f t="shared" si="19"/>
        <v>1.7023321106553249</v>
      </c>
    </row>
    <row r="158" spans="23:29" x14ac:dyDescent="0.3">
      <c r="W158" s="1">
        <f t="shared" si="17"/>
        <v>156</v>
      </c>
      <c r="AA158" s="1">
        <f t="shared" si="18"/>
        <v>979.49404703710923</v>
      </c>
      <c r="AB158" s="1">
        <f t="shared" si="20"/>
        <v>596795.73277640075</v>
      </c>
      <c r="AC158" s="1">
        <f t="shared" si="19"/>
        <v>1.7051306650754308</v>
      </c>
    </row>
    <row r="159" spans="23:29" x14ac:dyDescent="0.3">
      <c r="W159" s="1">
        <f t="shared" si="17"/>
        <v>157</v>
      </c>
      <c r="AA159" s="1">
        <f t="shared" si="18"/>
        <v>956.26604091527133</v>
      </c>
      <c r="AB159" s="1">
        <f t="shared" si="20"/>
        <v>597751.99881731602</v>
      </c>
      <c r="AC159" s="1">
        <f t="shared" si="19"/>
        <v>1.7078628537637599</v>
      </c>
    </row>
    <row r="160" spans="23:29" x14ac:dyDescent="0.3">
      <c r="W160" s="1">
        <f t="shared" si="17"/>
        <v>158</v>
      </c>
      <c r="AA160" s="1">
        <f t="shared" si="18"/>
        <v>933.58887047235146</v>
      </c>
      <c r="AB160" s="1">
        <f t="shared" si="20"/>
        <v>598685.58768778841</v>
      </c>
      <c r="AC160" s="1">
        <f t="shared" si="19"/>
        <v>1.7105302505365383</v>
      </c>
    </row>
    <row r="161" spans="23:29" x14ac:dyDescent="0.3">
      <c r="W161" s="1">
        <f t="shared" si="17"/>
        <v>159</v>
      </c>
      <c r="AA161" s="1">
        <f t="shared" si="18"/>
        <v>911.44947303118454</v>
      </c>
      <c r="AB161" s="1">
        <f t="shared" si="20"/>
        <v>599597.03716081963</v>
      </c>
      <c r="AC161" s="1">
        <f t="shared" si="19"/>
        <v>1.7131343918880562</v>
      </c>
    </row>
    <row r="162" spans="23:29" x14ac:dyDescent="0.3">
      <c r="W162" s="1">
        <f t="shared" si="17"/>
        <v>160</v>
      </c>
      <c r="AA162" s="1">
        <f t="shared" si="18"/>
        <v>889.83509568672287</v>
      </c>
      <c r="AB162" s="1">
        <f t="shared" si="20"/>
        <v>600486.87225650635</v>
      </c>
      <c r="AC162" s="1">
        <f t="shared" si="19"/>
        <v>1.7156767778757325</v>
      </c>
    </row>
    <row r="163" spans="23:29" x14ac:dyDescent="0.3">
      <c r="W163" s="1">
        <f t="shared" si="17"/>
        <v>161</v>
      </c>
      <c r="AA163" s="1">
        <f t="shared" si="18"/>
        <v>868.73328796000931</v>
      </c>
      <c r="AB163" s="1">
        <f t="shared" si="20"/>
        <v>601355.60554446641</v>
      </c>
      <c r="AC163" s="1">
        <f t="shared" si="19"/>
        <v>1.7181588729841897</v>
      </c>
    </row>
    <row r="164" spans="23:29" x14ac:dyDescent="0.3">
      <c r="W164" s="1">
        <f t="shared" si="17"/>
        <v>162</v>
      </c>
      <c r="AA164" s="1">
        <f t="shared" si="18"/>
        <v>848.13189462635978</v>
      </c>
      <c r="AB164" s="1">
        <f t="shared" si="20"/>
        <v>602203.73743909271</v>
      </c>
      <c r="AC164" s="1">
        <f t="shared" si="19"/>
        <v>1.7205821069688363</v>
      </c>
    </row>
    <row r="165" spans="23:29" x14ac:dyDescent="0.3">
      <c r="W165" s="1">
        <f t="shared" si="17"/>
        <v>163</v>
      </c>
      <c r="AA165" s="1">
        <f t="shared" si="18"/>
        <v>828.01904871361603</v>
      </c>
      <c r="AB165" s="1">
        <f t="shared" si="20"/>
        <v>603031.75648780633</v>
      </c>
      <c r="AC165" s="1">
        <f t="shared" si="19"/>
        <v>1.7229478756794465</v>
      </c>
    </row>
    <row r="166" spans="23:29" x14ac:dyDescent="0.3">
      <c r="W166" s="1">
        <f t="shared" si="17"/>
        <v>164</v>
      </c>
      <c r="AA166" s="1">
        <f t="shared" si="18"/>
        <v>808.38316466644164</v>
      </c>
      <c r="AB166" s="1">
        <f t="shared" si="20"/>
        <v>603840.1396524728</v>
      </c>
      <c r="AC166" s="1">
        <f t="shared" si="19"/>
        <v>1.725257541864208</v>
      </c>
    </row>
    <row r="167" spans="23:29" x14ac:dyDescent="0.3">
      <c r="W167" s="1">
        <f t="shared" si="17"/>
        <v>165</v>
      </c>
      <c r="AA167" s="1">
        <f t="shared" si="18"/>
        <v>789.21293167272177</v>
      </c>
      <c r="AB167" s="1">
        <f t="shared" si="20"/>
        <v>604629.3525841455</v>
      </c>
      <c r="AC167" s="1">
        <f t="shared" si="19"/>
        <v>1.7275124359547014</v>
      </c>
    </row>
    <row r="168" spans="23:29" x14ac:dyDescent="0.3">
      <c r="W168" s="1">
        <f t="shared" si="17"/>
        <v>166</v>
      </c>
      <c r="AA168" s="1">
        <f t="shared" si="18"/>
        <v>770.49730714822351</v>
      </c>
      <c r="AB168" s="1">
        <f t="shared" si="20"/>
        <v>605399.84989129368</v>
      </c>
      <c r="AC168" s="1">
        <f t="shared" si="19"/>
        <v>1.7297138568322676</v>
      </c>
    </row>
    <row r="169" spans="23:29" x14ac:dyDescent="0.3">
      <c r="W169" s="1">
        <f t="shared" si="17"/>
        <v>167</v>
      </c>
      <c r="AA169" s="1">
        <f t="shared" si="18"/>
        <v>752.22551037576113</v>
      </c>
      <c r="AB169" s="1">
        <f t="shared" si="20"/>
        <v>606152.07540166948</v>
      </c>
      <c r="AC169" s="1">
        <f t="shared" si="19"/>
        <v>1.7318630725761985</v>
      </c>
    </row>
    <row r="170" spans="23:29" x14ac:dyDescent="0.3">
      <c r="W170" s="1">
        <f t="shared" si="17"/>
        <v>168</v>
      </c>
      <c r="AA170" s="1">
        <f t="shared" si="18"/>
        <v>734.38701629520563</v>
      </c>
      <c r="AB170" s="1">
        <f t="shared" si="20"/>
        <v>606886.46241796471</v>
      </c>
      <c r="AC170" s="1">
        <f t="shared" si="19"/>
        <v>1.7339613211941849</v>
      </c>
    </row>
    <row r="171" spans="23:29" x14ac:dyDescent="0.3">
      <c r="W171" s="1">
        <f t="shared" si="17"/>
        <v>169</v>
      </c>
      <c r="AA171" s="1">
        <f t="shared" si="18"/>
        <v>716.97154944075817</v>
      </c>
      <c r="AB171" s="1">
        <f t="shared" si="20"/>
        <v>607603.43396740546</v>
      </c>
      <c r="AC171" s="1">
        <f t="shared" si="19"/>
        <v>1.7360098113354443</v>
      </c>
    </row>
    <row r="172" spans="23:29" x14ac:dyDescent="0.3">
      <c r="W172" s="1">
        <f t="shared" si="17"/>
        <v>170</v>
      </c>
      <c r="AA172" s="1">
        <f t="shared" si="18"/>
        <v>699.96907802199848</v>
      </c>
      <c r="AB172" s="1">
        <f t="shared" si="20"/>
        <v>608303.40304542752</v>
      </c>
      <c r="AC172" s="1">
        <f t="shared" si="19"/>
        <v>1.7380097229869358</v>
      </c>
    </row>
    <row r="173" spans="23:29" x14ac:dyDescent="0.3">
      <c r="W173" s="1">
        <f t="shared" si="17"/>
        <v>171</v>
      </c>
      <c r="AA173" s="1">
        <f t="shared" si="18"/>
        <v>683.36980814529625</v>
      </c>
      <c r="AB173" s="1">
        <f t="shared" si="20"/>
        <v>608986.77285357285</v>
      </c>
      <c r="AC173" s="1">
        <f t="shared" si="19"/>
        <v>1.7399622081530652</v>
      </c>
    </row>
    <row r="174" spans="23:29" x14ac:dyDescent="0.3">
      <c r="W174" s="1">
        <f t="shared" ref="W174:W216" si="21">W173+1</f>
        <v>172</v>
      </c>
      <c r="AA174" s="1">
        <f t="shared" si="18"/>
        <v>667.1641781722567</v>
      </c>
      <c r="AB174" s="1">
        <f t="shared" si="20"/>
        <v>609653.9370317451</v>
      </c>
      <c r="AC174" s="1">
        <f t="shared" si="19"/>
        <v>1.7418683915192716</v>
      </c>
    </row>
    <row r="175" spans="23:29" x14ac:dyDescent="0.3">
      <c r="W175" s="1">
        <f t="shared" si="21"/>
        <v>173</v>
      </c>
      <c r="AA175" s="1">
        <f t="shared" si="18"/>
        <v>651.34285321195398</v>
      </c>
      <c r="AB175" s="1">
        <f t="shared" si="20"/>
        <v>610305.27988495701</v>
      </c>
      <c r="AC175" s="1">
        <f t="shared" si="19"/>
        <v>1.7437293710998771</v>
      </c>
    </row>
    <row r="176" spans="23:29" x14ac:dyDescent="0.3">
      <c r="W176" s="1">
        <f t="shared" si="21"/>
        <v>174</v>
      </c>
      <c r="AA176" s="1">
        <f t="shared" si="18"/>
        <v>635.89671974377427</v>
      </c>
      <c r="AB176" s="1">
        <f t="shared" si="20"/>
        <v>610941.17660470074</v>
      </c>
      <c r="AC176" s="1">
        <f t="shared" si="19"/>
        <v>1.7455462188705737</v>
      </c>
    </row>
    <row r="177" spans="23:29" x14ac:dyDescent="0.3">
      <c r="W177" s="1">
        <f t="shared" si="21"/>
        <v>175</v>
      </c>
      <c r="AA177" s="1">
        <f t="shared" si="18"/>
        <v>620.81688036777689</v>
      </c>
      <c r="AB177" s="1">
        <f t="shared" si="20"/>
        <v>611561.99348506855</v>
      </c>
      <c r="AC177" s="1">
        <f t="shared" si="19"/>
        <v>1.7473199813859102</v>
      </c>
    </row>
    <row r="178" spans="23:29" x14ac:dyDescent="0.3">
      <c r="W178" s="1">
        <f t="shared" si="21"/>
        <v>176</v>
      </c>
      <c r="AA178" s="1">
        <f t="shared" si="18"/>
        <v>606.09464867954614</v>
      </c>
      <c r="AB178" s="1">
        <f t="shared" si="20"/>
        <v>612168.08813374816</v>
      </c>
      <c r="AC178" s="1">
        <f t="shared" si="19"/>
        <v>1.7490516803821377</v>
      </c>
    </row>
    <row r="179" spans="23:29" x14ac:dyDescent="0.3">
      <c r="W179" s="1">
        <f t="shared" si="21"/>
        <v>177</v>
      </c>
      <c r="AA179" s="1">
        <f t="shared" si="18"/>
        <v>591.72154426658142</v>
      </c>
      <c r="AB179" s="1">
        <f t="shared" si="20"/>
        <v>612759.80967801472</v>
      </c>
      <c r="AC179" s="1">
        <f t="shared" si="19"/>
        <v>1.7507423133657565</v>
      </c>
    </row>
    <row r="180" spans="23:29" x14ac:dyDescent="0.3">
      <c r="W180" s="1">
        <f t="shared" si="21"/>
        <v>178</v>
      </c>
      <c r="AA180" s="1">
        <f t="shared" si="18"/>
        <v>577.68928782334558</v>
      </c>
      <c r="AB180" s="1">
        <f t="shared" si="20"/>
        <v>613337.49896583811</v>
      </c>
      <c r="AC180" s="1">
        <f t="shared" si="19"/>
        <v>1.7523928541881089</v>
      </c>
    </row>
    <row r="181" spans="23:29" x14ac:dyDescent="0.3">
      <c r="W181" s="1">
        <f t="shared" si="21"/>
        <v>179</v>
      </c>
      <c r="AA181" s="1">
        <f t="shared" si="18"/>
        <v>563.9897963821561</v>
      </c>
      <c r="AB181" s="1">
        <f t="shared" si="20"/>
        <v>613901.48876222025</v>
      </c>
      <c r="AC181" s="1">
        <f t="shared" si="19"/>
        <v>1.7540042536063434</v>
      </c>
    </row>
    <row r="182" spans="23:29" x14ac:dyDescent="0.3">
      <c r="W182" s="1">
        <f t="shared" si="21"/>
        <v>180</v>
      </c>
      <c r="AA182" s="1">
        <f t="shared" si="18"/>
        <v>550.61517865717201</v>
      </c>
      <c r="AB182" s="1">
        <f t="shared" si="20"/>
        <v>614452.10394087748</v>
      </c>
      <c r="AC182" s="1">
        <f t="shared" si="19"/>
        <v>1.7555774398310784</v>
      </c>
    </row>
    <row r="183" spans="23:29" x14ac:dyDescent="0.3">
      <c r="W183" s="1">
        <f t="shared" si="21"/>
        <v>181</v>
      </c>
      <c r="AA183" s="1">
        <f t="shared" si="18"/>
        <v>537.55773049879519</v>
      </c>
      <c r="AB183" s="1">
        <f t="shared" si="20"/>
        <v>614989.66167137632</v>
      </c>
      <c r="AC183" s="1">
        <f t="shared" si="19"/>
        <v>1.757113319061075</v>
      </c>
    </row>
    <row r="184" spans="23:29" x14ac:dyDescent="0.3">
      <c r="W184" s="1">
        <f t="shared" si="21"/>
        <v>182</v>
      </c>
      <c r="AA184" s="1">
        <f t="shared" si="18"/>
        <v>524.80993045586717</v>
      </c>
      <c r="AB184" s="1">
        <f t="shared" si="20"/>
        <v>615514.47160183219</v>
      </c>
      <c r="AC184" s="1">
        <f t="shared" si="19"/>
        <v>1.7586127760052348</v>
      </c>
    </row>
    <row r="185" spans="23:29" x14ac:dyDescent="0.3">
      <c r="W185" s="1">
        <f t="shared" si="21"/>
        <v>183</v>
      </c>
      <c r="AA185" s="1">
        <f t="shared" si="18"/>
        <v>512.36443544310532</v>
      </c>
      <c r="AB185" s="1">
        <f t="shared" si="20"/>
        <v>616026.83603727526</v>
      </c>
      <c r="AC185" s="1">
        <f t="shared" si="19"/>
        <v>1.7600766743922152</v>
      </c>
    </row>
    <row r="186" spans="23:29" x14ac:dyDescent="0.3">
      <c r="W186" s="1">
        <f t="shared" si="21"/>
        <v>184</v>
      </c>
      <c r="AA186" s="1">
        <f t="shared" si="18"/>
        <v>500.21407651128254</v>
      </c>
      <c r="AB186" s="1">
        <f t="shared" si="20"/>
        <v>616527.05011378659</v>
      </c>
      <c r="AC186" s="1">
        <f t="shared" si="19"/>
        <v>1.7615058574679618</v>
      </c>
    </row>
    <row r="187" spans="23:29" x14ac:dyDescent="0.3">
      <c r="W187" s="1">
        <f t="shared" si="21"/>
        <v>185</v>
      </c>
      <c r="AA187" s="1">
        <f t="shared" si="18"/>
        <v>488.35185471771467</v>
      </c>
      <c r="AB187" s="1">
        <f t="shared" si="20"/>
        <v>617015.4019685043</v>
      </c>
      <c r="AC187" s="1">
        <f t="shared" si="19"/>
        <v>1.762901148481441</v>
      </c>
    </row>
    <row r="188" spans="23:29" x14ac:dyDescent="0.3">
      <c r="W188" s="1">
        <f t="shared" si="21"/>
        <v>186</v>
      </c>
      <c r="AA188" s="1">
        <f t="shared" si="18"/>
        <v>476.77093709467539</v>
      </c>
      <c r="AB188" s="1">
        <f t="shared" si="20"/>
        <v>617492.172905599</v>
      </c>
      <c r="AC188" s="1">
        <f t="shared" si="19"/>
        <v>1.7642633511588544</v>
      </c>
    </row>
    <row r="189" spans="23:29" x14ac:dyDescent="0.3">
      <c r="W189" s="1">
        <f t="shared" si="21"/>
        <v>187</v>
      </c>
      <c r="AA189" s="1">
        <f t="shared" si="18"/>
        <v>465.46465271341873</v>
      </c>
      <c r="AB189" s="1">
        <f t="shared" si="20"/>
        <v>617957.63755831239</v>
      </c>
      <c r="AC189" s="1">
        <f t="shared" si="19"/>
        <v>1.765593250166607</v>
      </c>
    </row>
    <row r="190" spans="23:29" x14ac:dyDescent="0.3">
      <c r="W190" s="1">
        <f t="shared" si="21"/>
        <v>188</v>
      </c>
      <c r="AA190" s="1">
        <f t="shared" si="18"/>
        <v>454.42648884153874</v>
      </c>
      <c r="AB190" s="1">
        <f t="shared" si="20"/>
        <v>618412.06404715392</v>
      </c>
      <c r="AC190" s="1">
        <f t="shared" si="19"/>
        <v>1.7668916115632969</v>
      </c>
    </row>
    <row r="191" spans="23:29" x14ac:dyDescent="0.3">
      <c r="W191" s="1">
        <f t="shared" si="21"/>
        <v>189</v>
      </c>
      <c r="AA191" s="1">
        <f t="shared" si="18"/>
        <v>443.65008719145629</v>
      </c>
      <c r="AB191" s="1">
        <f t="shared" si="20"/>
        <v>618855.71413434541</v>
      </c>
      <c r="AC191" s="1">
        <f t="shared" si="19"/>
        <v>1.7681591832409869</v>
      </c>
    </row>
    <row r="192" spans="23:29" x14ac:dyDescent="0.3">
      <c r="W192" s="1">
        <f t="shared" si="21"/>
        <v>190</v>
      </c>
      <c r="AA192" s="1">
        <f t="shared" si="18"/>
        <v>433.1292402578693</v>
      </c>
      <c r="AB192" s="1">
        <f t="shared" si="20"/>
        <v>619288.84337460331</v>
      </c>
      <c r="AC192" s="1">
        <f t="shared" si="19"/>
        <v>1.7693966953560094</v>
      </c>
    </row>
    <row r="193" spans="23:29" x14ac:dyDescent="0.3">
      <c r="W193" s="1">
        <f t="shared" si="21"/>
        <v>191</v>
      </c>
      <c r="AA193" s="1">
        <f t="shared" si="18"/>
        <v>422.85788774205793</v>
      </c>
      <c r="AB193" s="1">
        <f t="shared" si="20"/>
        <v>619711.70126234542</v>
      </c>
      <c r="AC193" s="1">
        <f t="shared" si="19"/>
        <v>1.7706048607495584</v>
      </c>
    </row>
    <row r="194" spans="23:29" x14ac:dyDescent="0.3">
      <c r="W194" s="1">
        <f t="shared" si="21"/>
        <v>192</v>
      </c>
      <c r="AA194" s="1">
        <f t="shared" si="18"/>
        <v>412.83011306098535</v>
      </c>
      <c r="AB194" s="1">
        <f t="shared" si="20"/>
        <v>620124.53137540643</v>
      </c>
      <c r="AC194" s="1">
        <f t="shared" si="19"/>
        <v>1.7717843753583042</v>
      </c>
    </row>
    <row r="195" spans="23:29" x14ac:dyDescent="0.3">
      <c r="W195" s="1">
        <f t="shared" si="21"/>
        <v>193</v>
      </c>
      <c r="AA195" s="1">
        <f xml:space="preserve"> 41400*EXP(-0.024*W195)</f>
        <v>403.04013993918238</v>
      </c>
      <c r="AB195" s="1">
        <f t="shared" si="20"/>
        <v>620527.5715153456</v>
      </c>
      <c r="AC195" s="1">
        <f t="shared" ref="AC195:AC216" si="22">(AB195*100)/(35*10^6)</f>
        <v>1.7729359186152731</v>
      </c>
    </row>
    <row r="196" spans="23:29" x14ac:dyDescent="0.3">
      <c r="W196" s="1">
        <f t="shared" si="21"/>
        <v>194</v>
      </c>
      <c r="AA196" s="1">
        <f xml:space="preserve"> 41400*EXP(-0.024*W196)</f>
        <v>393.48232908145172</v>
      </c>
      <c r="AB196" s="1">
        <f t="shared" ref="AB196:AB216" si="23">AB195+AA196</f>
        <v>620921.05384442699</v>
      </c>
      <c r="AC196" s="1">
        <f t="shared" si="22"/>
        <v>1.77406015384122</v>
      </c>
    </row>
    <row r="197" spans="23:29" x14ac:dyDescent="0.3">
      <c r="W197" s="1">
        <f t="shared" si="21"/>
        <v>195</v>
      </c>
      <c r="AA197" s="1">
        <f xml:space="preserve"> 41400*EXP(-0.024*W197)</f>
        <v>384.15117492448042</v>
      </c>
      <c r="AB197" s="1">
        <f t="shared" si="23"/>
        <v>621305.20501935144</v>
      </c>
      <c r="AC197" s="1">
        <f t="shared" si="22"/>
        <v>1.7751577286267184</v>
      </c>
    </row>
    <row r="198" spans="23:29" x14ac:dyDescent="0.3">
      <c r="W198" s="1">
        <f t="shared" si="21"/>
        <v>196</v>
      </c>
      <c r="AA198" s="1">
        <f xml:space="preserve"> 41400*EXP(-0.024*W198)</f>
        <v>375.04130246548112</v>
      </c>
      <c r="AB198" s="1">
        <f t="shared" si="23"/>
        <v>621680.24632181693</v>
      </c>
      <c r="AC198" s="1">
        <f t="shared" si="22"/>
        <v>1.7762292752051911</v>
      </c>
    </row>
    <row r="199" spans="23:29" x14ac:dyDescent="0.3">
      <c r="W199" s="1">
        <f t="shared" si="21"/>
        <v>197</v>
      </c>
      <c r="AA199" s="1">
        <f xml:space="preserve"> 41400*EXP(-0.024*W199)</f>
        <v>366.14746416604294</v>
      </c>
      <c r="AB199" s="1">
        <f t="shared" si="23"/>
        <v>622046.39378598297</v>
      </c>
      <c r="AC199" s="1">
        <f t="shared" si="22"/>
        <v>1.7772754108170941</v>
      </c>
    </row>
    <row r="200" spans="23:29" x14ac:dyDescent="0.3">
      <c r="W200" s="1">
        <f t="shared" si="21"/>
        <v>198</v>
      </c>
      <c r="AA200" s="1">
        <f xml:space="preserve"> 41400*EXP(-0.024*W200)</f>
        <v>357.46453692940389</v>
      </c>
      <c r="AB200" s="1">
        <f t="shared" si="23"/>
        <v>622403.85832291236</v>
      </c>
      <c r="AC200" s="1">
        <f t="shared" si="22"/>
        <v>1.778296738065464</v>
      </c>
    </row>
    <row r="201" spans="23:29" x14ac:dyDescent="0.3">
      <c r="W201" s="1">
        <f t="shared" si="21"/>
        <v>199</v>
      </c>
      <c r="AA201" s="1">
        <f xml:space="preserve"> 41400*EXP(-0.024*W201)</f>
        <v>348.98751914940544</v>
      </c>
      <c r="AB201" s="1">
        <f t="shared" si="23"/>
        <v>622752.8458420618</v>
      </c>
      <c r="AC201" s="1">
        <f t="shared" si="22"/>
        <v>1.7792938452630336</v>
      </c>
    </row>
    <row r="202" spans="23:29" x14ac:dyDescent="0.3">
      <c r="W202" s="1">
        <f t="shared" si="21"/>
        <v>200</v>
      </c>
      <c r="AA202" s="1">
        <f xml:space="preserve"> 41400*EXP(-0.024*W202)</f>
        <v>340.71152782942926</v>
      </c>
      <c r="AB202" s="1">
        <f t="shared" si="23"/>
        <v>623093.5573698912</v>
      </c>
      <c r="AC202" s="1">
        <f t="shared" si="22"/>
        <v>1.7802673067711177</v>
      </c>
    </row>
    <row r="203" spans="23:29" x14ac:dyDescent="0.3">
      <c r="W203" s="1">
        <f t="shared" si="21"/>
        <v>201</v>
      </c>
      <c r="AA203" s="1">
        <f xml:space="preserve"> 41400*EXP(-0.024*W203)</f>
        <v>332.63179576965604</v>
      </c>
      <c r="AB203" s="1">
        <f t="shared" si="23"/>
        <v>623426.18916566088</v>
      </c>
      <c r="AC203" s="1">
        <f t="shared" si="22"/>
        <v>1.7812176833304596</v>
      </c>
    </row>
    <row r="204" spans="23:29" x14ac:dyDescent="0.3">
      <c r="W204" s="1">
        <f t="shared" si="21"/>
        <v>202</v>
      </c>
      <c r="AA204" s="1">
        <f xml:space="preserve"> 41400*EXP(-0.024*W204)</f>
        <v>324.74366882102657</v>
      </c>
      <c r="AB204" s="1">
        <f t="shared" si="23"/>
        <v>623750.93283448194</v>
      </c>
      <c r="AC204" s="1">
        <f t="shared" si="22"/>
        <v>1.7821455223842342</v>
      </c>
    </row>
    <row r="205" spans="23:29" x14ac:dyDescent="0.3">
      <c r="W205" s="1">
        <f t="shared" si="21"/>
        <v>203</v>
      </c>
      <c r="AA205" s="1">
        <f xml:space="preserve"> 41400*EXP(-0.024*W205)</f>
        <v>317.04260320432331</v>
      </c>
      <c r="AB205" s="1">
        <f t="shared" si="23"/>
        <v>624067.97543768631</v>
      </c>
      <c r="AC205" s="1">
        <f t="shared" si="22"/>
        <v>1.7830513583933894</v>
      </c>
    </row>
    <row r="206" spans="23:29" x14ac:dyDescent="0.3">
      <c r="W206" s="1">
        <f t="shared" si="21"/>
        <v>204</v>
      </c>
      <c r="AA206" s="1">
        <f xml:space="preserve"> 41400*EXP(-0.024*W206)</f>
        <v>309.52416289282803</v>
      </c>
      <c r="AB206" s="1">
        <f t="shared" si="23"/>
        <v>624377.49960057915</v>
      </c>
      <c r="AC206" s="1">
        <f t="shared" si="22"/>
        <v>1.7839357131445119</v>
      </c>
    </row>
    <row r="207" spans="23:29" x14ac:dyDescent="0.3">
      <c r="W207" s="1">
        <f t="shared" si="21"/>
        <v>205</v>
      </c>
      <c r="AA207" s="1">
        <f xml:space="preserve"> 41400*EXP(-0.024*W207)</f>
        <v>302.18401705704736</v>
      </c>
      <c r="AB207" s="1">
        <f t="shared" si="23"/>
        <v>624679.68361763621</v>
      </c>
      <c r="AC207" s="1">
        <f t="shared" si="22"/>
        <v>1.784799096050389</v>
      </c>
    </row>
    <row r="208" spans="23:29" x14ac:dyDescent="0.3">
      <c r="W208" s="1">
        <f t="shared" si="21"/>
        <v>206</v>
      </c>
      <c r="AA208" s="1">
        <f xml:space="preserve"> 41400*EXP(-0.024*W208)</f>
        <v>295.01793757003566</v>
      </c>
      <c r="AB208" s="1">
        <f t="shared" si="23"/>
        <v>624974.70155520621</v>
      </c>
      <c r="AC208" s="1">
        <f t="shared" si="22"/>
        <v>1.7856420044434462</v>
      </c>
    </row>
    <row r="209" spans="23:29" x14ac:dyDescent="0.3">
      <c r="W209" s="1">
        <f t="shared" si="21"/>
        <v>207</v>
      </c>
      <c r="AA209" s="1">
        <f xml:space="preserve"> 41400*EXP(-0.024*W209)</f>
        <v>288.02179657187679</v>
      </c>
      <c r="AB209" s="1">
        <f t="shared" si="23"/>
        <v>625262.72335177811</v>
      </c>
      <c r="AC209" s="1">
        <f t="shared" si="22"/>
        <v>1.7864649238622232</v>
      </c>
    </row>
    <row r="210" spans="23:29" x14ac:dyDescent="0.3">
      <c r="W210" s="1">
        <f t="shared" si="21"/>
        <v>208</v>
      </c>
      <c r="AA210" s="1">
        <f xml:space="preserve"> 41400*EXP(-0.024*W210)</f>
        <v>281.19156409192288</v>
      </c>
      <c r="AB210" s="1">
        <f t="shared" si="23"/>
        <v>625543.91491587006</v>
      </c>
      <c r="AC210" s="1">
        <f t="shared" si="22"/>
        <v>1.7872683283310573</v>
      </c>
    </row>
    <row r="211" spans="23:29" x14ac:dyDescent="0.3">
      <c r="W211" s="1">
        <f t="shared" si="21"/>
        <v>209</v>
      </c>
      <c r="AA211" s="1">
        <f xml:space="preserve"> 41400*EXP(-0.024*W211)</f>
        <v>274.5233057274196</v>
      </c>
      <c r="AB211" s="1">
        <f t="shared" si="23"/>
        <v>625818.43822159746</v>
      </c>
      <c r="AC211" s="1">
        <f t="shared" si="22"/>
        <v>1.7880526806331356</v>
      </c>
    </row>
    <row r="212" spans="23:29" x14ac:dyDescent="0.3">
      <c r="W212" s="1">
        <f t="shared" si="21"/>
        <v>210</v>
      </c>
      <c r="AA212" s="1">
        <f xml:space="preserve"> 41400*EXP(-0.024*W212)</f>
        <v>268.01318037718136</v>
      </c>
      <c r="AB212" s="1">
        <f t="shared" si="23"/>
        <v>626086.45140197466</v>
      </c>
      <c r="AC212" s="1">
        <f t="shared" si="22"/>
        <v>1.7888184325770704</v>
      </c>
    </row>
    <row r="213" spans="23:29" x14ac:dyDescent="0.3">
      <c r="W213" s="1">
        <f t="shared" si="21"/>
        <v>211</v>
      </c>
      <c r="AA213" s="1">
        <f xml:space="preserve"> 41400*EXP(-0.024*W213)</f>
        <v>261.65743802901108</v>
      </c>
      <c r="AB213" s="1">
        <f t="shared" si="23"/>
        <v>626348.10884000361</v>
      </c>
      <c r="AC213" s="1">
        <f t="shared" si="22"/>
        <v>1.7895660252571532</v>
      </c>
    </row>
    <row r="214" spans="23:29" x14ac:dyDescent="0.3">
      <c r="W214" s="1">
        <f t="shared" si="21"/>
        <v>212</v>
      </c>
      <c r="AA214" s="1">
        <f xml:space="preserve"> 41400*EXP(-0.024*W214)</f>
        <v>255.45241759958927</v>
      </c>
      <c r="AB214" s="1">
        <f t="shared" si="23"/>
        <v>626603.56125760323</v>
      </c>
      <c r="AC214" s="1">
        <f t="shared" si="22"/>
        <v>1.7902958893074379</v>
      </c>
    </row>
    <row r="215" spans="23:29" x14ac:dyDescent="0.3">
      <c r="W215" s="1">
        <f t="shared" si="21"/>
        <v>213</v>
      </c>
      <c r="AA215" s="1">
        <f xml:space="preserve"> 41400*EXP(-0.024*W215)</f>
        <v>249.39454482558884</v>
      </c>
      <c r="AB215" s="1">
        <f t="shared" si="23"/>
        <v>626852.95580242877</v>
      </c>
      <c r="AC215" s="1">
        <f t="shared" si="22"/>
        <v>1.7910084451497965</v>
      </c>
    </row>
    <row r="216" spans="23:29" x14ac:dyDescent="0.3">
      <c r="W216" s="1">
        <f t="shared" si="21"/>
        <v>214</v>
      </c>
      <c r="AA216" s="1">
        <f xml:space="preserve"> 41400*EXP(-0.024*W216)</f>
        <v>243.48033020480071</v>
      </c>
      <c r="AB216" s="1">
        <f t="shared" si="23"/>
        <v>627096.43613263359</v>
      </c>
      <c r="AC216" s="1">
        <f t="shared" si="22"/>
        <v>1.7917041032360961</v>
      </c>
    </row>
  </sheetData>
  <mergeCells count="2">
    <mergeCell ref="Z1:Z44"/>
    <mergeCell ref="AE1:AE4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5E8E-F1D5-4DD3-992E-16768702C6DD}">
  <dimension ref="A1:AE128"/>
  <sheetViews>
    <sheetView topLeftCell="AB1" zoomScale="83" zoomScaleNormal="10" workbookViewId="0">
      <selection activeCell="AO39" sqref="AO39"/>
    </sheetView>
  </sheetViews>
  <sheetFormatPr defaultColWidth="8.77734375" defaultRowHeight="14.4" x14ac:dyDescent="0.3"/>
  <cols>
    <col min="1" max="7" width="8.77734375" style="1"/>
    <col min="8" max="8" width="18.5546875" style="1" bestFit="1" customWidth="1"/>
    <col min="9" max="22" width="8.77734375" style="1"/>
    <col min="23" max="23" width="17" style="1" customWidth="1"/>
    <col min="24" max="24" width="35" style="1" customWidth="1"/>
    <col min="25" max="25" width="12.109375" style="1" customWidth="1"/>
    <col min="26" max="26" width="35.44140625" style="1" customWidth="1"/>
    <col min="27" max="27" width="25.6640625" style="1" customWidth="1"/>
    <col min="28" max="28" width="17.109375" style="1" customWidth="1"/>
    <col min="29" max="29" width="8.77734375" style="1"/>
    <col min="30" max="30" width="19.109375" style="1" customWidth="1"/>
    <col min="31" max="31" width="16.33203125" style="1" customWidth="1"/>
    <col min="32" max="16384" width="8.77734375" style="1"/>
  </cols>
  <sheetData>
    <row r="1" spans="1:31" ht="53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N1" s="1" t="s">
        <v>41</v>
      </c>
      <c r="O1" s="1" t="s">
        <v>42</v>
      </c>
      <c r="P1" s="1" t="s">
        <v>43</v>
      </c>
      <c r="R1" s="1" t="s">
        <v>43</v>
      </c>
      <c r="V1" s="55" t="s">
        <v>122</v>
      </c>
      <c r="W1" s="55" t="s">
        <v>150</v>
      </c>
      <c r="X1" s="55" t="s">
        <v>116</v>
      </c>
      <c r="Y1" s="132" t="s">
        <v>198</v>
      </c>
      <c r="Z1" s="55" t="s">
        <v>199</v>
      </c>
      <c r="AA1" s="55" t="s">
        <v>151</v>
      </c>
      <c r="AB1" s="55" t="s">
        <v>180</v>
      </c>
      <c r="AC1" s="134" t="s">
        <v>187</v>
      </c>
      <c r="AD1" s="55" t="s">
        <v>151</v>
      </c>
      <c r="AE1" s="55" t="s">
        <v>180</v>
      </c>
    </row>
    <row r="2" spans="1:31" x14ac:dyDescent="0.3">
      <c r="A2" s="4">
        <v>44621</v>
      </c>
      <c r="B2" s="5">
        <v>257.99695480645164</v>
      </c>
      <c r="C2" s="5">
        <v>201.7945483870968</v>
      </c>
      <c r="D2" s="5">
        <v>56.202406419354844</v>
      </c>
      <c r="E2" s="5">
        <v>1074.3225806451612</v>
      </c>
      <c r="F2" s="5">
        <v>0</v>
      </c>
      <c r="G2" s="5">
        <v>6255.6310000000003</v>
      </c>
      <c r="H2" s="9">
        <v>8.3700403799999998E-4</v>
      </c>
      <c r="I2" s="5">
        <v>33304</v>
      </c>
      <c r="J2" s="5">
        <v>1742.2745990000001</v>
      </c>
      <c r="K2" s="5">
        <v>21.784135576917052</v>
      </c>
      <c r="L2" s="5">
        <v>33.485910406160464</v>
      </c>
      <c r="N2" s="1">
        <f>A2-$A$2</f>
        <v>0</v>
      </c>
      <c r="O2" s="1">
        <f>D2/C2</f>
        <v>0.27851300676142821</v>
      </c>
      <c r="P2" s="1" t="str">
        <f>IF(OR(N4&lt;=0, N2&lt;=0)," ", (O4 - O2) / (LN(N4) - LN(N2)))</f>
        <v xml:space="preserve"> </v>
      </c>
      <c r="R2" s="1">
        <f>(O3-O2) / (N3-N2)</f>
        <v>1.6964729134437192E-4</v>
      </c>
      <c r="V2" s="1">
        <f>_xlfn.DAYS($A$42,A2)</f>
        <v>1218</v>
      </c>
      <c r="W2" s="1">
        <v>0</v>
      </c>
      <c r="X2" s="1">
        <f>(LN($U$4 / C2) / V2)</f>
        <v>8.3547190209409924E-7</v>
      </c>
      <c r="Y2" s="133"/>
      <c r="AA2" s="1">
        <f>Z2</f>
        <v>0</v>
      </c>
      <c r="AB2" s="1">
        <f>(AA2*100) /(35*10^6)</f>
        <v>0</v>
      </c>
      <c r="AC2" s="135"/>
      <c r="AD2" s="3">
        <f>G2</f>
        <v>6255.6310000000003</v>
      </c>
      <c r="AE2" s="1">
        <f>(AD2*100)/(35*10^6)</f>
        <v>1.7873231428571428E-2</v>
      </c>
    </row>
    <row r="3" spans="1:31" x14ac:dyDescent="0.3">
      <c r="A3" s="2">
        <v>44652</v>
      </c>
      <c r="B3" s="3">
        <v>849.06288519999987</v>
      </c>
      <c r="C3" s="3">
        <v>661.38133333333326</v>
      </c>
      <c r="D3" s="3">
        <v>187.68155186666667</v>
      </c>
      <c r="E3" s="3">
        <v>4551.5</v>
      </c>
      <c r="F3" s="3">
        <v>0</v>
      </c>
      <c r="G3" s="3">
        <v>19841.439999999999</v>
      </c>
      <c r="H3" s="10">
        <v>2.6547866079999999E-3</v>
      </c>
      <c r="I3" s="3">
        <v>136545</v>
      </c>
      <c r="J3" s="3">
        <v>5630.4465559999999</v>
      </c>
      <c r="K3" s="3">
        <v>22.104552576509992</v>
      </c>
      <c r="L3" s="3">
        <v>43.285202132506512</v>
      </c>
      <c r="N3" s="1">
        <f t="shared" ref="N3:N42" si="0">A3-$A$2</f>
        <v>31</v>
      </c>
      <c r="O3" s="1">
        <f t="shared" ref="O3:O42" si="1">D3/C3</f>
        <v>0.28377207279310374</v>
      </c>
      <c r="P3" s="1">
        <f>IF(OR(N5&lt;=0, N3&lt;=0)," ", (O5 - O3) / (LN(N5) - LN(N3)))</f>
        <v>0.23731527983283954</v>
      </c>
      <c r="R3" s="1">
        <f t="shared" ref="R3:R42" si="2">(O4-O3) / (N4-N3)</f>
        <v>3.675880730421288E-3</v>
      </c>
      <c r="V3" s="1">
        <f t="shared" ref="V3:V43" si="3">_xlfn.DAYS($A$42,A3)</f>
        <v>1187</v>
      </c>
      <c r="W3" s="1">
        <f>($V$2-V3)/30</f>
        <v>1.0333333333333334</v>
      </c>
      <c r="X3" s="1">
        <f t="shared" ref="X3:X43" si="4">(LN($U$4 / C3) / V3)</f>
        <v>-9.992105137209919E-4</v>
      </c>
      <c r="Y3" s="133"/>
      <c r="AA3" s="1">
        <f>AA2+Z3</f>
        <v>0</v>
      </c>
      <c r="AB3" s="1">
        <f t="shared" ref="AB3:AB66" si="5">(AA3*100) /(35*10^6)</f>
        <v>0</v>
      </c>
      <c r="AC3" s="135"/>
      <c r="AD3" s="3">
        <f>AD2+G3</f>
        <v>26097.071</v>
      </c>
      <c r="AE3" s="1">
        <f t="shared" ref="AE3:AE66" si="6">(AD3*100)/(35*10^6)</f>
        <v>7.456306E-2</v>
      </c>
    </row>
    <row r="4" spans="1:31" x14ac:dyDescent="0.3">
      <c r="A4" s="2">
        <v>44682</v>
      </c>
      <c r="B4" s="3">
        <v>897.67328970967742</v>
      </c>
      <c r="C4" s="3">
        <v>643.93261290322585</v>
      </c>
      <c r="D4" s="3">
        <v>253.74067680645163</v>
      </c>
      <c r="E4" s="3">
        <v>4440.5483870967746</v>
      </c>
      <c r="F4" s="3">
        <v>0</v>
      </c>
      <c r="G4" s="3">
        <v>19961.911</v>
      </c>
      <c r="H4" s="10">
        <v>2.6709056380000004E-3</v>
      </c>
      <c r="I4" s="3">
        <v>137657</v>
      </c>
      <c r="J4" s="3">
        <v>7865.9609810000002</v>
      </c>
      <c r="K4" s="3">
        <v>28.266483999820867</v>
      </c>
      <c r="L4" s="3">
        <v>43.374354218892165</v>
      </c>
      <c r="N4" s="1">
        <f t="shared" si="0"/>
        <v>61</v>
      </c>
      <c r="O4" s="1">
        <f t="shared" si="1"/>
        <v>0.39404849470574238</v>
      </c>
      <c r="P4" s="1">
        <f t="shared" ref="P4:P42" si="7">IF(OR(N6&lt;=0, N4&lt;=0)," ", (O6 - O4) / (LN(N6) - LN(N4)))</f>
        <v>0.75993606688556037</v>
      </c>
      <c r="R4" s="1">
        <f t="shared" si="2"/>
        <v>4.7701762974164145E-3</v>
      </c>
      <c r="T4" s="55" t="s">
        <v>113</v>
      </c>
      <c r="U4" s="1">
        <v>202</v>
      </c>
      <c r="V4" s="1">
        <f t="shared" si="3"/>
        <v>1157</v>
      </c>
      <c r="W4" s="1">
        <f t="shared" ref="W4:W43" si="8">($V$2-V4)/30</f>
        <v>2.0333333333333332</v>
      </c>
      <c r="X4" s="1">
        <f t="shared" si="4"/>
        <v>-1.0020107043034975E-3</v>
      </c>
      <c r="Y4" s="133"/>
      <c r="AA4" s="1">
        <f t="shared" ref="AA4:AA67" si="9">AA3+Z4</f>
        <v>0</v>
      </c>
      <c r="AB4" s="1">
        <f t="shared" si="5"/>
        <v>0</v>
      </c>
      <c r="AC4" s="135"/>
      <c r="AD4" s="3">
        <f t="shared" ref="AD4:AD67" si="10">AD3+G4</f>
        <v>46058.982000000004</v>
      </c>
      <c r="AE4" s="1">
        <f t="shared" si="6"/>
        <v>0.13159709142857143</v>
      </c>
    </row>
    <row r="5" spans="1:31" x14ac:dyDescent="0.3">
      <c r="A5" s="2">
        <v>44713</v>
      </c>
      <c r="B5" s="3">
        <v>818.69444623333334</v>
      </c>
      <c r="C5" s="3">
        <v>530.95643333333328</v>
      </c>
      <c r="D5" s="3">
        <v>287.7380129</v>
      </c>
      <c r="E5" s="3">
        <v>3679.0666666666666</v>
      </c>
      <c r="F5" s="3">
        <v>0</v>
      </c>
      <c r="G5" s="3">
        <v>15928.692999999999</v>
      </c>
      <c r="H5" s="10">
        <v>2.1312606790000002E-3</v>
      </c>
      <c r="I5" s="3">
        <v>110372</v>
      </c>
      <c r="J5" s="3">
        <v>8632.1403869999995</v>
      </c>
      <c r="K5" s="3">
        <v>35.145958815750014</v>
      </c>
      <c r="L5" s="3">
        <v>43.58284798382391</v>
      </c>
      <c r="N5" s="1">
        <f t="shared" si="0"/>
        <v>92</v>
      </c>
      <c r="O5" s="1">
        <f t="shared" si="1"/>
        <v>0.54192395992565123</v>
      </c>
      <c r="P5" s="1">
        <f t="shared" si="7"/>
        <v>1.0533751810902541</v>
      </c>
      <c r="R5" s="1">
        <f t="shared" si="2"/>
        <v>1.2629069231587716E-2</v>
      </c>
      <c r="V5" s="1">
        <f t="shared" si="3"/>
        <v>1126</v>
      </c>
      <c r="W5" s="1">
        <f t="shared" si="8"/>
        <v>3.0666666666666669</v>
      </c>
      <c r="X5" s="1">
        <f t="shared" si="4"/>
        <v>-8.5827022559636478E-4</v>
      </c>
      <c r="Y5" s="133"/>
      <c r="AA5" s="1">
        <f t="shared" si="9"/>
        <v>0</v>
      </c>
      <c r="AB5" s="1">
        <f t="shared" si="5"/>
        <v>0</v>
      </c>
      <c r="AC5" s="135"/>
      <c r="AD5" s="3">
        <f t="shared" si="10"/>
        <v>61987.675000000003</v>
      </c>
      <c r="AE5" s="1">
        <f t="shared" si="6"/>
        <v>0.17710764285714287</v>
      </c>
    </row>
    <row r="6" spans="1:31" x14ac:dyDescent="0.3">
      <c r="A6" s="2">
        <v>44743</v>
      </c>
      <c r="B6" s="3">
        <v>654.93184193548382</v>
      </c>
      <c r="C6" s="3">
        <v>340.9689677419355</v>
      </c>
      <c r="D6" s="3">
        <v>313.96287419354837</v>
      </c>
      <c r="E6" s="3">
        <v>2262.7741935483873</v>
      </c>
      <c r="F6" s="3">
        <v>0</v>
      </c>
      <c r="G6" s="3">
        <v>10570.038</v>
      </c>
      <c r="H6" s="10">
        <v>1.414272118E-3</v>
      </c>
      <c r="I6" s="3">
        <v>70146</v>
      </c>
      <c r="J6" s="3">
        <v>9732.8490999999995</v>
      </c>
      <c r="K6" s="3">
        <v>47.938251599694901</v>
      </c>
      <c r="L6" s="3">
        <v>41.741033551629606</v>
      </c>
      <c r="N6" s="1">
        <f t="shared" si="0"/>
        <v>122</v>
      </c>
      <c r="O6" s="1">
        <f t="shared" si="1"/>
        <v>0.92079603687328271</v>
      </c>
      <c r="P6" s="1">
        <f t="shared" si="7"/>
        <v>2.7212412299638191E-2</v>
      </c>
      <c r="R6" s="1">
        <f t="shared" si="2"/>
        <v>5.0621457503719691E-3</v>
      </c>
      <c r="V6" s="1">
        <f t="shared" si="3"/>
        <v>1096</v>
      </c>
      <c r="W6" s="1">
        <f t="shared" si="8"/>
        <v>4.0666666666666664</v>
      </c>
      <c r="X6" s="1">
        <f t="shared" si="4"/>
        <v>-4.7766767522982326E-4</v>
      </c>
      <c r="Y6" s="133"/>
      <c r="AA6" s="1">
        <f t="shared" si="9"/>
        <v>0</v>
      </c>
      <c r="AB6" s="1">
        <f t="shared" si="5"/>
        <v>0</v>
      </c>
      <c r="AC6" s="135"/>
      <c r="AD6" s="3">
        <f t="shared" si="10"/>
        <v>72557.713000000003</v>
      </c>
      <c r="AE6" s="1">
        <f t="shared" si="6"/>
        <v>0.20730775142857144</v>
      </c>
    </row>
    <row r="7" spans="1:31" x14ac:dyDescent="0.3">
      <c r="A7" s="2">
        <v>44774</v>
      </c>
      <c r="B7" s="3">
        <v>765.71361590322499</v>
      </c>
      <c r="C7" s="3">
        <v>368.53506451612901</v>
      </c>
      <c r="D7" s="3">
        <v>397.17855138709598</v>
      </c>
      <c r="E7" s="3">
        <v>2413.6129032258</v>
      </c>
      <c r="F7" s="3">
        <v>0</v>
      </c>
      <c r="G7" s="3">
        <v>11424.587</v>
      </c>
      <c r="H7" s="10">
        <v>1.528610856E-3</v>
      </c>
      <c r="I7" s="3">
        <v>74822</v>
      </c>
      <c r="J7" s="3">
        <v>12312.535093</v>
      </c>
      <c r="K7" s="3">
        <v>51.870378577320999</v>
      </c>
      <c r="L7" s="3">
        <v>41.193210362877885</v>
      </c>
      <c r="N7" s="1">
        <f t="shared" si="0"/>
        <v>153</v>
      </c>
      <c r="O7" s="1">
        <f>D7/C7</f>
        <v>1.0777225551348137</v>
      </c>
      <c r="P7" s="1">
        <f t="shared" si="7"/>
        <v>-1.5455319769599012E-2</v>
      </c>
      <c r="R7" s="1">
        <f t="shared" si="2"/>
        <v>-4.7014366991861047E-3</v>
      </c>
      <c r="V7" s="1">
        <f t="shared" si="3"/>
        <v>1065</v>
      </c>
      <c r="W7" s="1">
        <f t="shared" si="8"/>
        <v>5.0999999999999996</v>
      </c>
      <c r="X7" s="1">
        <f t="shared" si="4"/>
        <v>-5.6457104640955116E-4</v>
      </c>
      <c r="Y7" s="133"/>
      <c r="AA7" s="1">
        <f t="shared" si="9"/>
        <v>0</v>
      </c>
      <c r="AB7" s="1">
        <f t="shared" si="5"/>
        <v>0</v>
      </c>
      <c r="AC7" s="135"/>
      <c r="AD7" s="3">
        <f t="shared" si="10"/>
        <v>83982.3</v>
      </c>
      <c r="AE7" s="1">
        <f t="shared" si="6"/>
        <v>0.23994942857142856</v>
      </c>
    </row>
    <row r="8" spans="1:31" x14ac:dyDescent="0.3">
      <c r="A8" s="2">
        <v>44805</v>
      </c>
      <c r="B8" s="3">
        <v>686.385228933333</v>
      </c>
      <c r="C8" s="3">
        <v>355.27589999999998</v>
      </c>
      <c r="D8" s="3">
        <v>331.10932893333302</v>
      </c>
      <c r="E8" s="3">
        <v>2337.9666666666599</v>
      </c>
      <c r="F8" s="3">
        <v>0</v>
      </c>
      <c r="G8" s="3">
        <v>10658.277</v>
      </c>
      <c r="H8" s="10">
        <v>1.426078504E-3</v>
      </c>
      <c r="I8" s="3">
        <v>70139</v>
      </c>
      <c r="J8" s="3">
        <v>9933.2798679999996</v>
      </c>
      <c r="K8" s="3">
        <v>48.239576694837801</v>
      </c>
      <c r="L8" s="3">
        <v>41.391332032372588</v>
      </c>
      <c r="N8" s="1">
        <f t="shared" si="0"/>
        <v>184</v>
      </c>
      <c r="O8" s="1">
        <f t="shared" si="1"/>
        <v>0.93197801746004449</v>
      </c>
      <c r="P8" s="1">
        <f t="shared" si="7"/>
        <v>-0.39878645775629901</v>
      </c>
      <c r="R8" s="1">
        <f t="shared" si="2"/>
        <v>4.6852896380948326E-3</v>
      </c>
      <c r="V8" s="1">
        <f t="shared" si="3"/>
        <v>1034</v>
      </c>
      <c r="W8" s="1">
        <f t="shared" si="8"/>
        <v>6.1333333333333337</v>
      </c>
      <c r="X8" s="1">
        <f t="shared" si="4"/>
        <v>-5.4606090263288533E-4</v>
      </c>
      <c r="Y8" s="133"/>
      <c r="AA8" s="1">
        <f t="shared" si="9"/>
        <v>0</v>
      </c>
      <c r="AB8" s="1">
        <f t="shared" si="5"/>
        <v>0</v>
      </c>
      <c r="AC8" s="135"/>
      <c r="AD8" s="3">
        <f t="shared" si="10"/>
        <v>94640.577000000005</v>
      </c>
      <c r="AE8" s="1">
        <f t="shared" si="6"/>
        <v>0.27040164857142862</v>
      </c>
    </row>
    <row r="9" spans="1:31" x14ac:dyDescent="0.3">
      <c r="A9" s="2">
        <v>44835</v>
      </c>
      <c r="B9" s="3">
        <v>650.749984032258</v>
      </c>
      <c r="C9" s="3">
        <v>313.98719354838698</v>
      </c>
      <c r="D9" s="3">
        <v>336.76279048387102</v>
      </c>
      <c r="E9" s="3">
        <v>1932.2903225806399</v>
      </c>
      <c r="F9" s="3">
        <v>0</v>
      </c>
      <c r="G9" s="3">
        <v>9733.6029999999992</v>
      </c>
      <c r="H9" s="10">
        <v>1.302357031E-3</v>
      </c>
      <c r="I9" s="3">
        <v>59901</v>
      </c>
      <c r="J9" s="3">
        <v>10439.646505000001</v>
      </c>
      <c r="K9" s="3">
        <v>51.749949865104796</v>
      </c>
      <c r="L9" s="3">
        <v>38.707692290306063</v>
      </c>
      <c r="N9" s="1">
        <f t="shared" si="0"/>
        <v>214</v>
      </c>
      <c r="O9" s="1">
        <f t="shared" si="1"/>
        <v>1.0725367066028895</v>
      </c>
      <c r="P9" s="1">
        <f t="shared" si="7"/>
        <v>0.38718138584649486</v>
      </c>
      <c r="R9" s="1">
        <f t="shared" si="2"/>
        <v>-8.2174259975865797E-3</v>
      </c>
      <c r="V9" s="1">
        <f t="shared" si="3"/>
        <v>1004</v>
      </c>
      <c r="W9" s="1">
        <f t="shared" si="8"/>
        <v>7.1333333333333337</v>
      </c>
      <c r="X9" s="1">
        <f t="shared" si="4"/>
        <v>-4.3932719402148843E-4</v>
      </c>
      <c r="Y9" s="133"/>
      <c r="AA9" s="1">
        <f t="shared" si="9"/>
        <v>0</v>
      </c>
      <c r="AB9" s="1">
        <f t="shared" si="5"/>
        <v>0</v>
      </c>
      <c r="AC9" s="135"/>
      <c r="AD9" s="3">
        <f t="shared" si="10"/>
        <v>104374.18000000001</v>
      </c>
      <c r="AE9" s="1">
        <f t="shared" si="6"/>
        <v>0.29821194285714286</v>
      </c>
    </row>
    <row r="10" spans="1:31" x14ac:dyDescent="0.3">
      <c r="A10" s="2">
        <v>44866</v>
      </c>
      <c r="B10" s="3">
        <v>538.1996756333333</v>
      </c>
      <c r="C10" s="3">
        <v>296.07256666666666</v>
      </c>
      <c r="D10" s="3">
        <v>242.12710896666667</v>
      </c>
      <c r="E10" s="3">
        <v>1873.4</v>
      </c>
      <c r="F10" s="3">
        <v>0</v>
      </c>
      <c r="G10" s="3">
        <v>8882.1769999999997</v>
      </c>
      <c r="H10" s="10">
        <v>1.188436153E-3</v>
      </c>
      <c r="I10" s="3">
        <v>56202</v>
      </c>
      <c r="J10" s="3">
        <v>7263.8132690000002</v>
      </c>
      <c r="K10" s="3">
        <v>44.988341674814372</v>
      </c>
      <c r="L10" s="3">
        <v>39.798727226444598</v>
      </c>
      <c r="N10" s="1">
        <f t="shared" si="0"/>
        <v>245</v>
      </c>
      <c r="O10" s="1">
        <f t="shared" si="1"/>
        <v>0.81779650067770548</v>
      </c>
      <c r="P10" s="1">
        <f t="shared" si="7"/>
        <v>2.599663434889643</v>
      </c>
      <c r="R10" s="1">
        <f t="shared" si="2"/>
        <v>1.1728113119568435E-2</v>
      </c>
      <c r="V10" s="1">
        <f t="shared" si="3"/>
        <v>973</v>
      </c>
      <c r="W10" s="1">
        <f t="shared" si="8"/>
        <v>8.1666666666666661</v>
      </c>
      <c r="X10" s="1">
        <f t="shared" si="4"/>
        <v>-3.9294643837028292E-4</v>
      </c>
      <c r="Y10" s="133"/>
      <c r="AA10" s="1">
        <f t="shared" si="9"/>
        <v>0</v>
      </c>
      <c r="AB10" s="1">
        <f t="shared" si="5"/>
        <v>0</v>
      </c>
      <c r="AC10" s="135"/>
      <c r="AD10" s="3">
        <f t="shared" si="10"/>
        <v>113256.357</v>
      </c>
      <c r="AE10" s="1">
        <f t="shared" si="6"/>
        <v>0.32358959142857147</v>
      </c>
    </row>
    <row r="11" spans="1:31" x14ac:dyDescent="0.3">
      <c r="A11" s="2">
        <v>44896</v>
      </c>
      <c r="B11" s="3">
        <v>638.64792048387096</v>
      </c>
      <c r="C11" s="3">
        <v>294.35664516129032</v>
      </c>
      <c r="D11" s="3">
        <v>344.29127532258065</v>
      </c>
      <c r="E11" s="3">
        <v>1751.0645161290322</v>
      </c>
      <c r="F11" s="3">
        <v>0</v>
      </c>
      <c r="G11" s="3">
        <v>9125.0560000000005</v>
      </c>
      <c r="H11" s="10">
        <v>1.22093338E-3</v>
      </c>
      <c r="I11" s="3">
        <v>54283</v>
      </c>
      <c r="J11" s="3">
        <v>10673.029535</v>
      </c>
      <c r="K11" s="3">
        <v>53.909402078962174</v>
      </c>
      <c r="L11" s="3">
        <v>37.416670473035992</v>
      </c>
      <c r="N11" s="1">
        <f t="shared" si="0"/>
        <v>275</v>
      </c>
      <c r="O11" s="1">
        <f t="shared" si="1"/>
        <v>1.1696398942647586</v>
      </c>
      <c r="P11" s="1">
        <f t="shared" si="7"/>
        <v>1.7892537381769638</v>
      </c>
      <c r="R11" s="1">
        <f t="shared" si="2"/>
        <v>7.2945708580033387E-3</v>
      </c>
      <c r="V11" s="1">
        <f t="shared" si="3"/>
        <v>943</v>
      </c>
      <c r="W11" s="1">
        <f t="shared" si="8"/>
        <v>9.1666666666666661</v>
      </c>
      <c r="X11" s="1">
        <f t="shared" si="4"/>
        <v>-3.9928357744624756E-4</v>
      </c>
      <c r="Y11" s="133"/>
      <c r="AA11" s="1">
        <f t="shared" si="9"/>
        <v>0</v>
      </c>
      <c r="AB11" s="1">
        <f t="shared" si="5"/>
        <v>0</v>
      </c>
      <c r="AC11" s="135"/>
      <c r="AD11" s="3">
        <f t="shared" si="10"/>
        <v>122381.413</v>
      </c>
      <c r="AE11" s="1">
        <f t="shared" si="6"/>
        <v>0.34966118000000002</v>
      </c>
    </row>
    <row r="12" spans="1:31" x14ac:dyDescent="0.3">
      <c r="A12" s="2">
        <v>44927</v>
      </c>
      <c r="B12" s="3">
        <v>725.71306480645103</v>
      </c>
      <c r="C12" s="3">
        <v>302.91412903225802</v>
      </c>
      <c r="D12" s="3">
        <v>422.79893577419301</v>
      </c>
      <c r="E12" s="3">
        <v>1769.96774193548</v>
      </c>
      <c r="F12" s="3">
        <v>0</v>
      </c>
      <c r="G12" s="3">
        <v>9390.3379999999997</v>
      </c>
      <c r="H12" s="10">
        <v>1.2564281380000001E-3</v>
      </c>
      <c r="I12" s="3">
        <v>54869</v>
      </c>
      <c r="J12" s="3">
        <v>13106.767008999999</v>
      </c>
      <c r="K12" s="3">
        <v>58.259793887954118</v>
      </c>
      <c r="L12" s="3">
        <v>36.752142063469918</v>
      </c>
      <c r="N12" s="1">
        <f t="shared" si="0"/>
        <v>306</v>
      </c>
      <c r="O12" s="1">
        <f t="shared" si="1"/>
        <v>1.3957715908628621</v>
      </c>
      <c r="P12" s="1">
        <f t="shared" si="7"/>
        <v>1.4845779467565605</v>
      </c>
      <c r="R12" s="1">
        <f t="shared" si="2"/>
        <v>4.4401535500179189E-3</v>
      </c>
      <c r="V12" s="1">
        <f t="shared" si="3"/>
        <v>912</v>
      </c>
      <c r="W12" s="1">
        <f t="shared" si="8"/>
        <v>10.199999999999999</v>
      </c>
      <c r="X12" s="1">
        <f t="shared" si="4"/>
        <v>-4.442781418950389E-4</v>
      </c>
      <c r="Y12" s="133"/>
      <c r="AA12" s="1">
        <f t="shared" si="9"/>
        <v>0</v>
      </c>
      <c r="AB12" s="1">
        <f t="shared" si="5"/>
        <v>0</v>
      </c>
      <c r="AC12" s="135"/>
      <c r="AD12" s="3">
        <f t="shared" si="10"/>
        <v>131771.75099999999</v>
      </c>
      <c r="AE12" s="1">
        <f t="shared" si="6"/>
        <v>0.37649071714285715</v>
      </c>
    </row>
    <row r="13" spans="1:31" x14ac:dyDescent="0.3">
      <c r="A13" s="2">
        <v>44958</v>
      </c>
      <c r="B13" s="3">
        <v>766.28298653571403</v>
      </c>
      <c r="C13" s="3">
        <v>302.47021428571401</v>
      </c>
      <c r="D13" s="3">
        <v>463.812772249999</v>
      </c>
      <c r="E13" s="3">
        <v>1839.07142857142</v>
      </c>
      <c r="F13" s="3">
        <v>0</v>
      </c>
      <c r="G13" s="3">
        <v>8469.1659999999993</v>
      </c>
      <c r="H13" s="10">
        <v>1.1331752409999901E-3</v>
      </c>
      <c r="I13" s="3">
        <v>51494</v>
      </c>
      <c r="J13" s="3">
        <v>12986.757623</v>
      </c>
      <c r="K13" s="3">
        <v>60.527609303561512</v>
      </c>
      <c r="L13" s="3">
        <v>38.243076260401558</v>
      </c>
      <c r="N13" s="1">
        <f t="shared" si="0"/>
        <v>337</v>
      </c>
      <c r="O13" s="1">
        <f t="shared" si="1"/>
        <v>1.5334163509134175</v>
      </c>
      <c r="P13" s="1">
        <f t="shared" si="7"/>
        <v>0.11758299674768886</v>
      </c>
      <c r="R13" s="1">
        <f t="shared" si="2"/>
        <v>4.4323043022321583E-3</v>
      </c>
      <c r="V13" s="1">
        <f t="shared" si="3"/>
        <v>881</v>
      </c>
      <c r="W13" s="1">
        <f t="shared" si="8"/>
        <v>11.233333333333333</v>
      </c>
      <c r="X13" s="1">
        <f t="shared" si="4"/>
        <v>-4.5824643592563537E-4</v>
      </c>
      <c r="Y13" s="133"/>
      <c r="AA13" s="1">
        <f t="shared" si="9"/>
        <v>0</v>
      </c>
      <c r="AB13" s="1">
        <f t="shared" si="5"/>
        <v>0</v>
      </c>
      <c r="AC13" s="135"/>
      <c r="AD13" s="3">
        <f t="shared" si="10"/>
        <v>140240.91699999999</v>
      </c>
      <c r="AE13" s="1">
        <f t="shared" si="6"/>
        <v>0.40068833428571426</v>
      </c>
    </row>
    <row r="14" spans="1:31" x14ac:dyDescent="0.3">
      <c r="A14" s="2">
        <v>44986</v>
      </c>
      <c r="B14" s="3">
        <v>813.58389819354795</v>
      </c>
      <c r="C14" s="3">
        <v>306.14393548387</v>
      </c>
      <c r="D14" s="3">
        <v>507.43996270967699</v>
      </c>
      <c r="E14" s="3">
        <v>1781.1290322580601</v>
      </c>
      <c r="F14" s="3">
        <v>0</v>
      </c>
      <c r="G14" s="3">
        <v>9490.4619999999995</v>
      </c>
      <c r="H14" s="10">
        <v>1.269824739E-3</v>
      </c>
      <c r="I14" s="3">
        <v>55215</v>
      </c>
      <c r="J14" s="3">
        <v>15730.638843999999</v>
      </c>
      <c r="K14" s="3">
        <v>62.370944635996153</v>
      </c>
      <c r="L14" s="3">
        <v>36.593719778868511</v>
      </c>
      <c r="N14" s="1">
        <f t="shared" si="0"/>
        <v>365</v>
      </c>
      <c r="O14" s="1">
        <f t="shared" si="1"/>
        <v>1.657520871375918</v>
      </c>
      <c r="P14" s="1">
        <f t="shared" si="7"/>
        <v>-1.12353407655903</v>
      </c>
      <c r="R14" s="1">
        <f t="shared" si="2"/>
        <v>-3.3914420962866481E-3</v>
      </c>
      <c r="V14" s="1">
        <f t="shared" si="3"/>
        <v>853</v>
      </c>
      <c r="W14" s="1">
        <f t="shared" si="8"/>
        <v>12.166666666666666</v>
      </c>
      <c r="X14" s="1">
        <f t="shared" si="4"/>
        <v>-4.8744158423994659E-4</v>
      </c>
      <c r="Y14" s="133"/>
      <c r="AA14" s="1">
        <f t="shared" si="9"/>
        <v>0</v>
      </c>
      <c r="AB14" s="1">
        <f t="shared" si="5"/>
        <v>0</v>
      </c>
      <c r="AC14" s="135"/>
      <c r="AD14" s="3">
        <f t="shared" si="10"/>
        <v>149731.37899999999</v>
      </c>
      <c r="AE14" s="1">
        <f t="shared" si="6"/>
        <v>0.42780393999999994</v>
      </c>
    </row>
    <row r="15" spans="1:31" x14ac:dyDescent="0.3">
      <c r="A15" s="2">
        <v>45017</v>
      </c>
      <c r="B15" s="3">
        <v>708.68941723333296</v>
      </c>
      <c r="C15" s="3">
        <v>277.65759999999898</v>
      </c>
      <c r="D15" s="3">
        <v>431.03181723333302</v>
      </c>
      <c r="E15" s="3">
        <v>1654.4666666666601</v>
      </c>
      <c r="F15" s="3">
        <v>0</v>
      </c>
      <c r="G15" s="3">
        <v>8329.7279999999992</v>
      </c>
      <c r="H15" s="10">
        <v>1.1145184199999999E-3</v>
      </c>
      <c r="I15" s="3">
        <v>49634</v>
      </c>
      <c r="J15" s="3">
        <v>12930.954517</v>
      </c>
      <c r="K15" s="3">
        <v>60.820975557395364</v>
      </c>
      <c r="L15" s="3">
        <v>37.478766797667348</v>
      </c>
      <c r="N15" s="1">
        <f t="shared" si="0"/>
        <v>396</v>
      </c>
      <c r="O15" s="1">
        <f t="shared" si="1"/>
        <v>1.5523861663910319</v>
      </c>
      <c r="P15" s="1">
        <f t="shared" si="7"/>
        <v>2.7250907963507118</v>
      </c>
      <c r="R15" s="1">
        <f t="shared" si="2"/>
        <v>-2.2832830019386447E-3</v>
      </c>
      <c r="V15" s="1">
        <f t="shared" si="3"/>
        <v>822</v>
      </c>
      <c r="W15" s="1">
        <f t="shared" si="8"/>
        <v>13.2</v>
      </c>
      <c r="X15" s="1">
        <f t="shared" si="4"/>
        <v>-3.87008518860313E-4</v>
      </c>
      <c r="Y15" s="133"/>
      <c r="AA15" s="1">
        <f t="shared" si="9"/>
        <v>0</v>
      </c>
      <c r="AB15" s="1">
        <f t="shared" si="5"/>
        <v>0</v>
      </c>
      <c r="AC15" s="135"/>
      <c r="AD15" s="3">
        <f t="shared" si="10"/>
        <v>158061.10699999999</v>
      </c>
      <c r="AE15" s="1">
        <f t="shared" si="6"/>
        <v>0.45160316285714286</v>
      </c>
    </row>
    <row r="16" spans="1:31" x14ac:dyDescent="0.3">
      <c r="A16" s="2">
        <v>45047</v>
      </c>
      <c r="B16" s="3">
        <v>626.32597903225803</v>
      </c>
      <c r="C16" s="3">
        <v>252.15551612903226</v>
      </c>
      <c r="D16" s="3">
        <v>374.17046290322583</v>
      </c>
      <c r="E16" s="3">
        <v>1501.2903225806451</v>
      </c>
      <c r="F16" s="3">
        <v>0</v>
      </c>
      <c r="G16" s="3">
        <v>7816.8209999999999</v>
      </c>
      <c r="H16" s="10">
        <v>1.0458914120000001E-3</v>
      </c>
      <c r="I16" s="3">
        <v>46540</v>
      </c>
      <c r="J16" s="3">
        <v>11599.28435</v>
      </c>
      <c r="K16" s="3">
        <v>59.740530559080426</v>
      </c>
      <c r="L16" s="3">
        <v>37.448381125779903</v>
      </c>
      <c r="N16" s="1">
        <f t="shared" si="0"/>
        <v>426</v>
      </c>
      <c r="O16" s="1">
        <f t="shared" si="1"/>
        <v>1.4838876763328726</v>
      </c>
      <c r="P16" s="1">
        <f t="shared" si="7"/>
        <v>1.486388185040828</v>
      </c>
      <c r="R16" s="1">
        <f t="shared" si="2"/>
        <v>1.4803871383712563E-2</v>
      </c>
      <c r="V16" s="1">
        <f t="shared" si="3"/>
        <v>792</v>
      </c>
      <c r="W16" s="1">
        <f t="shared" si="8"/>
        <v>14.2</v>
      </c>
      <c r="X16" s="1">
        <f t="shared" si="4"/>
        <v>-2.8002314048170755E-4</v>
      </c>
      <c r="Y16" s="133"/>
      <c r="AA16" s="1">
        <f t="shared" si="9"/>
        <v>0</v>
      </c>
      <c r="AB16" s="1">
        <f t="shared" si="5"/>
        <v>0</v>
      </c>
      <c r="AC16" s="135"/>
      <c r="AD16" s="3">
        <f t="shared" si="10"/>
        <v>165877.92799999999</v>
      </c>
      <c r="AE16" s="1">
        <f t="shared" si="6"/>
        <v>0.47393693714285712</v>
      </c>
    </row>
    <row r="17" spans="1:31" x14ac:dyDescent="0.3">
      <c r="A17" s="2">
        <v>45078</v>
      </c>
      <c r="B17" s="3">
        <v>822.0098614333333</v>
      </c>
      <c r="C17" s="3">
        <v>279.32843333333329</v>
      </c>
      <c r="D17" s="3">
        <v>542.68142810000006</v>
      </c>
      <c r="E17" s="3">
        <v>1573.5</v>
      </c>
      <c r="F17" s="3">
        <v>0</v>
      </c>
      <c r="G17" s="3">
        <v>8379.8529999999992</v>
      </c>
      <c r="H17" s="10">
        <v>1.1212251480000001E-3</v>
      </c>
      <c r="I17" s="3">
        <v>47205</v>
      </c>
      <c r="J17" s="3">
        <v>16280.442843000001</v>
      </c>
      <c r="K17" s="3">
        <v>66.01884643497219</v>
      </c>
      <c r="L17" s="3">
        <v>35.431410192995031</v>
      </c>
      <c r="N17" s="1">
        <f t="shared" si="0"/>
        <v>457</v>
      </c>
      <c r="O17" s="1">
        <f t="shared" si="1"/>
        <v>1.942807689227962</v>
      </c>
      <c r="P17" s="1">
        <f t="shared" si="7"/>
        <v>-1.7532079312599105</v>
      </c>
      <c r="R17" s="1">
        <f t="shared" si="2"/>
        <v>-8.666814859139841E-3</v>
      </c>
      <c r="V17" s="1">
        <f t="shared" si="3"/>
        <v>761</v>
      </c>
      <c r="W17" s="1">
        <f t="shared" si="8"/>
        <v>15.233333333333333</v>
      </c>
      <c r="X17" s="1">
        <f t="shared" si="4"/>
        <v>-4.2591402430065714E-4</v>
      </c>
      <c r="Y17" s="133"/>
      <c r="AA17" s="1">
        <f t="shared" si="9"/>
        <v>0</v>
      </c>
      <c r="AB17" s="1">
        <f t="shared" si="5"/>
        <v>0</v>
      </c>
      <c r="AC17" s="135"/>
      <c r="AD17" s="3">
        <f t="shared" si="10"/>
        <v>174257.78099999999</v>
      </c>
      <c r="AE17" s="1">
        <f t="shared" si="6"/>
        <v>0.49787937428571422</v>
      </c>
    </row>
    <row r="18" spans="1:31" x14ac:dyDescent="0.3">
      <c r="A18" s="2">
        <v>45108</v>
      </c>
      <c r="B18" s="3">
        <v>716.83498777419356</v>
      </c>
      <c r="C18" s="3">
        <v>267.19625806451614</v>
      </c>
      <c r="D18" s="3">
        <v>449.63872970967742</v>
      </c>
      <c r="E18" s="3">
        <v>1343.1935483870968</v>
      </c>
      <c r="F18" s="3">
        <v>0</v>
      </c>
      <c r="G18" s="3">
        <v>8283.0840000000007</v>
      </c>
      <c r="H18" s="10">
        <v>1.1082774480000001E-3</v>
      </c>
      <c r="I18" s="3">
        <v>41639</v>
      </c>
      <c r="J18" s="3">
        <v>13938.800621</v>
      </c>
      <c r="K18" s="3">
        <v>62.725555724592475</v>
      </c>
      <c r="L18" s="3">
        <v>31.618776557137412</v>
      </c>
      <c r="N18" s="1">
        <f t="shared" si="0"/>
        <v>487</v>
      </c>
      <c r="O18" s="1">
        <f t="shared" si="1"/>
        <v>1.6828032434537668</v>
      </c>
      <c r="P18" s="1">
        <f t="shared" si="7"/>
        <v>0.72540486724712328</v>
      </c>
      <c r="R18" s="1">
        <f t="shared" si="2"/>
        <v>1.3013476851081488E-3</v>
      </c>
      <c r="V18" s="1">
        <f t="shared" si="3"/>
        <v>731</v>
      </c>
      <c r="W18" s="1">
        <f t="shared" si="8"/>
        <v>16.233333333333334</v>
      </c>
      <c r="X18" s="1">
        <f t="shared" si="4"/>
        <v>-3.8264807101731895E-4</v>
      </c>
      <c r="Y18" s="133"/>
      <c r="AA18" s="1">
        <f t="shared" si="9"/>
        <v>0</v>
      </c>
      <c r="AB18" s="1">
        <f t="shared" si="5"/>
        <v>0</v>
      </c>
      <c r="AC18" s="135"/>
      <c r="AD18" s="3">
        <f t="shared" si="10"/>
        <v>182540.86499999999</v>
      </c>
      <c r="AE18" s="1">
        <f t="shared" si="6"/>
        <v>0.52154532857142855</v>
      </c>
    </row>
    <row r="19" spans="1:31" x14ac:dyDescent="0.3">
      <c r="A19" s="2">
        <v>45139</v>
      </c>
      <c r="B19" s="3">
        <v>609.59946729032254</v>
      </c>
      <c r="C19" s="3">
        <v>223.8586129032258</v>
      </c>
      <c r="D19" s="3">
        <v>385.74085438709676</v>
      </c>
      <c r="E19" s="3">
        <v>815.64516129032256</v>
      </c>
      <c r="F19" s="3">
        <v>0</v>
      </c>
      <c r="G19" s="3">
        <v>6939.6170000000002</v>
      </c>
      <c r="H19" s="10">
        <v>9.2852142999999999E-4</v>
      </c>
      <c r="I19" s="3">
        <v>25285</v>
      </c>
      <c r="J19" s="3">
        <v>11957.966485999999</v>
      </c>
      <c r="K19" s="3">
        <v>63.27775450686002</v>
      </c>
      <c r="L19" s="3">
        <v>22.917344429815074</v>
      </c>
      <c r="N19" s="1">
        <f t="shared" si="0"/>
        <v>518</v>
      </c>
      <c r="O19" s="1">
        <f t="shared" si="1"/>
        <v>1.7231450216921194</v>
      </c>
      <c r="P19" s="1">
        <f t="shared" si="7"/>
        <v>-1.091312519429976</v>
      </c>
      <c r="R19" s="1">
        <f t="shared" si="2"/>
        <v>1.5027941810255448E-3</v>
      </c>
      <c r="V19" s="1">
        <f t="shared" si="3"/>
        <v>700</v>
      </c>
      <c r="W19" s="1">
        <f t="shared" si="8"/>
        <v>17.266666666666666</v>
      </c>
      <c r="X19" s="1">
        <f t="shared" si="4"/>
        <v>-1.4678137538819759E-4</v>
      </c>
      <c r="Y19" s="133"/>
      <c r="AA19" s="1">
        <f t="shared" si="9"/>
        <v>0</v>
      </c>
      <c r="AB19" s="1">
        <f t="shared" si="5"/>
        <v>0</v>
      </c>
      <c r="AC19" s="135"/>
      <c r="AD19" s="3">
        <f t="shared" si="10"/>
        <v>189480.48199999999</v>
      </c>
      <c r="AE19" s="1">
        <f t="shared" si="6"/>
        <v>0.5413728057142857</v>
      </c>
    </row>
    <row r="20" spans="1:31" x14ac:dyDescent="0.3">
      <c r="A20" s="2">
        <v>45170</v>
      </c>
      <c r="B20" s="3">
        <v>574.23461253333335</v>
      </c>
      <c r="C20" s="3">
        <v>207.32499999999999</v>
      </c>
      <c r="D20" s="3">
        <v>366.90961253333336</v>
      </c>
      <c r="E20" s="3">
        <v>672.4666666666667</v>
      </c>
      <c r="F20" s="3">
        <v>0</v>
      </c>
      <c r="G20" s="3">
        <v>6219.75</v>
      </c>
      <c r="H20" s="10">
        <v>8.3220315600000003E-4</v>
      </c>
      <c r="I20" s="3">
        <v>20174</v>
      </c>
      <c r="J20" s="3">
        <v>11007.288376</v>
      </c>
      <c r="K20" s="3">
        <v>63.895419141428867</v>
      </c>
      <c r="L20" s="3">
        <v>20.401209887857227</v>
      </c>
      <c r="N20" s="1">
        <f t="shared" si="0"/>
        <v>549</v>
      </c>
      <c r="O20" s="1">
        <f t="shared" si="1"/>
        <v>1.7697316413039113</v>
      </c>
      <c r="P20" s="1">
        <f t="shared" si="7"/>
        <v>-0.65570341083188877</v>
      </c>
      <c r="R20" s="1">
        <f t="shared" si="2"/>
        <v>-5.6026475087651798E-3</v>
      </c>
      <c r="V20" s="1">
        <f t="shared" si="3"/>
        <v>669</v>
      </c>
      <c r="W20" s="1">
        <f t="shared" si="8"/>
        <v>18.3</v>
      </c>
      <c r="X20" s="1">
        <f t="shared" si="4"/>
        <v>-3.8893741309510625E-5</v>
      </c>
      <c r="Y20" s="133"/>
      <c r="AA20" s="1">
        <f t="shared" si="9"/>
        <v>0</v>
      </c>
      <c r="AB20" s="1">
        <f t="shared" si="5"/>
        <v>0</v>
      </c>
      <c r="AC20" s="135"/>
      <c r="AD20" s="3">
        <f t="shared" si="10"/>
        <v>195700.23199999999</v>
      </c>
      <c r="AE20" s="1">
        <f t="shared" si="6"/>
        <v>0.55914352</v>
      </c>
    </row>
    <row r="21" spans="1:31" x14ac:dyDescent="0.3">
      <c r="A21" s="2">
        <v>45200</v>
      </c>
      <c r="B21" s="3">
        <v>666.67052693548385</v>
      </c>
      <c r="C21" s="3">
        <v>256.24890322580649</v>
      </c>
      <c r="D21" s="3">
        <v>410.42162370967742</v>
      </c>
      <c r="E21" s="3">
        <v>994.35483870967744</v>
      </c>
      <c r="F21" s="3">
        <v>0</v>
      </c>
      <c r="G21" s="3">
        <v>7943.7160000000003</v>
      </c>
      <c r="H21" s="10">
        <v>1.0628699750000001E-3</v>
      </c>
      <c r="I21" s="3">
        <v>30825</v>
      </c>
      <c r="J21" s="3">
        <v>12723.070335</v>
      </c>
      <c r="K21" s="3">
        <v>61.562887082511665</v>
      </c>
      <c r="L21" s="3">
        <v>24.407101789641018</v>
      </c>
      <c r="N21" s="1">
        <f t="shared" si="0"/>
        <v>579</v>
      </c>
      <c r="O21" s="1">
        <f t="shared" si="1"/>
        <v>1.6016522160409559</v>
      </c>
      <c r="P21" s="1">
        <f t="shared" si="7"/>
        <v>7.0667770448398866</v>
      </c>
      <c r="R21" s="1">
        <f t="shared" si="2"/>
        <v>3.1933605090036046E-3</v>
      </c>
      <c r="V21" s="1">
        <f t="shared" si="3"/>
        <v>639</v>
      </c>
      <c r="W21" s="1">
        <f t="shared" si="8"/>
        <v>19.3</v>
      </c>
      <c r="X21" s="1">
        <f t="shared" si="4"/>
        <v>-3.7227160085733933E-4</v>
      </c>
      <c r="Y21" s="133"/>
      <c r="AA21" s="1">
        <f t="shared" si="9"/>
        <v>0</v>
      </c>
      <c r="AB21" s="1">
        <f t="shared" si="5"/>
        <v>0</v>
      </c>
      <c r="AC21" s="135"/>
      <c r="AD21" s="3">
        <f t="shared" si="10"/>
        <v>203643.94799999997</v>
      </c>
      <c r="AE21" s="1">
        <f t="shared" si="6"/>
        <v>0.58183985142857131</v>
      </c>
    </row>
    <row r="22" spans="1:31" x14ac:dyDescent="0.3">
      <c r="A22" s="2">
        <v>45231</v>
      </c>
      <c r="B22" s="3">
        <v>732.92671386666666</v>
      </c>
      <c r="C22" s="3">
        <v>271.38936666666666</v>
      </c>
      <c r="D22" s="3">
        <v>461.5373472</v>
      </c>
      <c r="E22" s="3">
        <v>1511.7666666666667</v>
      </c>
      <c r="F22" s="3">
        <v>0</v>
      </c>
      <c r="G22" s="3">
        <v>8141.6809999999996</v>
      </c>
      <c r="H22" s="10">
        <v>1.089357714E-3</v>
      </c>
      <c r="I22" s="3">
        <v>45353</v>
      </c>
      <c r="J22" s="3">
        <v>13846.120416</v>
      </c>
      <c r="K22" s="3">
        <v>62.97182766952092</v>
      </c>
      <c r="L22" s="3">
        <v>35.03715011678792</v>
      </c>
      <c r="N22" s="1">
        <f t="shared" si="0"/>
        <v>610</v>
      </c>
      <c r="O22" s="1">
        <f t="shared" si="1"/>
        <v>1.7006463918200676</v>
      </c>
      <c r="P22" s="1">
        <f t="shared" si="7"/>
        <v>11.452346042942455</v>
      </c>
      <c r="R22" s="1">
        <f t="shared" si="2"/>
        <v>2.0295149501494653E-2</v>
      </c>
      <c r="V22" s="1">
        <f t="shared" si="3"/>
        <v>608</v>
      </c>
      <c r="W22" s="1">
        <f t="shared" si="8"/>
        <v>20.333333333333332</v>
      </c>
      <c r="X22" s="1">
        <f t="shared" si="4"/>
        <v>-4.8566919353497357E-4</v>
      </c>
      <c r="Y22" s="133"/>
      <c r="AA22" s="1">
        <f t="shared" si="9"/>
        <v>0</v>
      </c>
      <c r="AB22" s="1">
        <f t="shared" si="5"/>
        <v>0</v>
      </c>
      <c r="AC22" s="135"/>
      <c r="AD22" s="3">
        <f t="shared" si="10"/>
        <v>211785.62899999999</v>
      </c>
      <c r="AE22" s="1">
        <f t="shared" si="6"/>
        <v>0.60510179714285706</v>
      </c>
    </row>
    <row r="23" spans="1:31" x14ac:dyDescent="0.3">
      <c r="A23" s="2">
        <v>45261</v>
      </c>
      <c r="B23" s="3">
        <v>794.96506361290324</v>
      </c>
      <c r="C23" s="3">
        <v>240.20693548387098</v>
      </c>
      <c r="D23" s="3">
        <v>554.75812812903223</v>
      </c>
      <c r="E23" s="3">
        <v>2789.483870967742</v>
      </c>
      <c r="F23" s="3">
        <v>0</v>
      </c>
      <c r="G23" s="3">
        <v>7446.415</v>
      </c>
      <c r="H23" s="10">
        <v>9.9633105700000003E-4</v>
      </c>
      <c r="I23" s="3">
        <v>86474</v>
      </c>
      <c r="J23" s="3">
        <v>17197.501971999998</v>
      </c>
      <c r="K23" s="3">
        <v>69.78396328611035</v>
      </c>
      <c r="L23" s="3">
        <v>73.042419096974839</v>
      </c>
      <c r="N23" s="1">
        <f t="shared" si="0"/>
        <v>640</v>
      </c>
      <c r="O23" s="1">
        <f t="shared" si="1"/>
        <v>2.3095008768649072</v>
      </c>
      <c r="P23" s="1">
        <f t="shared" si="7"/>
        <v>0.39126510260119385</v>
      </c>
      <c r="R23" s="1">
        <f t="shared" si="2"/>
        <v>1.5570021789979131E-2</v>
      </c>
      <c r="V23" s="1">
        <f t="shared" si="3"/>
        <v>578</v>
      </c>
      <c r="W23" s="1">
        <f t="shared" si="8"/>
        <v>21.333333333333332</v>
      </c>
      <c r="X23" s="1">
        <f t="shared" si="4"/>
        <v>-2.9971122078860038E-4</v>
      </c>
      <c r="Y23" s="133"/>
      <c r="AA23" s="1">
        <f t="shared" si="9"/>
        <v>0</v>
      </c>
      <c r="AB23" s="1">
        <f t="shared" si="5"/>
        <v>0</v>
      </c>
      <c r="AC23" s="135"/>
      <c r="AD23" s="3">
        <f t="shared" si="10"/>
        <v>219232.04399999999</v>
      </c>
      <c r="AE23" s="1">
        <f t="shared" si="6"/>
        <v>0.6263772685714285</v>
      </c>
    </row>
    <row r="24" spans="1:31" x14ac:dyDescent="0.3">
      <c r="A24" s="2">
        <v>45292</v>
      </c>
      <c r="B24" s="3">
        <v>838.45769319354838</v>
      </c>
      <c r="C24" s="3">
        <v>221.10225806451612</v>
      </c>
      <c r="D24" s="3">
        <v>617.35543512903223</v>
      </c>
      <c r="E24" s="3">
        <v>2828.6451612903224</v>
      </c>
      <c r="F24" s="3">
        <v>0</v>
      </c>
      <c r="G24" s="3">
        <v>6854.17</v>
      </c>
      <c r="H24" s="10">
        <v>9.1708861399999997E-4</v>
      </c>
      <c r="I24" s="3">
        <v>87688</v>
      </c>
      <c r="J24" s="3">
        <v>19138.018488999998</v>
      </c>
      <c r="K24" s="3">
        <v>73.629884982941263</v>
      </c>
      <c r="L24" s="3">
        <v>80.467800244230872</v>
      </c>
      <c r="N24" s="1">
        <f t="shared" si="0"/>
        <v>671</v>
      </c>
      <c r="O24" s="1">
        <f t="shared" si="1"/>
        <v>2.7921715523542603</v>
      </c>
      <c r="P24" s="1">
        <f t="shared" si="7"/>
        <v>-4.85196987145744</v>
      </c>
      <c r="R24" s="1">
        <f t="shared" si="2"/>
        <v>-1.4402976087006086E-2</v>
      </c>
      <c r="V24" s="1">
        <f t="shared" si="3"/>
        <v>547</v>
      </c>
      <c r="W24" s="1">
        <f t="shared" si="8"/>
        <v>22.366666666666667</v>
      </c>
      <c r="X24" s="1">
        <f t="shared" si="4"/>
        <v>-1.6518757454357799E-4</v>
      </c>
      <c r="Y24" s="133"/>
      <c r="AA24" s="1">
        <f t="shared" si="9"/>
        <v>0</v>
      </c>
      <c r="AB24" s="1">
        <f t="shared" si="5"/>
        <v>0</v>
      </c>
      <c r="AC24" s="135"/>
      <c r="AD24" s="3">
        <f t="shared" si="10"/>
        <v>226086.21400000001</v>
      </c>
      <c r="AE24" s="1">
        <f t="shared" si="6"/>
        <v>0.64596061142857153</v>
      </c>
    </row>
    <row r="25" spans="1:31" x14ac:dyDescent="0.3">
      <c r="A25" s="2">
        <v>45323</v>
      </c>
      <c r="B25" s="3">
        <v>815.82266799999991</v>
      </c>
      <c r="C25" s="3">
        <v>243.8436551724138</v>
      </c>
      <c r="D25" s="3">
        <v>571.97901282758619</v>
      </c>
      <c r="E25" s="3">
        <v>2889.9655172413795</v>
      </c>
      <c r="F25" s="3">
        <v>0</v>
      </c>
      <c r="G25" s="3">
        <v>7071.4660000000003</v>
      </c>
      <c r="H25" s="10">
        <v>9.4616283499999998E-4</v>
      </c>
      <c r="I25" s="3">
        <v>83809</v>
      </c>
      <c r="J25" s="3">
        <v>16587.391371999998</v>
      </c>
      <c r="K25" s="3">
        <v>70.11070362016298</v>
      </c>
      <c r="L25" s="3">
        <v>74.54491730569022</v>
      </c>
      <c r="N25" s="1">
        <f t="shared" si="0"/>
        <v>702</v>
      </c>
      <c r="O25" s="1">
        <f t="shared" si="1"/>
        <v>2.3456792936570716</v>
      </c>
      <c r="P25" s="1">
        <f t="shared" si="7"/>
        <v>-0.92445512594978663</v>
      </c>
      <c r="R25" s="1">
        <f t="shared" si="2"/>
        <v>1.0671925833272528E-3</v>
      </c>
      <c r="V25" s="1">
        <f t="shared" si="3"/>
        <v>516</v>
      </c>
      <c r="W25" s="1">
        <f t="shared" si="8"/>
        <v>23.4</v>
      </c>
      <c r="X25" s="1">
        <f t="shared" si="4"/>
        <v>-3.6484411827340118E-4</v>
      </c>
      <c r="Y25" s="133"/>
      <c r="AA25" s="1">
        <f t="shared" si="9"/>
        <v>0</v>
      </c>
      <c r="AB25" s="1">
        <f t="shared" si="5"/>
        <v>0</v>
      </c>
      <c r="AC25" s="135"/>
      <c r="AD25" s="3">
        <f t="shared" si="10"/>
        <v>233157.68</v>
      </c>
      <c r="AE25" s="1">
        <f t="shared" si="6"/>
        <v>0.6661648</v>
      </c>
    </row>
    <row r="26" spans="1:31" x14ac:dyDescent="0.3">
      <c r="A26" s="2">
        <v>45352</v>
      </c>
      <c r="B26" s="3">
        <v>846.44360025806452</v>
      </c>
      <c r="C26" s="3">
        <v>250.67719354838712</v>
      </c>
      <c r="D26" s="3">
        <v>595.76640670967743</v>
      </c>
      <c r="E26" s="3">
        <v>1908.1935483870968</v>
      </c>
      <c r="F26" s="3">
        <v>0</v>
      </c>
      <c r="G26" s="3">
        <v>7770.9930000000004</v>
      </c>
      <c r="H26" s="10">
        <v>1.039759621E-3</v>
      </c>
      <c r="I26" s="3">
        <v>59154</v>
      </c>
      <c r="J26" s="3">
        <v>18468.758608</v>
      </c>
      <c r="K26" s="3">
        <v>70.384654869862516</v>
      </c>
      <c r="L26" s="3">
        <v>47.878929912818087</v>
      </c>
      <c r="N26" s="1">
        <f t="shared" si="0"/>
        <v>731</v>
      </c>
      <c r="O26" s="1">
        <f t="shared" si="1"/>
        <v>2.3766278785735619</v>
      </c>
      <c r="P26" s="1">
        <f t="shared" si="7"/>
        <v>10.488042985608756</v>
      </c>
      <c r="R26" s="1">
        <f t="shared" si="2"/>
        <v>-3.4440665601499104E-3</v>
      </c>
      <c r="V26" s="1">
        <f t="shared" si="3"/>
        <v>487</v>
      </c>
      <c r="W26" s="1">
        <f t="shared" si="8"/>
        <v>24.366666666666667</v>
      </c>
      <c r="X26" s="1">
        <f t="shared" si="4"/>
        <v>-4.4332306475875936E-4</v>
      </c>
      <c r="Y26" s="133"/>
      <c r="AA26" s="1">
        <f t="shared" si="9"/>
        <v>0</v>
      </c>
      <c r="AB26" s="1">
        <f t="shared" si="5"/>
        <v>0</v>
      </c>
      <c r="AC26" s="135"/>
      <c r="AD26" s="3">
        <f t="shared" si="10"/>
        <v>240928.67299999998</v>
      </c>
      <c r="AE26" s="1">
        <f t="shared" si="6"/>
        <v>0.68836763714285709</v>
      </c>
    </row>
    <row r="27" spans="1:31" x14ac:dyDescent="0.3">
      <c r="A27" s="2">
        <v>45383</v>
      </c>
      <c r="B27" s="3">
        <v>866.57877826666663</v>
      </c>
      <c r="C27" s="3">
        <v>265.02000000000004</v>
      </c>
      <c r="D27" s="3">
        <v>601.55877826666665</v>
      </c>
      <c r="E27" s="3">
        <v>899.4</v>
      </c>
      <c r="F27" s="3">
        <v>0</v>
      </c>
      <c r="G27" s="3">
        <v>7950.6</v>
      </c>
      <c r="H27" s="10">
        <v>1.0637910540000001E-3</v>
      </c>
      <c r="I27" s="3">
        <v>26982</v>
      </c>
      <c r="J27" s="3">
        <v>18046.763348</v>
      </c>
      <c r="K27" s="3">
        <v>69.417667885879482</v>
      </c>
      <c r="L27" s="3">
        <v>21.345732850350913</v>
      </c>
      <c r="N27" s="1">
        <f t="shared" si="0"/>
        <v>762</v>
      </c>
      <c r="O27" s="1">
        <f t="shared" si="1"/>
        <v>2.2698618152089147</v>
      </c>
      <c r="P27" s="1">
        <f t="shared" si="7"/>
        <v>16.470476251917717</v>
      </c>
      <c r="R27" s="1">
        <f t="shared" si="2"/>
        <v>3.1578700668877482E-2</v>
      </c>
      <c r="V27" s="1">
        <f t="shared" si="3"/>
        <v>456</v>
      </c>
      <c r="W27" s="1">
        <f t="shared" si="8"/>
        <v>25.4</v>
      </c>
      <c r="X27" s="1">
        <f t="shared" si="4"/>
        <v>-5.9547718735808214E-4</v>
      </c>
      <c r="Y27" s="133"/>
      <c r="AA27" s="1">
        <f t="shared" si="9"/>
        <v>0</v>
      </c>
      <c r="AB27" s="1">
        <f t="shared" si="5"/>
        <v>0</v>
      </c>
      <c r="AC27" s="135"/>
      <c r="AD27" s="3">
        <f t="shared" si="10"/>
        <v>248879.27299999999</v>
      </c>
      <c r="AE27" s="1">
        <f t="shared" si="6"/>
        <v>0.71108363714285705</v>
      </c>
    </row>
    <row r="28" spans="1:31" x14ac:dyDescent="0.3">
      <c r="A28" s="2">
        <v>45413</v>
      </c>
      <c r="B28" s="3">
        <v>762.41579977419349</v>
      </c>
      <c r="C28" s="3">
        <v>180.7862258064516</v>
      </c>
      <c r="D28" s="3">
        <v>581.62957396774186</v>
      </c>
      <c r="E28" s="3">
        <v>1008.516129032258</v>
      </c>
      <c r="F28" s="3">
        <v>0</v>
      </c>
      <c r="G28" s="3">
        <v>5604.3729999999996</v>
      </c>
      <c r="H28" s="10">
        <v>7.4986565299999994E-4</v>
      </c>
      <c r="I28" s="3">
        <v>31264</v>
      </c>
      <c r="J28" s="3">
        <v>18030.516792999999</v>
      </c>
      <c r="K28" s="3">
        <v>76.28771257626147</v>
      </c>
      <c r="L28" s="3">
        <v>35.087655157856197</v>
      </c>
      <c r="N28" s="1">
        <f t="shared" si="0"/>
        <v>792</v>
      </c>
      <c r="O28" s="1">
        <f t="shared" si="1"/>
        <v>3.2172228352752392</v>
      </c>
      <c r="P28" s="1">
        <f t="shared" si="7"/>
        <v>2.4861438980766164</v>
      </c>
      <c r="R28" s="1">
        <f t="shared" si="2"/>
        <v>1.035562931990499E-2</v>
      </c>
      <c r="V28" s="1">
        <f t="shared" si="3"/>
        <v>426</v>
      </c>
      <c r="W28" s="1">
        <f t="shared" si="8"/>
        <v>26.4</v>
      </c>
      <c r="X28" s="1">
        <f t="shared" si="4"/>
        <v>2.6045173015060982E-4</v>
      </c>
      <c r="Y28" s="133"/>
      <c r="AA28" s="1">
        <f t="shared" si="9"/>
        <v>0</v>
      </c>
      <c r="AB28" s="1">
        <f t="shared" si="5"/>
        <v>0</v>
      </c>
      <c r="AC28" s="135"/>
      <c r="AD28" s="3">
        <f t="shared" si="10"/>
        <v>254483.64599999998</v>
      </c>
      <c r="AE28" s="1">
        <f t="shared" si="6"/>
        <v>0.72709613142857132</v>
      </c>
    </row>
    <row r="29" spans="1:31" x14ac:dyDescent="0.3">
      <c r="A29" s="2">
        <v>45444</v>
      </c>
      <c r="B29" s="3">
        <v>865.26571796666678</v>
      </c>
      <c r="C29" s="3">
        <v>190.66076666666669</v>
      </c>
      <c r="D29" s="3">
        <v>674.60495130000004</v>
      </c>
      <c r="E29" s="3">
        <v>1343.1333333333334</v>
      </c>
      <c r="F29" s="3">
        <v>0</v>
      </c>
      <c r="G29" s="3">
        <v>5719.8230000000003</v>
      </c>
      <c r="H29" s="10">
        <v>7.6531287499999995E-4</v>
      </c>
      <c r="I29" s="3">
        <v>40294</v>
      </c>
      <c r="J29" s="3">
        <v>20238.148539000002</v>
      </c>
      <c r="K29" s="3">
        <v>77.965061748348191</v>
      </c>
      <c r="L29" s="3">
        <v>44.309273416327734</v>
      </c>
      <c r="N29" s="1">
        <f t="shared" si="0"/>
        <v>823</v>
      </c>
      <c r="O29" s="1">
        <f t="shared" si="1"/>
        <v>3.5382473441922939</v>
      </c>
      <c r="P29" s="1">
        <f t="shared" si="7"/>
        <v>-11.319270455050036</v>
      </c>
      <c r="R29" s="1">
        <f t="shared" si="2"/>
        <v>-4.5519072310504193E-3</v>
      </c>
      <c r="V29" s="1">
        <f t="shared" si="3"/>
        <v>395</v>
      </c>
      <c r="W29" s="1">
        <f t="shared" si="8"/>
        <v>27.433333333333334</v>
      </c>
      <c r="X29" s="1">
        <f t="shared" si="4"/>
        <v>1.4625807398541179E-4</v>
      </c>
      <c r="Y29" s="133"/>
      <c r="AA29" s="1">
        <f t="shared" si="9"/>
        <v>0</v>
      </c>
      <c r="AB29" s="1">
        <f t="shared" si="5"/>
        <v>0</v>
      </c>
      <c r="AC29" s="135"/>
      <c r="AD29" s="3">
        <f t="shared" si="10"/>
        <v>260203.46899999998</v>
      </c>
      <c r="AE29" s="1">
        <f t="shared" si="6"/>
        <v>0.74343848285714287</v>
      </c>
    </row>
    <row r="30" spans="1:31" x14ac:dyDescent="0.3">
      <c r="A30" s="2">
        <v>45474</v>
      </c>
      <c r="B30" s="3">
        <v>1048.784885032258</v>
      </c>
      <c r="C30" s="3">
        <v>238.26867741935482</v>
      </c>
      <c r="D30" s="3">
        <v>810.51620761290314</v>
      </c>
      <c r="E30" s="3">
        <v>1683.0322580645161</v>
      </c>
      <c r="F30" s="3">
        <v>0</v>
      </c>
      <c r="G30" s="3">
        <v>7386.3289999999997</v>
      </c>
      <c r="H30" s="10">
        <v>9.8829154000000009E-4</v>
      </c>
      <c r="I30" s="3">
        <v>52174</v>
      </c>
      <c r="J30" s="3">
        <v>25126.002435999999</v>
      </c>
      <c r="K30" s="3">
        <v>77.281453916831921</v>
      </c>
      <c r="L30" s="3">
        <v>44.428568670580475</v>
      </c>
      <c r="N30" s="1">
        <f t="shared" si="0"/>
        <v>853</v>
      </c>
      <c r="O30" s="1">
        <f t="shared" si="1"/>
        <v>3.4016901272607813</v>
      </c>
      <c r="P30" s="1">
        <f t="shared" si="7"/>
        <v>-18.948123867442401</v>
      </c>
      <c r="R30" s="1">
        <f t="shared" si="2"/>
        <v>-2.1702592818368317E-2</v>
      </c>
      <c r="V30" s="1">
        <f t="shared" si="3"/>
        <v>365</v>
      </c>
      <c r="W30" s="1">
        <f t="shared" si="8"/>
        <v>28.433333333333334</v>
      </c>
      <c r="X30" s="1">
        <f t="shared" si="4"/>
        <v>-4.5241434593287262E-4</v>
      </c>
      <c r="Y30" s="133"/>
      <c r="AA30" s="1">
        <f t="shared" si="9"/>
        <v>0</v>
      </c>
      <c r="AB30" s="1">
        <f t="shared" si="5"/>
        <v>0</v>
      </c>
      <c r="AC30" s="135"/>
      <c r="AD30" s="3">
        <f t="shared" si="10"/>
        <v>267589.79800000001</v>
      </c>
      <c r="AE30" s="1">
        <f t="shared" si="6"/>
        <v>0.76454228000000002</v>
      </c>
    </row>
    <row r="31" spans="1:31" x14ac:dyDescent="0.3">
      <c r="A31" s="2">
        <v>45505</v>
      </c>
      <c r="B31" s="3">
        <v>1136.8619452903226</v>
      </c>
      <c r="C31" s="3">
        <v>304.87783870967741</v>
      </c>
      <c r="D31" s="3">
        <v>831.98410658064518</v>
      </c>
      <c r="E31" s="3">
        <v>2030.7741935483871</v>
      </c>
      <c r="F31" s="3">
        <v>0</v>
      </c>
      <c r="G31" s="3">
        <v>9451.2129999999997</v>
      </c>
      <c r="H31" s="10">
        <v>1.264573218E-3</v>
      </c>
      <c r="I31" s="3">
        <v>62954</v>
      </c>
      <c r="J31" s="3">
        <v>25791.507303999999</v>
      </c>
      <c r="K31" s="3">
        <v>73.182509980856096</v>
      </c>
      <c r="L31" s="3">
        <v>41.896005221763595</v>
      </c>
      <c r="N31" s="1">
        <f t="shared" si="0"/>
        <v>884</v>
      </c>
      <c r="O31" s="1">
        <f t="shared" si="1"/>
        <v>2.7289097498913635</v>
      </c>
      <c r="P31" s="1">
        <f t="shared" si="7"/>
        <v>-4.4901793889329795</v>
      </c>
      <c r="R31" s="1">
        <f t="shared" si="2"/>
        <v>-2.1184051506392899E-2</v>
      </c>
      <c r="V31" s="1">
        <f t="shared" si="3"/>
        <v>334</v>
      </c>
      <c r="W31" s="1">
        <f t="shared" si="8"/>
        <v>29.466666666666665</v>
      </c>
      <c r="X31" s="1">
        <f t="shared" si="4"/>
        <v>-1.232465479498157E-3</v>
      </c>
      <c r="Y31" s="133"/>
      <c r="AA31" s="1">
        <f t="shared" si="9"/>
        <v>0</v>
      </c>
      <c r="AB31" s="1">
        <f t="shared" si="5"/>
        <v>0</v>
      </c>
      <c r="AC31" s="135"/>
      <c r="AD31" s="3">
        <f t="shared" si="10"/>
        <v>277041.011</v>
      </c>
      <c r="AE31" s="1">
        <f t="shared" si="6"/>
        <v>0.79154574571428571</v>
      </c>
    </row>
    <row r="32" spans="1:31" x14ac:dyDescent="0.3">
      <c r="A32" s="2">
        <v>45536</v>
      </c>
      <c r="B32" s="3">
        <v>1150.4485964666667</v>
      </c>
      <c r="C32" s="3">
        <v>374.47009999999995</v>
      </c>
      <c r="D32" s="3">
        <v>775.97849646666668</v>
      </c>
      <c r="E32" s="3">
        <v>2466.1666666666665</v>
      </c>
      <c r="F32" s="3">
        <v>0</v>
      </c>
      <c r="G32" s="3">
        <v>11234.102999999999</v>
      </c>
      <c r="H32" s="10">
        <v>1.5031240740000001E-3</v>
      </c>
      <c r="I32" s="3">
        <v>73985</v>
      </c>
      <c r="J32" s="3">
        <v>23279.354894</v>
      </c>
      <c r="K32" s="3">
        <v>67.450079807989923</v>
      </c>
      <c r="L32" s="3">
        <v>41.423053803227546</v>
      </c>
      <c r="N32" s="1">
        <f t="shared" si="0"/>
        <v>915</v>
      </c>
      <c r="O32" s="1">
        <f t="shared" si="1"/>
        <v>2.0722041531931836</v>
      </c>
      <c r="P32" s="1">
        <f t="shared" si="7"/>
        <v>5.6847299417137069</v>
      </c>
      <c r="R32" s="1">
        <f t="shared" si="2"/>
        <v>1.1902850441793837E-2</v>
      </c>
      <c r="V32" s="1">
        <f t="shared" si="3"/>
        <v>303</v>
      </c>
      <c r="W32" s="1">
        <f t="shared" si="8"/>
        <v>30.5</v>
      </c>
      <c r="X32" s="1">
        <f t="shared" si="4"/>
        <v>-2.0371097774994126E-3</v>
      </c>
      <c r="Y32" s="133"/>
      <c r="AA32" s="1">
        <f t="shared" si="9"/>
        <v>0</v>
      </c>
      <c r="AB32" s="1">
        <f t="shared" si="5"/>
        <v>0</v>
      </c>
      <c r="AC32" s="135"/>
      <c r="AD32" s="3">
        <f t="shared" si="10"/>
        <v>288275.114</v>
      </c>
      <c r="AE32" s="1">
        <f t="shared" si="6"/>
        <v>0.82364318285714277</v>
      </c>
    </row>
    <row r="33" spans="1:31" x14ac:dyDescent="0.3">
      <c r="A33" s="2">
        <v>45566</v>
      </c>
      <c r="B33" s="3">
        <v>1063.2441812580646</v>
      </c>
      <c r="C33" s="3">
        <v>310.04793548387102</v>
      </c>
      <c r="D33" s="3">
        <v>753.19624577419359</v>
      </c>
      <c r="E33" s="3">
        <v>2317.7419354838707</v>
      </c>
      <c r="F33" s="3">
        <v>0</v>
      </c>
      <c r="G33" s="3">
        <v>9611.4860000000008</v>
      </c>
      <c r="H33" s="10">
        <v>1.286017765E-3</v>
      </c>
      <c r="I33" s="3">
        <v>71850</v>
      </c>
      <c r="J33" s="3">
        <v>23349.083619000001</v>
      </c>
      <c r="K33" s="3">
        <v>70.839442063345004</v>
      </c>
      <c r="L33" s="3">
        <v>47.018965641733232</v>
      </c>
      <c r="N33" s="1">
        <f t="shared" si="0"/>
        <v>945</v>
      </c>
      <c r="O33" s="1">
        <f t="shared" si="1"/>
        <v>2.4292896664469987</v>
      </c>
      <c r="P33" s="1">
        <f t="shared" si="7"/>
        <v>-7.3775238825741027</v>
      </c>
      <c r="R33" s="1">
        <f t="shared" si="2"/>
        <v>3.1608226615671562E-4</v>
      </c>
      <c r="V33" s="1">
        <f t="shared" si="3"/>
        <v>273</v>
      </c>
      <c r="W33" s="1">
        <f t="shared" si="8"/>
        <v>31.5</v>
      </c>
      <c r="X33" s="1">
        <f t="shared" si="4"/>
        <v>-1.5694476876082111E-3</v>
      </c>
      <c r="Y33" s="133"/>
      <c r="AA33" s="1">
        <f t="shared" si="9"/>
        <v>0</v>
      </c>
      <c r="AB33" s="1">
        <f t="shared" si="5"/>
        <v>0</v>
      </c>
      <c r="AC33" s="135"/>
      <c r="AD33" s="3">
        <f t="shared" si="10"/>
        <v>297886.59999999998</v>
      </c>
      <c r="AE33" s="1">
        <f t="shared" si="6"/>
        <v>0.85110457142857132</v>
      </c>
    </row>
    <row r="34" spans="1:31" x14ac:dyDescent="0.3">
      <c r="A34" s="2">
        <v>45597</v>
      </c>
      <c r="B34" s="3">
        <v>1073.3447057000001</v>
      </c>
      <c r="C34" s="3">
        <v>312.10153333333335</v>
      </c>
      <c r="D34" s="3">
        <v>761.24317236666673</v>
      </c>
      <c r="E34" s="3">
        <v>2229.8333333333335</v>
      </c>
      <c r="F34" s="3">
        <v>0</v>
      </c>
      <c r="G34" s="3">
        <v>9363.0460000000003</v>
      </c>
      <c r="H34" s="10">
        <v>1.252776467E-3</v>
      </c>
      <c r="I34" s="3">
        <v>66895</v>
      </c>
      <c r="J34" s="3">
        <v>22837.295171000002</v>
      </c>
      <c r="K34" s="3">
        <v>70.922525477983243</v>
      </c>
      <c r="L34" s="3">
        <v>44.937958331081575</v>
      </c>
      <c r="N34" s="1">
        <f t="shared" si="0"/>
        <v>976</v>
      </c>
      <c r="O34" s="1">
        <f t="shared" si="1"/>
        <v>2.4390882166978569</v>
      </c>
      <c r="P34" s="1">
        <f t="shared" si="7"/>
        <v>-0.93038026345640057</v>
      </c>
      <c r="R34" s="1">
        <f t="shared" si="2"/>
        <v>-1.5709351535682457E-2</v>
      </c>
      <c r="V34" s="1">
        <f t="shared" si="3"/>
        <v>242</v>
      </c>
      <c r="W34" s="1">
        <f t="shared" si="8"/>
        <v>32.533333333333331</v>
      </c>
      <c r="X34" s="1">
        <f t="shared" si="4"/>
        <v>-1.7977721686723547E-3</v>
      </c>
      <c r="Y34" s="133"/>
      <c r="AA34" s="1">
        <f t="shared" si="9"/>
        <v>0</v>
      </c>
      <c r="AB34" s="1">
        <f t="shared" si="5"/>
        <v>0</v>
      </c>
      <c r="AC34" s="135"/>
      <c r="AD34" s="3">
        <f t="shared" si="10"/>
        <v>307249.64599999995</v>
      </c>
      <c r="AE34" s="1">
        <f t="shared" si="6"/>
        <v>0.87785613142857122</v>
      </c>
    </row>
    <row r="35" spans="1:31" s="55" customFormat="1" x14ac:dyDescent="0.3">
      <c r="A35" s="59">
        <v>45627</v>
      </c>
      <c r="B35" s="58">
        <v>1109.3827823548388</v>
      </c>
      <c r="C35" s="58">
        <v>373.80548387096775</v>
      </c>
      <c r="D35" s="58">
        <v>735.57729848387089</v>
      </c>
      <c r="E35" s="58">
        <v>2243.483870967742</v>
      </c>
      <c r="F35" s="58">
        <v>0</v>
      </c>
      <c r="G35" s="58">
        <v>11587.97</v>
      </c>
      <c r="H35" s="60">
        <v>1.550471515E-3</v>
      </c>
      <c r="I35" s="58">
        <v>69548</v>
      </c>
      <c r="J35" s="58">
        <v>22802.896252999999</v>
      </c>
      <c r="K35" s="58">
        <v>66.305094164386873</v>
      </c>
      <c r="L35" s="58">
        <v>37.749753442578815</v>
      </c>
      <c r="N35" s="55">
        <f t="shared" si="0"/>
        <v>1006</v>
      </c>
      <c r="O35" s="55">
        <f t="shared" si="1"/>
        <v>1.9678076706273833</v>
      </c>
      <c r="P35" s="55">
        <f t="shared" si="7"/>
        <v>11.132019631965891</v>
      </c>
      <c r="R35" s="55">
        <f t="shared" si="2"/>
        <v>1.3383115950095283E-2</v>
      </c>
      <c r="V35" s="55">
        <f t="shared" si="3"/>
        <v>212</v>
      </c>
      <c r="W35" s="55">
        <f t="shared" si="8"/>
        <v>33.533333333333331</v>
      </c>
      <c r="X35" s="55">
        <f t="shared" si="4"/>
        <v>-2.9031503212947423E-3</v>
      </c>
      <c r="Y35" s="133"/>
      <c r="Z35" s="1"/>
      <c r="AA35" s="1">
        <f t="shared" si="9"/>
        <v>0</v>
      </c>
      <c r="AB35" s="1">
        <f t="shared" si="5"/>
        <v>0</v>
      </c>
      <c r="AC35" s="135"/>
      <c r="AD35" s="3">
        <f t="shared" si="10"/>
        <v>318837.61599999992</v>
      </c>
      <c r="AE35" s="1">
        <f t="shared" si="6"/>
        <v>0.91096461714285693</v>
      </c>
    </row>
    <row r="36" spans="1:31" x14ac:dyDescent="0.3">
      <c r="A36" s="2">
        <v>45658</v>
      </c>
      <c r="B36" s="3">
        <v>1137.9021419999999</v>
      </c>
      <c r="C36" s="3">
        <v>336.39029032258065</v>
      </c>
      <c r="D36" s="3">
        <v>801.51185167741937</v>
      </c>
      <c r="E36" s="3">
        <v>1871.0322580645161</v>
      </c>
      <c r="F36" s="3">
        <v>0</v>
      </c>
      <c r="G36" s="3">
        <v>10428.099</v>
      </c>
      <c r="H36" s="10">
        <v>1.395280662E-3</v>
      </c>
      <c r="I36" s="3">
        <v>58002</v>
      </c>
      <c r="J36" s="3">
        <v>24846.867402</v>
      </c>
      <c r="K36" s="3">
        <v>70.437678434163573</v>
      </c>
      <c r="L36" s="3">
        <v>34.984418502355993</v>
      </c>
      <c r="N36" s="1">
        <f t="shared" si="0"/>
        <v>1037</v>
      </c>
      <c r="O36" s="1">
        <f t="shared" si="1"/>
        <v>2.382684265080337</v>
      </c>
      <c r="P36" s="1">
        <f t="shared" si="7"/>
        <v>10.574588372850044</v>
      </c>
      <c r="R36" s="1">
        <f t="shared" si="2"/>
        <v>8.0929446904674605E-3</v>
      </c>
      <c r="V36" s="1">
        <f t="shared" si="3"/>
        <v>181</v>
      </c>
      <c r="W36" s="1">
        <f t="shared" si="8"/>
        <v>34.56666666666667</v>
      </c>
      <c r="X36" s="1">
        <f t="shared" si="4"/>
        <v>-2.8177036839384688E-3</v>
      </c>
      <c r="Y36" s="133"/>
      <c r="AA36" s="1">
        <f t="shared" si="9"/>
        <v>0</v>
      </c>
      <c r="AB36" s="1">
        <f t="shared" si="5"/>
        <v>0</v>
      </c>
      <c r="AC36" s="135"/>
      <c r="AD36" s="3">
        <f t="shared" si="10"/>
        <v>329265.71499999991</v>
      </c>
      <c r="AE36" s="1">
        <f t="shared" si="6"/>
        <v>0.94075918571428552</v>
      </c>
    </row>
    <row r="37" spans="1:31" x14ac:dyDescent="0.3">
      <c r="A37" s="2">
        <v>45689</v>
      </c>
      <c r="B37" s="3">
        <v>1184.711979107143</v>
      </c>
      <c r="C37" s="3">
        <v>326.04667857142857</v>
      </c>
      <c r="D37" s="3">
        <v>858.66530053571421</v>
      </c>
      <c r="E37" s="3">
        <v>1918.6071428571429</v>
      </c>
      <c r="F37" s="3">
        <v>0</v>
      </c>
      <c r="G37" s="3">
        <v>9129.3070000000007</v>
      </c>
      <c r="H37" s="10">
        <v>1.2215021699999999E-3</v>
      </c>
      <c r="I37" s="3">
        <v>53721</v>
      </c>
      <c r="J37" s="3">
        <v>24042.628414999999</v>
      </c>
      <c r="K37" s="3">
        <v>72.47882318053766</v>
      </c>
      <c r="L37" s="3">
        <v>37.012047661448996</v>
      </c>
      <c r="N37" s="1">
        <f t="shared" si="0"/>
        <v>1068</v>
      </c>
      <c r="O37" s="1">
        <f t="shared" si="1"/>
        <v>2.6335655504848283</v>
      </c>
      <c r="P37" s="1">
        <f t="shared" si="7"/>
        <v>4.8294096850477537</v>
      </c>
      <c r="R37" s="1">
        <f t="shared" si="2"/>
        <v>1.1938082284638456E-2</v>
      </c>
      <c r="V37" s="1">
        <f t="shared" si="3"/>
        <v>150</v>
      </c>
      <c r="W37" s="1">
        <f t="shared" si="8"/>
        <v>35.6</v>
      </c>
      <c r="X37" s="1">
        <f t="shared" si="4"/>
        <v>-3.1918190634488172E-3</v>
      </c>
      <c r="Y37" s="133"/>
      <c r="AA37" s="1">
        <f t="shared" si="9"/>
        <v>0</v>
      </c>
      <c r="AB37" s="1">
        <f t="shared" si="5"/>
        <v>0</v>
      </c>
      <c r="AC37" s="135"/>
      <c r="AD37" s="3">
        <f t="shared" si="10"/>
        <v>338395.02199999988</v>
      </c>
      <c r="AE37" s="1">
        <f t="shared" si="6"/>
        <v>0.96684291999999961</v>
      </c>
    </row>
    <row r="38" spans="1:31" x14ac:dyDescent="0.3">
      <c r="A38" s="2">
        <v>45717</v>
      </c>
      <c r="B38" s="3">
        <v>1316.8627230645161</v>
      </c>
      <c r="C38" s="3">
        <v>331.88470967741932</v>
      </c>
      <c r="D38" s="3">
        <v>984.97801338709678</v>
      </c>
      <c r="E38" s="3">
        <v>1991.741935483871</v>
      </c>
      <c r="F38" s="3">
        <v>0</v>
      </c>
      <c r="G38" s="3">
        <v>10288.425999999999</v>
      </c>
      <c r="H38" s="10">
        <v>1.3765924030000002E-3</v>
      </c>
      <c r="I38" s="3">
        <v>61744</v>
      </c>
      <c r="J38" s="3">
        <v>30534.318415000002</v>
      </c>
      <c r="K38" s="3">
        <v>74.797319123357127</v>
      </c>
      <c r="L38" s="3">
        <v>37.747018951198172</v>
      </c>
      <c r="N38" s="1">
        <f t="shared" si="0"/>
        <v>1096</v>
      </c>
      <c r="O38" s="1">
        <f t="shared" si="1"/>
        <v>2.9678318544547051</v>
      </c>
      <c r="P38" s="1">
        <f t="shared" si="7"/>
        <v>-0.60341224231248358</v>
      </c>
      <c r="R38" s="1">
        <f t="shared" si="2"/>
        <v>-2.4058621792662511E-3</v>
      </c>
      <c r="V38" s="1">
        <f t="shared" si="3"/>
        <v>122</v>
      </c>
      <c r="W38" s="1">
        <f t="shared" si="8"/>
        <v>36.533333333333331</v>
      </c>
      <c r="X38" s="1">
        <f t="shared" si="4"/>
        <v>-4.0698356655638687E-3</v>
      </c>
      <c r="Y38" s="133"/>
      <c r="AA38" s="1">
        <f t="shared" si="9"/>
        <v>0</v>
      </c>
      <c r="AB38" s="1">
        <f t="shared" si="5"/>
        <v>0</v>
      </c>
      <c r="AC38" s="135"/>
      <c r="AD38" s="3">
        <f t="shared" si="10"/>
        <v>348683.44799999986</v>
      </c>
      <c r="AE38" s="1">
        <f t="shared" si="6"/>
        <v>0.99623842285714237</v>
      </c>
    </row>
    <row r="39" spans="1:31" x14ac:dyDescent="0.3">
      <c r="A39" s="2">
        <v>45748</v>
      </c>
      <c r="B39" s="3">
        <v>1179.4013378666668</v>
      </c>
      <c r="C39" s="3">
        <v>302.93490000000003</v>
      </c>
      <c r="D39" s="3">
        <v>876.46643786666675</v>
      </c>
      <c r="E39" s="3">
        <v>2063.8666666666668</v>
      </c>
      <c r="F39" s="3">
        <v>0</v>
      </c>
      <c r="G39" s="3">
        <v>9088.0470000000005</v>
      </c>
      <c r="H39" s="10">
        <v>1.215981572E-3</v>
      </c>
      <c r="I39" s="3">
        <v>61916</v>
      </c>
      <c r="J39" s="3">
        <v>26293.993136000001</v>
      </c>
      <c r="K39" s="3">
        <v>74.314519555492708</v>
      </c>
      <c r="L39" s="3">
        <v>42.851809283116594</v>
      </c>
      <c r="N39" s="1">
        <f t="shared" si="0"/>
        <v>1127</v>
      </c>
      <c r="O39" s="1">
        <f t="shared" si="1"/>
        <v>2.8932501268974513</v>
      </c>
      <c r="P39" s="1">
        <f t="shared" si="7"/>
        <v>13.241966151947086</v>
      </c>
      <c r="R39" s="1">
        <f t="shared" si="2"/>
        <v>1.3966317859780938E-3</v>
      </c>
      <c r="V39" s="1">
        <f t="shared" si="3"/>
        <v>91</v>
      </c>
      <c r="W39" s="1">
        <f t="shared" si="8"/>
        <v>37.56666666666667</v>
      </c>
      <c r="X39" s="1">
        <f t="shared" si="4"/>
        <v>-4.453299269660759E-3</v>
      </c>
      <c r="Y39" s="133"/>
      <c r="AA39" s="1">
        <f t="shared" si="9"/>
        <v>0</v>
      </c>
      <c r="AB39" s="1">
        <f t="shared" si="5"/>
        <v>0</v>
      </c>
      <c r="AC39" s="135"/>
      <c r="AD39" s="3">
        <f t="shared" si="10"/>
        <v>357771.49499999988</v>
      </c>
      <c r="AE39" s="1">
        <f t="shared" si="6"/>
        <v>1.0222042714285711</v>
      </c>
    </row>
    <row r="40" spans="1:31" x14ac:dyDescent="0.3">
      <c r="A40" s="2">
        <v>45778</v>
      </c>
      <c r="B40" s="3">
        <v>1189.6331413548387</v>
      </c>
      <c r="C40" s="3">
        <v>302.30954838709675</v>
      </c>
      <c r="D40" s="3">
        <v>887.323592967742</v>
      </c>
      <c r="E40" s="3">
        <v>1788.3870967741937</v>
      </c>
      <c r="F40" s="3">
        <v>0</v>
      </c>
      <c r="G40" s="3">
        <v>9371.5959999999995</v>
      </c>
      <c r="H40" s="10">
        <v>1.2539204600000001E-3</v>
      </c>
      <c r="I40" s="3">
        <v>55440</v>
      </c>
      <c r="J40" s="3">
        <v>27507.031382000001</v>
      </c>
      <c r="K40" s="3">
        <v>74.588002143013171</v>
      </c>
      <c r="L40" s="3">
        <v>37.208871573209088</v>
      </c>
      <c r="N40" s="1">
        <f t="shared" si="0"/>
        <v>1157</v>
      </c>
      <c r="O40" s="1">
        <f t="shared" si="1"/>
        <v>2.9351490804767941</v>
      </c>
      <c r="P40" s="1">
        <f t="shared" si="7"/>
        <v>14.495120107344853</v>
      </c>
      <c r="R40" s="1">
        <f t="shared" si="2"/>
        <v>2.1164883202670737E-2</v>
      </c>
      <c r="V40" s="1">
        <f t="shared" si="3"/>
        <v>61</v>
      </c>
      <c r="W40" s="1">
        <f t="shared" si="8"/>
        <v>38.56666666666667</v>
      </c>
      <c r="X40" s="1">
        <f t="shared" si="4"/>
        <v>-6.6095703226980674E-3</v>
      </c>
      <c r="Y40" s="133"/>
      <c r="AA40" s="1">
        <f t="shared" si="9"/>
        <v>0</v>
      </c>
      <c r="AB40" s="1">
        <f t="shared" si="5"/>
        <v>0</v>
      </c>
      <c r="AC40" s="135"/>
      <c r="AD40" s="3">
        <f t="shared" si="10"/>
        <v>367143.0909999999</v>
      </c>
      <c r="AE40" s="1">
        <f t="shared" si="6"/>
        <v>1.0489802599999996</v>
      </c>
    </row>
    <row r="41" spans="1:31" x14ac:dyDescent="0.3">
      <c r="A41" s="2">
        <v>45809</v>
      </c>
      <c r="B41" s="3">
        <v>1263.2035910666668</v>
      </c>
      <c r="C41" s="3">
        <v>275.13220000000001</v>
      </c>
      <c r="D41" s="3">
        <v>988.07139106666671</v>
      </c>
      <c r="E41" s="3">
        <v>1322.3666666666666</v>
      </c>
      <c r="F41" s="3">
        <v>0</v>
      </c>
      <c r="G41" s="3">
        <v>8253.9660000000003</v>
      </c>
      <c r="H41" s="10">
        <v>1.1043814560000001E-3</v>
      </c>
      <c r="I41" s="3">
        <v>39671</v>
      </c>
      <c r="J41" s="3">
        <v>29642.141732</v>
      </c>
      <c r="K41" s="3">
        <v>78.219488770794683</v>
      </c>
      <c r="L41" s="3">
        <v>30.230637707981835</v>
      </c>
      <c r="N41" s="1">
        <f t="shared" si="0"/>
        <v>1188</v>
      </c>
      <c r="O41" s="1">
        <f t="shared" si="1"/>
        <v>3.591260459759587</v>
      </c>
      <c r="P41" s="1" t="str">
        <f t="shared" si="7"/>
        <v xml:space="preserve"> </v>
      </c>
      <c r="R41" s="1">
        <f t="shared" si="2"/>
        <v>2.9547949599369053E-3</v>
      </c>
      <c r="V41" s="1">
        <f t="shared" si="3"/>
        <v>30</v>
      </c>
      <c r="W41" s="1">
        <f t="shared" si="8"/>
        <v>39.6</v>
      </c>
      <c r="X41" s="1">
        <f t="shared" si="4"/>
        <v>-1.0299467067525233E-2</v>
      </c>
      <c r="Y41" s="133"/>
      <c r="AA41" s="1">
        <f t="shared" si="9"/>
        <v>0</v>
      </c>
      <c r="AB41" s="1">
        <f t="shared" si="5"/>
        <v>0</v>
      </c>
      <c r="AC41" s="135"/>
      <c r="AD41" s="3">
        <f t="shared" si="10"/>
        <v>375397.05699999991</v>
      </c>
      <c r="AE41" s="1">
        <f t="shared" si="6"/>
        <v>1.0725630199999996</v>
      </c>
    </row>
    <row r="42" spans="1:31" x14ac:dyDescent="0.3">
      <c r="A42" s="2">
        <v>45839</v>
      </c>
      <c r="B42" s="3">
        <v>1270.3005444838711</v>
      </c>
      <c r="C42" s="3">
        <v>271.43729032258068</v>
      </c>
      <c r="D42" s="3">
        <v>998.86325416129034</v>
      </c>
      <c r="E42" s="3">
        <v>1541.4193548387098</v>
      </c>
      <c r="F42" s="3">
        <v>0</v>
      </c>
      <c r="G42" s="3">
        <v>8414.5560000000005</v>
      </c>
      <c r="H42" s="10">
        <v>1.125868411E-3</v>
      </c>
      <c r="I42" s="3">
        <v>47784</v>
      </c>
      <c r="J42" s="3">
        <v>30964.760879000001</v>
      </c>
      <c r="K42" s="3">
        <v>78.632041724199453</v>
      </c>
      <c r="L42" s="3">
        <v>35.718082237494166</v>
      </c>
      <c r="N42" s="1">
        <f t="shared" si="0"/>
        <v>1218</v>
      </c>
      <c r="O42" s="1">
        <f t="shared" si="1"/>
        <v>3.6799043085576941</v>
      </c>
      <c r="P42" s="1" t="str">
        <f t="shared" si="7"/>
        <v xml:space="preserve"> </v>
      </c>
      <c r="R42" s="1">
        <f t="shared" si="2"/>
        <v>3.0212679052197817E-3</v>
      </c>
      <c r="V42" s="1">
        <f t="shared" si="3"/>
        <v>0</v>
      </c>
      <c r="W42" s="1">
        <f t="shared" si="8"/>
        <v>40.6</v>
      </c>
      <c r="X42" s="1" t="e">
        <f t="shared" si="4"/>
        <v>#DIV/0!</v>
      </c>
      <c r="Y42" s="153"/>
      <c r="AA42" s="1">
        <f t="shared" si="9"/>
        <v>0</v>
      </c>
      <c r="AB42" s="1">
        <f t="shared" si="5"/>
        <v>0</v>
      </c>
      <c r="AC42" s="136"/>
      <c r="AD42" s="3">
        <f t="shared" si="10"/>
        <v>383811.6129999999</v>
      </c>
      <c r="AE42" s="1">
        <f t="shared" si="6"/>
        <v>1.0966046085714283</v>
      </c>
    </row>
    <row r="43" spans="1:31" x14ac:dyDescent="0.3">
      <c r="A43" s="2">
        <v>45870</v>
      </c>
      <c r="K43" s="3"/>
      <c r="L43" s="3"/>
      <c r="W43" s="1">
        <v>41</v>
      </c>
      <c r="Z43" s="1">
        <f t="shared" ref="Z3:Z66" si="11">43543*EXP(-0.041*W43)</f>
        <v>8107.1708129341541</v>
      </c>
      <c r="AA43" s="1">
        <f t="shared" si="9"/>
        <v>8107.1708129341541</v>
      </c>
      <c r="AB43" s="1">
        <f t="shared" si="5"/>
        <v>2.3163345179811869E-2</v>
      </c>
      <c r="AD43" s="3"/>
    </row>
    <row r="44" spans="1:31" x14ac:dyDescent="0.3">
      <c r="W44" s="1">
        <f>W43+1</f>
        <v>42</v>
      </c>
      <c r="Z44" s="1">
        <f t="shared" si="11"/>
        <v>7781.4987077167789</v>
      </c>
      <c r="AA44" s="1">
        <f t="shared" si="9"/>
        <v>15888.669520650932</v>
      </c>
      <c r="AB44" s="1">
        <f t="shared" si="5"/>
        <v>4.5396198630431234E-2</v>
      </c>
      <c r="AD44" s="3"/>
    </row>
    <row r="45" spans="1:31" x14ac:dyDescent="0.3">
      <c r="W45" s="1">
        <f t="shared" ref="W45:W108" si="12">W44+1</f>
        <v>43</v>
      </c>
      <c r="Z45" s="1">
        <f t="shared" si="11"/>
        <v>7468.909134317717</v>
      </c>
      <c r="AA45" s="1">
        <f t="shared" si="9"/>
        <v>23357.578654968649</v>
      </c>
      <c r="AB45" s="1">
        <f t="shared" si="5"/>
        <v>6.6735939014196138E-2</v>
      </c>
      <c r="AD45" s="3"/>
    </row>
    <row r="46" spans="1:31" x14ac:dyDescent="0.3">
      <c r="W46" s="1">
        <f t="shared" si="12"/>
        <v>44</v>
      </c>
      <c r="Z46" s="1">
        <f t="shared" si="11"/>
        <v>7168.876556051343</v>
      </c>
      <c r="AA46" s="1">
        <f t="shared" si="9"/>
        <v>30526.455211019991</v>
      </c>
      <c r="AB46" s="1">
        <f t="shared" si="5"/>
        <v>8.721844346005711E-2</v>
      </c>
      <c r="AD46" s="3"/>
    </row>
    <row r="47" spans="1:31" x14ac:dyDescent="0.3">
      <c r="W47" s="1">
        <f t="shared" si="12"/>
        <v>45</v>
      </c>
      <c r="Z47" s="1">
        <f t="shared" si="11"/>
        <v>6880.8965474979341</v>
      </c>
      <c r="AA47" s="1">
        <f t="shared" si="9"/>
        <v>37407.351758517922</v>
      </c>
      <c r="AB47" s="1">
        <f t="shared" si="5"/>
        <v>0.10687814788147977</v>
      </c>
      <c r="AD47" s="3"/>
    </row>
    <row r="48" spans="1:31" x14ac:dyDescent="0.3">
      <c r="W48" s="1">
        <f t="shared" si="12"/>
        <v>46</v>
      </c>
      <c r="Z48" s="1">
        <f t="shared" si="11"/>
        <v>6604.4849464457538</v>
      </c>
      <c r="AA48" s="1">
        <f t="shared" si="9"/>
        <v>44011.836704963673</v>
      </c>
      <c r="AB48" s="1">
        <f t="shared" si="5"/>
        <v>0.12574810487132476</v>
      </c>
      <c r="AD48" s="3"/>
    </row>
    <row r="49" spans="23:30" x14ac:dyDescent="0.3">
      <c r="W49" s="1">
        <f t="shared" si="12"/>
        <v>47</v>
      </c>
      <c r="Z49" s="1">
        <f t="shared" si="11"/>
        <v>6339.1770399003635</v>
      </c>
      <c r="AA49" s="1">
        <f t="shared" si="9"/>
        <v>50351.013744864038</v>
      </c>
      <c r="AB49" s="1">
        <f t="shared" si="5"/>
        <v>0.1438600392710401</v>
      </c>
      <c r="AD49" s="3"/>
    </row>
    <row r="50" spans="23:30" x14ac:dyDescent="0.3">
      <c r="W50" s="1">
        <f t="shared" si="12"/>
        <v>48</v>
      </c>
      <c r="Z50" s="1">
        <f t="shared" si="11"/>
        <v>6084.52678279263</v>
      </c>
      <c r="AA50" s="1">
        <f t="shared" si="9"/>
        <v>56435.540527656667</v>
      </c>
      <c r="AB50" s="1">
        <f t="shared" si="5"/>
        <v>0.16124440150759048</v>
      </c>
      <c r="AD50" s="3"/>
    </row>
    <row r="51" spans="23:30" x14ac:dyDescent="0.3">
      <c r="W51" s="1">
        <f t="shared" si="12"/>
        <v>49</v>
      </c>
      <c r="Z51" s="1">
        <f t="shared" si="11"/>
        <v>5840.1060480719316</v>
      </c>
      <c r="AA51" s="1">
        <f t="shared" si="9"/>
        <v>62275.646575728599</v>
      </c>
      <c r="AB51" s="1">
        <f t="shared" si="5"/>
        <v>0.177930418787796</v>
      </c>
      <c r="AD51" s="3"/>
    </row>
    <row r="52" spans="23:30" x14ac:dyDescent="0.3">
      <c r="W52" s="1">
        <f t="shared" si="12"/>
        <v>50</v>
      </c>
      <c r="Z52" s="1">
        <f t="shared" si="11"/>
        <v>5605.5039069237573</v>
      </c>
      <c r="AA52" s="1">
        <f t="shared" si="9"/>
        <v>67881.15048265236</v>
      </c>
      <c r="AB52" s="1">
        <f t="shared" si="5"/>
        <v>0.19394614423614959</v>
      </c>
      <c r="AD52" s="3"/>
    </row>
    <row r="53" spans="23:30" x14ac:dyDescent="0.3">
      <c r="W53" s="1">
        <f t="shared" si="12"/>
        <v>51</v>
      </c>
      <c r="Z53" s="1">
        <f t="shared" si="11"/>
        <v>5380.3259379016181</v>
      </c>
      <c r="AA53" s="1">
        <f t="shared" si="9"/>
        <v>73261.476420553983</v>
      </c>
      <c r="AB53" s="1">
        <f t="shared" si="5"/>
        <v>0.20931850405872565</v>
      </c>
      <c r="AD53" s="3"/>
    </row>
    <row r="54" spans="23:30" x14ac:dyDescent="0.3">
      <c r="W54" s="1">
        <f t="shared" si="12"/>
        <v>52</v>
      </c>
      <c r="Z54" s="1">
        <f t="shared" si="11"/>
        <v>5164.1935638116856</v>
      </c>
      <c r="AA54" s="1">
        <f t="shared" si="9"/>
        <v>78425.669984365668</v>
      </c>
      <c r="AB54" s="1">
        <f t="shared" si="5"/>
        <v>0.22407334281247332</v>
      </c>
      <c r="AD54" s="3"/>
    </row>
    <row r="55" spans="23:30" x14ac:dyDescent="0.3">
      <c r="W55" s="1">
        <f t="shared" si="12"/>
        <v>53</v>
      </c>
      <c r="Z55" s="1">
        <f t="shared" si="11"/>
        <v>4956.7434152353944</v>
      </c>
      <c r="AA55" s="1">
        <f t="shared" si="9"/>
        <v>83382.413399601064</v>
      </c>
      <c r="AB55" s="1">
        <f t="shared" si="5"/>
        <v>0.23823546685600305</v>
      </c>
      <c r="AD55" s="3"/>
    </row>
    <row r="56" spans="23:30" x14ac:dyDescent="0.3">
      <c r="W56" s="1">
        <f t="shared" si="12"/>
        <v>54</v>
      </c>
      <c r="Z56" s="1">
        <f t="shared" si="11"/>
        <v>4757.6267196198696</v>
      </c>
      <c r="AA56" s="1">
        <f t="shared" si="9"/>
        <v>88140.040119220939</v>
      </c>
      <c r="AB56" s="1">
        <f t="shared" si="5"/>
        <v>0.25182868605491693</v>
      </c>
      <c r="AD56" s="3"/>
    </row>
    <row r="57" spans="23:30" x14ac:dyDescent="0.3">
      <c r="W57" s="1">
        <f t="shared" si="12"/>
        <v>55</v>
      </c>
      <c r="Z57" s="1">
        <f t="shared" si="11"/>
        <v>4566.5087149091405</v>
      </c>
      <c r="AA57" s="1">
        <f t="shared" si="9"/>
        <v>92706.548834130081</v>
      </c>
      <c r="AB57" s="1">
        <f t="shared" si="5"/>
        <v>0.26487585381180023</v>
      </c>
      <c r="AD57" s="3"/>
    </row>
    <row r="58" spans="23:30" x14ac:dyDescent="0.3">
      <c r="W58" s="1">
        <f t="shared" si="12"/>
        <v>56</v>
      </c>
      <c r="Z58" s="1">
        <f t="shared" si="11"/>
        <v>4383.0680867302799</v>
      </c>
      <c r="AA58" s="1">
        <f t="shared" si="9"/>
        <v>97089.616920860368</v>
      </c>
      <c r="AB58" s="1">
        <f t="shared" si="5"/>
        <v>0.27739890548817248</v>
      </c>
      <c r="AD58" s="3"/>
    </row>
    <row r="59" spans="23:30" x14ac:dyDescent="0.3">
      <c r="W59" s="1">
        <f t="shared" si="12"/>
        <v>57</v>
      </c>
      <c r="Z59" s="1">
        <f t="shared" si="11"/>
        <v>4206.9964281882885</v>
      </c>
      <c r="AA59" s="1">
        <f t="shared" si="9"/>
        <v>101296.61334904865</v>
      </c>
      <c r="AB59" s="1">
        <f t="shared" si="5"/>
        <v>0.28941889528299614</v>
      </c>
      <c r="AD59" s="3"/>
    </row>
    <row r="60" spans="23:30" x14ac:dyDescent="0.3">
      <c r="W60" s="1">
        <f t="shared" si="12"/>
        <v>58</v>
      </c>
      <c r="Z60" s="1">
        <f t="shared" si="11"/>
        <v>4037.9977213614629</v>
      </c>
      <c r="AA60" s="1">
        <f t="shared" si="9"/>
        <v>105334.61107041012</v>
      </c>
      <c r="AB60" s="1">
        <f t="shared" si="5"/>
        <v>0.30095603162974321</v>
      </c>
      <c r="AD60" s="3"/>
    </row>
    <row r="61" spans="23:30" x14ac:dyDescent="0.3">
      <c r="W61" s="1">
        <f t="shared" si="12"/>
        <v>59</v>
      </c>
      <c r="Z61" s="1">
        <f t="shared" si="11"/>
        <v>3875.7878396255683</v>
      </c>
      <c r="AA61" s="1">
        <f t="shared" si="9"/>
        <v>109210.39891003568</v>
      </c>
      <c r="AB61" s="1">
        <f t="shared" si="5"/>
        <v>0.3120297111715305</v>
      </c>
      <c r="AD61" s="3"/>
    </row>
    <row r="62" spans="23:30" x14ac:dyDescent="0.3">
      <c r="W62" s="1">
        <f t="shared" si="12"/>
        <v>60</v>
      </c>
      <c r="Z62" s="1">
        <f t="shared" si="11"/>
        <v>3720.0940699700686</v>
      </c>
      <c r="AA62" s="1">
        <f t="shared" si="9"/>
        <v>112930.49298000576</v>
      </c>
      <c r="AB62" s="1">
        <f t="shared" si="5"/>
        <v>0.322658551371445</v>
      </c>
      <c r="AD62" s="3"/>
    </row>
    <row r="63" spans="23:30" x14ac:dyDescent="0.3">
      <c r="W63" s="1">
        <f t="shared" si="12"/>
        <v>61</v>
      </c>
      <c r="Z63" s="1">
        <f t="shared" si="11"/>
        <v>3570.6546545033375</v>
      </c>
      <c r="AA63" s="1">
        <f t="shared" si="9"/>
        <v>116501.14763450909</v>
      </c>
      <c r="AB63" s="1">
        <f t="shared" si="5"/>
        <v>0.33286042181288311</v>
      </c>
      <c r="AD63" s="3"/>
    </row>
    <row r="64" spans="23:30" x14ac:dyDescent="0.3">
      <c r="W64" s="1">
        <f t="shared" si="12"/>
        <v>62</v>
      </c>
      <c r="Z64" s="1">
        <f t="shared" si="11"/>
        <v>3427.2183503759952</v>
      </c>
      <c r="AA64" s="1">
        <f t="shared" si="9"/>
        <v>119928.36598488508</v>
      </c>
      <c r="AB64" s="1">
        <f t="shared" si="5"/>
        <v>0.34265247424252882</v>
      </c>
      <c r="AD64" s="3"/>
    </row>
    <row r="65" spans="23:30" x14ac:dyDescent="0.3">
      <c r="W65" s="1">
        <f t="shared" si="12"/>
        <v>63</v>
      </c>
      <c r="Z65" s="1">
        <f t="shared" si="11"/>
        <v>3289.5440073825225</v>
      </c>
      <c r="AA65" s="1">
        <f t="shared" si="9"/>
        <v>123217.9099922676</v>
      </c>
      <c r="AB65" s="1">
        <f t="shared" si="5"/>
        <v>0.35205117140647885</v>
      </c>
      <c r="AD65" s="3"/>
    </row>
    <row r="66" spans="23:30" x14ac:dyDescent="0.3">
      <c r="W66" s="1">
        <f t="shared" si="12"/>
        <v>64</v>
      </c>
      <c r="Z66" s="1">
        <f t="shared" si="11"/>
        <v>3157.4001625309625</v>
      </c>
      <c r="AA66" s="1">
        <f t="shared" si="9"/>
        <v>126375.31015479856</v>
      </c>
      <c r="AB66" s="1">
        <f t="shared" si="5"/>
        <v>0.36107231472799589</v>
      </c>
      <c r="AD66" s="3"/>
    </row>
    <row r="67" spans="23:30" x14ac:dyDescent="0.3">
      <c r="W67" s="1">
        <f t="shared" si="12"/>
        <v>65</v>
      </c>
      <c r="Z67" s="1">
        <f t="shared" ref="Z67:Z130" si="13">43543*EXP(-0.041*W67)</f>
        <v>3030.5646508991326</v>
      </c>
      <c r="AA67" s="1">
        <f t="shared" si="9"/>
        <v>129405.87480569769</v>
      </c>
      <c r="AB67" s="1">
        <f t="shared" ref="AB67:AB128" si="14">(AA67*100) /(35*10^6)</f>
        <v>0.36973107087342194</v>
      </c>
      <c r="AD67" s="3"/>
    </row>
    <row r="68" spans="23:30" x14ac:dyDescent="0.3">
      <c r="W68" s="1">
        <f t="shared" si="12"/>
        <v>66</v>
      </c>
      <c r="Z68" s="1">
        <f t="shared" si="13"/>
        <v>2908.8242321230696</v>
      </c>
      <c r="AA68" s="1">
        <f t="shared" ref="AA68:AA128" si="15">AA67+Z68</f>
        <v>132314.69903782077</v>
      </c>
      <c r="AB68" s="1">
        <f t="shared" si="14"/>
        <v>0.37804199725091647</v>
      </c>
      <c r="AD68" s="3"/>
    </row>
    <row r="69" spans="23:30" x14ac:dyDescent="0.3">
      <c r="W69" s="1">
        <f t="shared" si="12"/>
        <v>67</v>
      </c>
      <c r="Z69" s="1">
        <f t="shared" si="13"/>
        <v>2791.9742318897597</v>
      </c>
      <c r="AA69" s="1">
        <f t="shared" si="15"/>
        <v>135106.67326971053</v>
      </c>
      <c r="AB69" s="1">
        <f t="shared" si="14"/>
        <v>0.38601906648488726</v>
      </c>
      <c r="AD69" s="3"/>
    </row>
    <row r="70" spans="23:30" x14ac:dyDescent="0.3">
      <c r="W70" s="1">
        <f t="shared" si="12"/>
        <v>68</v>
      </c>
      <c r="Z70" s="1">
        <f t="shared" si="13"/>
        <v>2679.8181978314224</v>
      </c>
      <c r="AA70" s="1">
        <f t="shared" si="15"/>
        <v>137786.49146754196</v>
      </c>
      <c r="AB70" s="1">
        <f t="shared" si="14"/>
        <v>0.39367568990726276</v>
      </c>
      <c r="AD70" s="3"/>
    </row>
    <row r="71" spans="23:30" x14ac:dyDescent="0.3">
      <c r="W71" s="1">
        <f t="shared" si="12"/>
        <v>69</v>
      </c>
      <c r="Z71" s="1">
        <f t="shared" si="13"/>
        <v>2572.1675692428125</v>
      </c>
      <c r="AA71" s="1">
        <f t="shared" si="15"/>
        <v>140358.65903678478</v>
      </c>
      <c r="AB71" s="1">
        <f t="shared" si="14"/>
        <v>0.40102474010509936</v>
      </c>
      <c r="AD71" s="3"/>
    </row>
    <row r="72" spans="23:30" x14ac:dyDescent="0.3">
      <c r="W72" s="1">
        <f t="shared" si="12"/>
        <v>70</v>
      </c>
      <c r="Z72" s="1">
        <f t="shared" si="13"/>
        <v>2468.8413600662739</v>
      </c>
      <c r="AA72" s="1">
        <f t="shared" si="15"/>
        <v>142827.50039685104</v>
      </c>
      <c r="AB72" s="1">
        <f t="shared" si="14"/>
        <v>0.40807857256243152</v>
      </c>
      <c r="AD72" s="3"/>
    </row>
    <row r="73" spans="23:30" x14ac:dyDescent="0.3">
      <c r="W73" s="1">
        <f t="shared" si="12"/>
        <v>71</v>
      </c>
      <c r="Z73" s="1">
        <f t="shared" si="13"/>
        <v>2369.6658546115523</v>
      </c>
      <c r="AA73" s="1">
        <f t="shared" si="15"/>
        <v>145197.16625146259</v>
      </c>
      <c r="AB73" s="1">
        <f t="shared" si="14"/>
        <v>0.41484904643275022</v>
      </c>
      <c r="AD73" s="3"/>
    </row>
    <row r="74" spans="23:30" x14ac:dyDescent="0.3">
      <c r="W74" s="1">
        <f t="shared" si="12"/>
        <v>72</v>
      </c>
      <c r="Z74" s="1">
        <f t="shared" si="13"/>
        <v>2274.4743154988137</v>
      </c>
      <c r="AA74" s="1">
        <f t="shared" si="15"/>
        <v>147471.6405669614</v>
      </c>
      <c r="AB74" s="1">
        <f t="shared" si="14"/>
        <v>0.4213475444770326</v>
      </c>
      <c r="AD74" s="3"/>
    </row>
    <row r="75" spans="23:30" x14ac:dyDescent="0.3">
      <c r="W75" s="1">
        <f t="shared" si="12"/>
        <v>73</v>
      </c>
      <c r="Z75" s="1">
        <f t="shared" si="13"/>
        <v>2183.1067033338413</v>
      </c>
      <c r="AA75" s="1">
        <f t="shared" si="15"/>
        <v>149654.74727029525</v>
      </c>
      <c r="AB75" s="1">
        <f t="shared" si="14"/>
        <v>0.42758499220084356</v>
      </c>
      <c r="AD75" s="3"/>
    </row>
    <row r="76" spans="23:30" x14ac:dyDescent="0.3">
      <c r="W76" s="1">
        <f t="shared" si="12"/>
        <v>74</v>
      </c>
      <c r="Z76" s="1">
        <f t="shared" si="13"/>
        <v>2095.4094076441288</v>
      </c>
      <c r="AA76" s="1">
        <f t="shared" si="15"/>
        <v>151750.15667793938</v>
      </c>
      <c r="AB76" s="1">
        <f t="shared" si="14"/>
        <v>0.43357187622268389</v>
      </c>
      <c r="AD76" s="3"/>
    </row>
    <row r="77" spans="23:30" x14ac:dyDescent="0.3">
      <c r="W77" s="1">
        <f t="shared" si="12"/>
        <v>75</v>
      </c>
      <c r="Z77" s="1">
        <f t="shared" si="13"/>
        <v>2011.2349886234965</v>
      </c>
      <c r="AA77" s="1">
        <f t="shared" si="15"/>
        <v>153761.39166656288</v>
      </c>
      <c r="AB77" s="1">
        <f t="shared" si="14"/>
        <v>0.43931826190446538</v>
      </c>
      <c r="AD77" s="3"/>
    </row>
    <row r="78" spans="23:30" x14ac:dyDescent="0.3">
      <c r="W78" s="1">
        <f t="shared" si="12"/>
        <v>76</v>
      </c>
      <c r="Z78" s="1">
        <f t="shared" si="13"/>
        <v>1930.441929251062</v>
      </c>
      <c r="AA78" s="1">
        <f t="shared" si="15"/>
        <v>155691.83359581395</v>
      </c>
      <c r="AB78" s="1">
        <f t="shared" si="14"/>
        <v>0.44483381027375418</v>
      </c>
      <c r="AD78" s="3"/>
    </row>
    <row r="79" spans="23:30" x14ac:dyDescent="0.3">
      <c r="W79" s="1">
        <f t="shared" si="12"/>
        <v>77</v>
      </c>
      <c r="Z79" s="1">
        <f t="shared" si="13"/>
        <v>1852.8943973677976</v>
      </c>
      <c r="AA79" s="1">
        <f t="shared" si="15"/>
        <v>157544.72799318176</v>
      </c>
      <c r="AB79" s="1">
        <f t="shared" si="14"/>
        <v>0.45012779426623362</v>
      </c>
      <c r="AD79" s="3"/>
    </row>
    <row r="80" spans="23:30" x14ac:dyDescent="0.3">
      <c r="W80" s="1">
        <f t="shared" si="12"/>
        <v>78</v>
      </c>
      <c r="Z80" s="1">
        <f t="shared" si="13"/>
        <v>1778.4620173106844</v>
      </c>
      <c r="AA80" s="1">
        <f t="shared" si="15"/>
        <v>159323.19001049246</v>
      </c>
      <c r="AB80" s="1">
        <f t="shared" si="14"/>
        <v>0.45520911431569278</v>
      </c>
      <c r="AD80" s="3"/>
    </row>
    <row r="81" spans="23:30" x14ac:dyDescent="0.3">
      <c r="W81" s="1">
        <f t="shared" si="12"/>
        <v>79</v>
      </c>
      <c r="Z81" s="1">
        <f t="shared" si="13"/>
        <v>1707.0196507205208</v>
      </c>
      <c r="AA81" s="1">
        <f t="shared" si="15"/>
        <v>161030.20966121298</v>
      </c>
      <c r="AB81" s="1">
        <f t="shared" si="14"/>
        <v>0.46008631331775135</v>
      </c>
      <c r="AD81" s="3"/>
    </row>
    <row r="82" spans="23:30" x14ac:dyDescent="0.3">
      <c r="W82" s="1">
        <f t="shared" si="12"/>
        <v>80</v>
      </c>
      <c r="Z82" s="1">
        <f t="shared" si="13"/>
        <v>1638.4471861548732</v>
      </c>
      <c r="AA82" s="1">
        <f t="shared" si="15"/>
        <v>162668.65684736785</v>
      </c>
      <c r="AB82" s="1">
        <f t="shared" si="14"/>
        <v>0.46476759099247955</v>
      </c>
      <c r="AD82" s="3"/>
    </row>
    <row r="83" spans="23:30" x14ac:dyDescent="0.3">
      <c r="W83" s="1">
        <f t="shared" si="12"/>
        <v>81</v>
      </c>
      <c r="Z83" s="1">
        <f t="shared" si="13"/>
        <v>1572.6293371524516</v>
      </c>
      <c r="AA83" s="1">
        <f t="shared" si="15"/>
        <v>164241.28618452029</v>
      </c>
      <c r="AB83" s="1">
        <f t="shared" si="14"/>
        <v>0.46926081767005801</v>
      </c>
      <c r="AD83" s="3"/>
    </row>
    <row r="84" spans="23:30" x14ac:dyDescent="0.3">
      <c r="W84" s="1">
        <f t="shared" si="12"/>
        <v>82</v>
      </c>
      <c r="Z84" s="1">
        <f t="shared" si="13"/>
        <v>1509.4554484094215</v>
      </c>
      <c r="AA84" s="1">
        <f t="shared" si="15"/>
        <v>165750.74163292971</v>
      </c>
      <c r="AB84" s="1">
        <f t="shared" si="14"/>
        <v>0.47357354752265629</v>
      </c>
      <c r="AD84" s="3"/>
    </row>
    <row r="85" spans="23:30" x14ac:dyDescent="0.3">
      <c r="W85" s="1">
        <f t="shared" si="12"/>
        <v>83</v>
      </c>
      <c r="Z85" s="1">
        <f t="shared" si="13"/>
        <v>1448.8193097417795</v>
      </c>
      <c r="AA85" s="1">
        <f t="shared" si="15"/>
        <v>167199.56094267149</v>
      </c>
      <c r="AB85" s="1">
        <f t="shared" si="14"/>
        <v>0.47771303126477566</v>
      </c>
      <c r="AD85" s="3"/>
    </row>
    <row r="86" spans="23:30" x14ac:dyDescent="0.3">
      <c r="W86" s="1">
        <f t="shared" si="12"/>
        <v>84</v>
      </c>
      <c r="Z86" s="1">
        <f t="shared" si="13"/>
        <v>1390.6189775210232</v>
      </c>
      <c r="AA86" s="1">
        <f t="shared" si="15"/>
        <v>168590.17992019252</v>
      </c>
      <c r="AB86" s="1">
        <f t="shared" si="14"/>
        <v>0.48168622834340719</v>
      </c>
      <c r="AD86" s="3"/>
    </row>
    <row r="87" spans="23:30" x14ac:dyDescent="0.3">
      <c r="W87" s="1">
        <f t="shared" si="12"/>
        <v>85</v>
      </c>
      <c r="Z87" s="1">
        <f t="shared" si="13"/>
        <v>1334.7566032829009</v>
      </c>
      <c r="AA87" s="1">
        <f t="shared" si="15"/>
        <v>169924.93652347542</v>
      </c>
      <c r="AB87" s="1">
        <f t="shared" si="14"/>
        <v>0.48549981863850122</v>
      </c>
      <c r="AD87" s="3"/>
    </row>
    <row r="88" spans="23:30" x14ac:dyDescent="0.3">
      <c r="W88" s="1">
        <f t="shared" si="12"/>
        <v>86</v>
      </c>
      <c r="Z88" s="1">
        <f t="shared" si="13"/>
        <v>1281.1382692211062</v>
      </c>
      <c r="AA88" s="1">
        <f t="shared" si="15"/>
        <v>171206.07479269654</v>
      </c>
      <c r="AB88" s="1">
        <f t="shared" si="14"/>
        <v>0.48916021369341867</v>
      </c>
      <c r="AD88" s="3"/>
    </row>
    <row r="89" spans="23:30" x14ac:dyDescent="0.3">
      <c r="W89" s="1">
        <f t="shared" si="12"/>
        <v>87</v>
      </c>
      <c r="Z89" s="1">
        <f t="shared" si="13"/>
        <v>1229.6738302893234</v>
      </c>
      <c r="AA89" s="1">
        <f t="shared" si="15"/>
        <v>172435.74862298588</v>
      </c>
      <c r="AB89" s="1">
        <f t="shared" si="14"/>
        <v>0.4926735674942454</v>
      </c>
      <c r="AD89" s="3"/>
    </row>
    <row r="90" spans="23:30" x14ac:dyDescent="0.3">
      <c r="W90" s="1">
        <f t="shared" si="12"/>
        <v>88</v>
      </c>
      <c r="Z90" s="1">
        <f t="shared" si="13"/>
        <v>1180.2767626461787</v>
      </c>
      <c r="AA90" s="1">
        <f t="shared" si="15"/>
        <v>173616.02538563206</v>
      </c>
      <c r="AB90" s="1">
        <f t="shared" si="14"/>
        <v>0.49604578681609163</v>
      </c>
      <c r="AD90" s="3"/>
    </row>
    <row r="91" spans="23:30" x14ac:dyDescent="0.3">
      <c r="W91" s="1">
        <f t="shared" si="12"/>
        <v>89</v>
      </c>
      <c r="Z91" s="1">
        <f t="shared" si="13"/>
        <v>1132.8640181882865</v>
      </c>
      <c r="AA91" s="1">
        <f t="shared" si="15"/>
        <v>174748.88940382036</v>
      </c>
      <c r="AB91" s="1">
        <f t="shared" si="14"/>
        <v>0.49928254115377252</v>
      </c>
      <c r="AD91" s="3"/>
    </row>
    <row r="92" spans="23:30" x14ac:dyDescent="0.3">
      <c r="W92" s="1">
        <f t="shared" si="12"/>
        <v>90</v>
      </c>
      <c r="Z92" s="1">
        <f t="shared" si="13"/>
        <v>1087.3558849268306</v>
      </c>
      <c r="AA92" s="1">
        <f t="shared" si="15"/>
        <v>175836.24528874719</v>
      </c>
      <c r="AB92" s="1">
        <f t="shared" si="14"/>
        <v>0.50238927225356333</v>
      </c>
      <c r="AD92" s="3"/>
    </row>
    <row r="93" spans="23:30" x14ac:dyDescent="0.3">
      <c r="W93" s="1">
        <f t="shared" si="12"/>
        <v>91</v>
      </c>
      <c r="Z93" s="1">
        <f t="shared" si="13"/>
        <v>1043.6758529729384</v>
      </c>
      <c r="AA93" s="1">
        <f t="shared" si="15"/>
        <v>176879.92114172011</v>
      </c>
      <c r="AB93" s="1">
        <f t="shared" si="14"/>
        <v>0.50537120326205742</v>
      </c>
      <c r="AD93" s="3"/>
    </row>
    <row r="94" spans="23:30" x14ac:dyDescent="0.3">
      <c r="W94" s="1">
        <f t="shared" si="12"/>
        <v>92</v>
      </c>
      <c r="Z94" s="1">
        <f t="shared" si="13"/>
        <v>1001.7504859065424</v>
      </c>
      <c r="AA94" s="1">
        <f t="shared" si="15"/>
        <v>177881.67162762667</v>
      </c>
      <c r="AB94" s="1">
        <f t="shared" si="14"/>
        <v>0.50823334750750482</v>
      </c>
      <c r="AD94" s="3"/>
    </row>
    <row r="95" spans="23:30" x14ac:dyDescent="0.3">
      <c r="W95" s="1">
        <f t="shared" si="12"/>
        <v>93</v>
      </c>
      <c r="Z95" s="1">
        <f t="shared" si="13"/>
        <v>961.50929731246151</v>
      </c>
      <c r="AA95" s="1">
        <f t="shared" si="15"/>
        <v>178843.18092493914</v>
      </c>
      <c r="AB95" s="1">
        <f t="shared" si="14"/>
        <v>0.51098051692839752</v>
      </c>
      <c r="AD95" s="3"/>
    </row>
    <row r="96" spans="23:30" x14ac:dyDescent="0.3">
      <c r="W96" s="1">
        <f t="shared" si="12"/>
        <v>94</v>
      </c>
      <c r="Z96" s="1">
        <f t="shared" si="13"/>
        <v>922.88463227613943</v>
      </c>
      <c r="AA96" s="1">
        <f t="shared" si="15"/>
        <v>179766.06555721528</v>
      </c>
      <c r="AB96" s="1">
        <f t="shared" si="14"/>
        <v>0.51361733016347222</v>
      </c>
      <c r="AD96" s="3"/>
    </row>
    <row r="97" spans="23:30" x14ac:dyDescent="0.3">
      <c r="W97" s="1">
        <f t="shared" si="12"/>
        <v>95</v>
      </c>
      <c r="Z97" s="1">
        <f t="shared" si="13"/>
        <v>885.81155363980145</v>
      </c>
      <c r="AA97" s="1">
        <f t="shared" si="15"/>
        <v>180651.87711085507</v>
      </c>
      <c r="AB97" s="1">
        <f t="shared" si="14"/>
        <v>0.51614822031672869</v>
      </c>
      <c r="AD97" s="3"/>
    </row>
    <row r="98" spans="23:30" x14ac:dyDescent="0.3">
      <c r="W98" s="1">
        <f t="shared" si="12"/>
        <v>96</v>
      </c>
      <c r="Z98" s="1">
        <f t="shared" si="13"/>
        <v>850.22773282779872</v>
      </c>
      <c r="AA98" s="1">
        <f t="shared" si="15"/>
        <v>181502.10484368287</v>
      </c>
      <c r="AB98" s="1">
        <f t="shared" si="14"/>
        <v>0.5185774424105225</v>
      </c>
      <c r="AD98" s="3"/>
    </row>
    <row r="99" spans="23:30" x14ac:dyDescent="0.3">
      <c r="W99" s="1">
        <f t="shared" si="12"/>
        <v>97</v>
      </c>
      <c r="Z99" s="1">
        <f t="shared" si="13"/>
        <v>816.07334505759536</v>
      </c>
      <c r="AA99" s="1">
        <f t="shared" si="15"/>
        <v>182318.17818874048</v>
      </c>
      <c r="AB99" s="1">
        <f t="shared" si="14"/>
        <v>0.52090908053925844</v>
      </c>
      <c r="AD99" s="3"/>
    </row>
    <row r="100" spans="23:30" x14ac:dyDescent="0.3">
      <c r="W100" s="1">
        <f t="shared" si="12"/>
        <v>98</v>
      </c>
      <c r="Z100" s="1">
        <f t="shared" si="13"/>
        <v>783.29096876022209</v>
      </c>
      <c r="AA100" s="1">
        <f t="shared" si="15"/>
        <v>183101.46915750069</v>
      </c>
      <c r="AB100" s="1">
        <f t="shared" si="14"/>
        <v>0.52314705473571621</v>
      </c>
      <c r="AD100" s="3"/>
    </row>
    <row r="101" spans="23:30" x14ac:dyDescent="0.3">
      <c r="W101" s="1">
        <f t="shared" si="12"/>
        <v>99</v>
      </c>
      <c r="Z101" s="1">
        <f t="shared" si="13"/>
        <v>751.82548904109206</v>
      </c>
      <c r="AA101" s="1">
        <f t="shared" si="15"/>
        <v>183853.29464654179</v>
      </c>
      <c r="AB101" s="1">
        <f t="shared" si="14"/>
        <v>0.52529512756154795</v>
      </c>
      <c r="AD101" s="3"/>
    </row>
    <row r="102" spans="23:30" x14ac:dyDescent="0.3">
      <c r="W102" s="1">
        <f t="shared" si="12"/>
        <v>100</v>
      </c>
      <c r="Z102" s="1">
        <f t="shared" si="13"/>
        <v>721.62400501888953</v>
      </c>
      <c r="AA102" s="1">
        <f t="shared" si="15"/>
        <v>184574.91865156067</v>
      </c>
      <c r="AB102" s="1">
        <f t="shared" si="14"/>
        <v>0.52735691043303046</v>
      </c>
      <c r="AD102" s="3"/>
    </row>
    <row r="103" spans="23:30" x14ac:dyDescent="0.3">
      <c r="W103" s="1">
        <f t="shared" si="12"/>
        <v>101</v>
      </c>
      <c r="Z103" s="1">
        <f t="shared" si="13"/>
        <v>692.63574088672726</v>
      </c>
      <c r="AA103" s="1">
        <f t="shared" si="15"/>
        <v>185267.5543924474</v>
      </c>
      <c r="AB103" s="1">
        <f t="shared" si="14"/>
        <v>0.52933586969270685</v>
      </c>
      <c r="AD103" s="3"/>
    </row>
    <row r="104" spans="23:30" x14ac:dyDescent="0.3">
      <c r="W104" s="1">
        <f t="shared" si="12"/>
        <v>102</v>
      </c>
      <c r="Z104" s="1">
        <f t="shared" si="13"/>
        <v>664.8119605460563</v>
      </c>
      <c r="AA104" s="1">
        <f t="shared" si="15"/>
        <v>185932.36635299347</v>
      </c>
      <c r="AB104" s="1">
        <f t="shared" si="14"/>
        <v>0.53123533243712417</v>
      </c>
      <c r="AD104" s="3"/>
    </row>
    <row r="105" spans="23:30" x14ac:dyDescent="0.3">
      <c r="W105" s="1">
        <f t="shared" si="12"/>
        <v>103</v>
      </c>
      <c r="Z105" s="1">
        <f t="shared" si="13"/>
        <v>638.10588566981187</v>
      </c>
      <c r="AA105" s="1">
        <f t="shared" si="15"/>
        <v>186570.47223866329</v>
      </c>
      <c r="AB105" s="1">
        <f t="shared" si="14"/>
        <v>0.53305849211046652</v>
      </c>
      <c r="AD105" s="3"/>
    </row>
    <row r="106" spans="23:30" x14ac:dyDescent="0.3">
      <c r="W106" s="1">
        <f t="shared" si="12"/>
        <v>104</v>
      </c>
      <c r="Z106" s="1">
        <f t="shared" si="13"/>
        <v>612.47261705702499</v>
      </c>
      <c r="AA106" s="1">
        <f t="shared" si="15"/>
        <v>187182.94485572033</v>
      </c>
      <c r="AB106" s="1">
        <f t="shared" si="14"/>
        <v>0.53480841387348665</v>
      </c>
      <c r="AD106" s="3"/>
    </row>
    <row r="107" spans="23:30" x14ac:dyDescent="0.3">
      <c r="W107" s="1">
        <f t="shared" si="12"/>
        <v>105</v>
      </c>
      <c r="Z107" s="1">
        <f t="shared" si="13"/>
        <v>587.86905914669546</v>
      </c>
      <c r="AA107" s="1">
        <f t="shared" si="15"/>
        <v>187770.81391486703</v>
      </c>
      <c r="AB107" s="1">
        <f t="shared" si="14"/>
        <v>0.53648803975676296</v>
      </c>
      <c r="AD107" s="3"/>
    </row>
    <row r="108" spans="23:30" x14ac:dyDescent="0.3">
      <c r="W108" s="1">
        <f t="shared" si="12"/>
        <v>106</v>
      </c>
      <c r="Z108" s="1">
        <f t="shared" si="13"/>
        <v>564.25384756400422</v>
      </c>
      <c r="AA108" s="1">
        <f t="shared" si="15"/>
        <v>188335.06776243105</v>
      </c>
      <c r="AB108" s="1">
        <f t="shared" si="14"/>
        <v>0.53810019360694583</v>
      </c>
      <c r="AD108" s="3"/>
    </row>
    <row r="109" spans="23:30" x14ac:dyDescent="0.3">
      <c r="W109" s="1">
        <f t="shared" ref="W109:W172" si="16">W108+1</f>
        <v>107</v>
      </c>
      <c r="Z109" s="1">
        <f t="shared" si="13"/>
        <v>541.58727957705594</v>
      </c>
      <c r="AA109" s="1">
        <f t="shared" si="15"/>
        <v>188876.65504200812</v>
      </c>
      <c r="AB109" s="1">
        <f t="shared" si="14"/>
        <v>0.53964758583430894</v>
      </c>
      <c r="AD109" s="3"/>
    </row>
    <row r="110" spans="23:30" x14ac:dyDescent="0.3">
      <c r="W110" s="1">
        <f t="shared" si="16"/>
        <v>108</v>
      </c>
      <c r="Z110" s="1">
        <f t="shared" si="13"/>
        <v>519.83124734724117</v>
      </c>
      <c r="AA110" s="1">
        <f t="shared" si="15"/>
        <v>189396.48628935535</v>
      </c>
      <c r="AB110" s="1">
        <f t="shared" si="14"/>
        <v>0.54113281796958668</v>
      </c>
      <c r="AD110" s="3"/>
    </row>
    <row r="111" spans="23:30" x14ac:dyDescent="0.3">
      <c r="W111" s="1">
        <f t="shared" si="16"/>
        <v>109</v>
      </c>
      <c r="Z111" s="1">
        <f t="shared" si="13"/>
        <v>498.94917386098138</v>
      </c>
      <c r="AA111" s="1">
        <f t="shared" si="15"/>
        <v>189895.43546321633</v>
      </c>
      <c r="AB111" s="1">
        <f t="shared" si="14"/>
        <v>0.54255838703776094</v>
      </c>
      <c r="AD111" s="3"/>
    </row>
    <row r="112" spans="23:30" x14ac:dyDescent="0.3">
      <c r="W112" s="1">
        <f t="shared" si="16"/>
        <v>110</v>
      </c>
      <c r="Z112" s="1">
        <f t="shared" si="13"/>
        <v>478.90595143515901</v>
      </c>
      <c r="AA112" s="1">
        <f t="shared" si="15"/>
        <v>190374.34141465148</v>
      </c>
      <c r="AB112" s="1">
        <f t="shared" si="14"/>
        <v>0.54392668975614711</v>
      </c>
      <c r="AD112" s="3"/>
    </row>
    <row r="113" spans="23:30" x14ac:dyDescent="0.3">
      <c r="W113" s="1">
        <f t="shared" si="16"/>
        <v>111</v>
      </c>
      <c r="Z113" s="1">
        <f t="shared" si="13"/>
        <v>459.66788269283137</v>
      </c>
      <c r="AA113" s="1">
        <f t="shared" si="15"/>
        <v>190834.00929734431</v>
      </c>
      <c r="AB113" s="1">
        <f t="shared" si="14"/>
        <v>0.54524002656384085</v>
      </c>
      <c r="AD113" s="3"/>
    </row>
    <row r="114" spans="23:30" x14ac:dyDescent="0.3">
      <c r="W114" s="1">
        <f t="shared" si="16"/>
        <v>112</v>
      </c>
      <c r="Z114" s="1">
        <f t="shared" si="13"/>
        <v>441.20262391000705</v>
      </c>
      <c r="AA114" s="1">
        <f t="shared" si="15"/>
        <v>191275.21192125432</v>
      </c>
      <c r="AB114" s="1">
        <f t="shared" si="14"/>
        <v>0.54650060548929802</v>
      </c>
      <c r="AD114" s="3"/>
    </row>
    <row r="115" spans="23:30" x14ac:dyDescent="0.3">
      <c r="W115" s="1">
        <f t="shared" si="16"/>
        <v>113</v>
      </c>
      <c r="Z115" s="1">
        <f t="shared" si="13"/>
        <v>423.47913063822824</v>
      </c>
      <c r="AA115" s="1">
        <f t="shared" si="15"/>
        <v>191698.69105189256</v>
      </c>
      <c r="AB115" s="1">
        <f t="shared" si="14"/>
        <v>0.54771054586255019</v>
      </c>
      <c r="AD115" s="3"/>
    </row>
    <row r="116" spans="23:30" x14ac:dyDescent="0.3">
      <c r="W116" s="1">
        <f t="shared" si="16"/>
        <v>114</v>
      </c>
      <c r="Z116" s="1">
        <f t="shared" si="13"/>
        <v>406.46760551154074</v>
      </c>
      <c r="AA116" s="1">
        <f t="shared" si="15"/>
        <v>192105.1586574041</v>
      </c>
      <c r="AB116" s="1">
        <f t="shared" si="14"/>
        <v>0.5488718818782975</v>
      </c>
      <c r="AD116" s="3"/>
    </row>
    <row r="117" spans="23:30" x14ac:dyDescent="0.3">
      <c r="W117" s="1">
        <f t="shared" si="16"/>
        <v>115</v>
      </c>
      <c r="Z117" s="1">
        <f t="shared" si="13"/>
        <v>390.13944815010751</v>
      </c>
      <c r="AA117" s="1">
        <f t="shared" si="15"/>
        <v>192495.29810555422</v>
      </c>
      <c r="AB117" s="1">
        <f t="shared" si="14"/>
        <v>0.54998656601586915</v>
      </c>
      <c r="AD117" s="3"/>
    </row>
    <row r="118" spans="23:30" x14ac:dyDescent="0.3">
      <c r="W118" s="1">
        <f t="shared" si="16"/>
        <v>116</v>
      </c>
      <c r="Z118" s="1">
        <f t="shared" si="13"/>
        <v>374.46720707623194</v>
      </c>
      <c r="AA118" s="1">
        <f t="shared" si="15"/>
        <v>192869.76531263045</v>
      </c>
      <c r="AB118" s="1">
        <f t="shared" si="14"/>
        <v>0.55105647232180133</v>
      </c>
      <c r="AD118" s="3"/>
    </row>
    <row r="119" spans="23:30" x14ac:dyDescent="0.3">
      <c r="W119" s="1">
        <f t="shared" si="16"/>
        <v>117</v>
      </c>
      <c r="Z119" s="1">
        <f t="shared" si="13"/>
        <v>359.42453356196182</v>
      </c>
      <c r="AA119" s="1">
        <f t="shared" si="15"/>
        <v>193229.1898461924</v>
      </c>
      <c r="AB119" s="1">
        <f t="shared" si="14"/>
        <v>0.55208339956054975</v>
      </c>
      <c r="AD119" s="3"/>
    </row>
    <row r="120" spans="23:30" x14ac:dyDescent="0.3">
      <c r="W120" s="1">
        <f t="shared" si="16"/>
        <v>118</v>
      </c>
      <c r="Z120" s="1">
        <f t="shared" si="13"/>
        <v>344.98613733067145</v>
      </c>
      <c r="AA120" s="1">
        <f t="shared" si="15"/>
        <v>193574.17598352308</v>
      </c>
      <c r="AB120" s="1">
        <f t="shared" si="14"/>
        <v>0.55306907423863738</v>
      </c>
      <c r="AD120" s="3"/>
    </row>
    <row r="121" spans="23:30" x14ac:dyDescent="0.3">
      <c r="W121" s="1">
        <f t="shared" si="16"/>
        <v>119</v>
      </c>
      <c r="Z121" s="1">
        <f t="shared" si="13"/>
        <v>331.12774403815013</v>
      </c>
      <c r="AA121" s="1">
        <f t="shared" si="15"/>
        <v>193905.30372756123</v>
      </c>
      <c r="AB121" s="1">
        <f t="shared" si="14"/>
        <v>0.55401515350731778</v>
      </c>
      <c r="AD121" s="3"/>
    </row>
    <row r="122" spans="23:30" x14ac:dyDescent="0.3">
      <c r="W122" s="1">
        <f t="shared" si="16"/>
        <v>120</v>
      </c>
      <c r="Z122" s="1">
        <f t="shared" si="13"/>
        <v>317.82605446171527</v>
      </c>
      <c r="AA122" s="1">
        <f t="shared" si="15"/>
        <v>194223.12978202294</v>
      </c>
      <c r="AB122" s="1">
        <f t="shared" si="14"/>
        <v>0.55492322794863702</v>
      </c>
      <c r="AD122" s="3"/>
    </row>
    <row r="123" spans="23:30" x14ac:dyDescent="0.3">
      <c r="W123" s="1">
        <f t="shared" si="16"/>
        <v>121</v>
      </c>
      <c r="Z123" s="1">
        <f t="shared" si="13"/>
        <v>305.05870532872979</v>
      </c>
      <c r="AA123" s="1">
        <f t="shared" si="15"/>
        <v>194528.18848735167</v>
      </c>
      <c r="AB123" s="1">
        <f t="shared" si="14"/>
        <v>0.55579482424957627</v>
      </c>
      <c r="AD123" s="3"/>
    </row>
    <row r="124" spans="23:30" x14ac:dyDescent="0.3">
      <c r="W124" s="1">
        <f t="shared" si="16"/>
        <v>122</v>
      </c>
      <c r="Z124" s="1">
        <f t="shared" si="13"/>
        <v>292.80423171867682</v>
      </c>
      <c r="AA124" s="1">
        <f t="shared" si="15"/>
        <v>194820.99271907035</v>
      </c>
      <c r="AB124" s="1">
        <f t="shared" si="14"/>
        <v>0.5566314077687724</v>
      </c>
      <c r="AD124" s="3"/>
    </row>
    <row r="125" spans="23:30" x14ac:dyDescent="0.3">
      <c r="W125" s="1">
        <f t="shared" si="16"/>
        <v>123</v>
      </c>
      <c r="Z125" s="1">
        <f t="shared" si="13"/>
        <v>281.04203097557121</v>
      </c>
      <c r="AA125" s="1">
        <f t="shared" si="15"/>
        <v>195102.03475004592</v>
      </c>
      <c r="AB125" s="1">
        <f t="shared" si="14"/>
        <v>0.55743438500013121</v>
      </c>
      <c r="AD125" s="3"/>
    </row>
    <row r="126" spans="23:30" x14ac:dyDescent="0.3">
      <c r="W126" s="1">
        <f t="shared" si="16"/>
        <v>124</v>
      </c>
      <c r="Z126" s="1">
        <f t="shared" si="13"/>
        <v>269.75232807004477</v>
      </c>
      <c r="AA126" s="1">
        <f t="shared" si="15"/>
        <v>195371.78707811597</v>
      </c>
      <c r="AB126" s="1">
        <f t="shared" si="14"/>
        <v>0.55820510593747419</v>
      </c>
      <c r="AD126" s="3"/>
    </row>
    <row r="127" spans="23:30" x14ac:dyDescent="0.3">
      <c r="W127" s="1">
        <f t="shared" si="16"/>
        <v>125</v>
      </c>
      <c r="Z127" s="1">
        <f t="shared" si="13"/>
        <v>258.91614235286437</v>
      </c>
      <c r="AA127" s="1">
        <f t="shared" si="15"/>
        <v>195630.70322046883</v>
      </c>
      <c r="AB127" s="1">
        <f t="shared" si="14"/>
        <v>0.55894486634419671</v>
      </c>
      <c r="AD127" s="3"/>
    </row>
    <row r="128" spans="23:30" x14ac:dyDescent="0.3">
      <c r="W128" s="1">
        <f t="shared" si="16"/>
        <v>126</v>
      </c>
      <c r="Z128" s="1">
        <f t="shared" si="13"/>
        <v>248.5152556439902</v>
      </c>
      <c r="AA128" s="1">
        <f t="shared" si="15"/>
        <v>195879.21847611282</v>
      </c>
      <c r="AB128" s="1">
        <f t="shared" si="14"/>
        <v>0.55965490993175093</v>
      </c>
      <c r="AD128" s="3"/>
    </row>
  </sheetData>
  <mergeCells count="2">
    <mergeCell ref="Y1:Y42"/>
    <mergeCell ref="AC1:AC4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9608-A911-4C2D-A35C-ECD3B17A1431}">
  <dimension ref="B1:BO72"/>
  <sheetViews>
    <sheetView view="pageBreakPreview" zoomScale="54" zoomScaleNormal="128" zoomScaleSheetLayoutView="83" workbookViewId="0">
      <selection activeCell="B1" sqref="B1:B1048576"/>
    </sheetView>
  </sheetViews>
  <sheetFormatPr defaultRowHeight="14.4" x14ac:dyDescent="0.3"/>
  <cols>
    <col min="2" max="2" width="8.77734375" style="1"/>
    <col min="24" max="24" width="11" customWidth="1"/>
    <col min="38" max="38" width="12.33203125" customWidth="1"/>
    <col min="39" max="39" width="15.21875" customWidth="1"/>
    <col min="41" max="41" width="6.33203125" customWidth="1"/>
    <col min="43" max="43" width="13.109375" customWidth="1"/>
    <col min="48" max="48" width="18.77734375" customWidth="1"/>
    <col min="49" max="49" width="47.88671875" customWidth="1"/>
    <col min="50" max="50" width="16.5546875" customWidth="1"/>
    <col min="51" max="51" width="70.5546875" customWidth="1"/>
    <col min="52" max="52" width="62.5546875" customWidth="1"/>
    <col min="53" max="53" width="92.6640625" customWidth="1"/>
    <col min="54" max="54" width="18.21875" customWidth="1"/>
    <col min="55" max="55" width="14.33203125" customWidth="1"/>
    <col min="57" max="57" width="26.44140625" customWidth="1"/>
    <col min="58" max="58" width="13.21875" customWidth="1"/>
    <col min="59" max="59" width="112.109375" customWidth="1"/>
    <col min="60" max="60" width="28.44140625" customWidth="1"/>
    <col min="61" max="61" width="47.109375" customWidth="1"/>
    <col min="62" max="62" width="32.21875" customWidth="1"/>
    <col min="63" max="63" width="33.5546875" customWidth="1"/>
    <col min="64" max="64" width="26.109375" customWidth="1"/>
    <col min="65" max="65" width="23" customWidth="1"/>
    <col min="66" max="66" width="14.88671875" customWidth="1"/>
    <col min="67" max="67" width="12.33203125" customWidth="1"/>
  </cols>
  <sheetData>
    <row r="1" spans="2:67" ht="16.8" thickBot="1" x14ac:dyDescent="0.35">
      <c r="B1" s="26" t="s">
        <v>89</v>
      </c>
      <c r="C1" s="87" t="s">
        <v>50</v>
      </c>
      <c r="D1" s="88"/>
      <c r="E1" s="88"/>
      <c r="F1" s="88"/>
      <c r="G1" s="88"/>
      <c r="H1" s="88"/>
      <c r="I1" s="88"/>
      <c r="J1" s="88"/>
      <c r="K1" s="88"/>
      <c r="L1" s="88"/>
      <c r="N1" s="89" t="s">
        <v>53</v>
      </c>
      <c r="O1" s="89"/>
      <c r="P1" s="89"/>
      <c r="Q1" s="89"/>
      <c r="R1" s="89"/>
      <c r="S1" s="89"/>
      <c r="T1" s="89"/>
      <c r="U1" s="89"/>
      <c r="V1" s="89"/>
      <c r="W1" s="89"/>
      <c r="Y1" s="90" t="s">
        <v>55</v>
      </c>
      <c r="Z1" s="90"/>
      <c r="AA1" s="90"/>
      <c r="AB1" s="90"/>
      <c r="AC1" s="90"/>
      <c r="AD1" s="90"/>
      <c r="AE1" s="90"/>
      <c r="AF1" s="90"/>
      <c r="AG1" s="90"/>
      <c r="AH1" s="90"/>
      <c r="AK1" s="27"/>
      <c r="AL1" s="27"/>
      <c r="AM1" s="27"/>
      <c r="AP1" s="94" t="s">
        <v>65</v>
      </c>
      <c r="AQ1" s="94"/>
      <c r="AR1" s="91" t="s">
        <v>66</v>
      </c>
      <c r="AS1" s="91"/>
      <c r="AT1" s="91"/>
      <c r="AU1" s="91"/>
      <c r="AV1" s="96" t="s">
        <v>67</v>
      </c>
      <c r="AW1" s="97" t="s">
        <v>102</v>
      </c>
      <c r="AX1" s="98" t="s">
        <v>73</v>
      </c>
      <c r="AY1" s="91" t="s">
        <v>93</v>
      </c>
      <c r="AZ1" s="33"/>
      <c r="BA1" s="91" t="s">
        <v>92</v>
      </c>
      <c r="BB1" s="29" t="s">
        <v>90</v>
      </c>
      <c r="BC1" s="91" t="s">
        <v>76</v>
      </c>
      <c r="BD1" s="91" t="s">
        <v>77</v>
      </c>
      <c r="BE1" s="91" t="s">
        <v>79</v>
      </c>
      <c r="BF1" s="99" t="s">
        <v>85</v>
      </c>
      <c r="BG1" s="100" t="s">
        <v>91</v>
      </c>
      <c r="BL1" s="98" t="s">
        <v>101</v>
      </c>
      <c r="BM1" s="98"/>
      <c r="BN1" s="98"/>
      <c r="BO1" s="98"/>
    </row>
    <row r="2" spans="2:67" ht="15" thickBot="1" x14ac:dyDescent="0.35">
      <c r="B2" s="39" t="s">
        <v>0</v>
      </c>
      <c r="C2" t="s">
        <v>36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37</v>
      </c>
      <c r="J2" t="s">
        <v>38</v>
      </c>
      <c r="K2" t="s">
        <v>39</v>
      </c>
      <c r="L2" t="s">
        <v>49</v>
      </c>
      <c r="M2" s="36" t="s">
        <v>51</v>
      </c>
      <c r="N2" t="s">
        <v>36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37</v>
      </c>
      <c r="U2" t="s">
        <v>38</v>
      </c>
      <c r="V2" t="s">
        <v>39</v>
      </c>
      <c r="W2" t="s">
        <v>52</v>
      </c>
      <c r="X2" s="44" t="s">
        <v>54</v>
      </c>
      <c r="Y2" t="s">
        <v>36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37</v>
      </c>
      <c r="AF2" t="s">
        <v>38</v>
      </c>
      <c r="AG2" t="s">
        <v>39</v>
      </c>
      <c r="AH2" t="s">
        <v>49</v>
      </c>
      <c r="AI2" s="35" t="s">
        <v>56</v>
      </c>
      <c r="AK2" s="27"/>
      <c r="AL2" s="27"/>
      <c r="AM2" s="27"/>
      <c r="AO2" s="27" t="s">
        <v>64</v>
      </c>
      <c r="AP2" s="95" t="s">
        <v>72</v>
      </c>
      <c r="AQ2" s="95"/>
      <c r="AR2" s="91"/>
      <c r="AS2" s="91"/>
      <c r="AT2" s="91"/>
      <c r="AU2" s="91"/>
      <c r="AV2" s="96"/>
      <c r="AW2" s="97"/>
      <c r="AX2" s="98"/>
      <c r="AY2" s="91"/>
      <c r="AZ2" s="33" t="s">
        <v>87</v>
      </c>
      <c r="BA2" s="91"/>
      <c r="BB2" s="29" t="s">
        <v>86</v>
      </c>
      <c r="BC2" s="91"/>
      <c r="BD2" s="91"/>
      <c r="BE2" s="91"/>
      <c r="BF2" s="99"/>
      <c r="BG2" s="100"/>
      <c r="BH2" s="29" t="s">
        <v>94</v>
      </c>
      <c r="BI2" s="29" t="s">
        <v>95</v>
      </c>
      <c r="BJ2" s="29" t="s">
        <v>99</v>
      </c>
      <c r="BK2" s="29" t="s">
        <v>100</v>
      </c>
      <c r="BL2" s="35" t="s">
        <v>96</v>
      </c>
      <c r="BM2" s="36" t="s">
        <v>97</v>
      </c>
      <c r="BN2" s="37" t="s">
        <v>98</v>
      </c>
      <c r="BO2" s="29" t="s">
        <v>52</v>
      </c>
    </row>
    <row r="3" spans="2:67" ht="15" thickBot="1" x14ac:dyDescent="0.35">
      <c r="B3" s="40">
        <v>43770</v>
      </c>
      <c r="C3" s="25">
        <v>15468.504999999999</v>
      </c>
      <c r="L3" s="25">
        <f>SUM(C3:K3)</f>
        <v>15468.504999999999</v>
      </c>
      <c r="M3" s="42">
        <f>L3</f>
        <v>15468.504999999999</v>
      </c>
      <c r="N3" s="28">
        <v>72832</v>
      </c>
      <c r="W3" s="25">
        <f>SUM(N3:V3)</f>
        <v>72832</v>
      </c>
      <c r="X3" s="43">
        <f>W3</f>
        <v>72832</v>
      </c>
      <c r="Y3" s="5">
        <v>28.832443000000001</v>
      </c>
      <c r="AH3" s="25">
        <f>SUM(Y3:AG3)</f>
        <v>28.832443000000001</v>
      </c>
      <c r="AI3" s="45">
        <f>AH3</f>
        <v>28.832443000000001</v>
      </c>
      <c r="AO3">
        <v>1</v>
      </c>
      <c r="AP3" s="92">
        <f xml:space="preserve"> (-0.0742*AO3+ 2217.1)</f>
        <v>2217.0257999999999</v>
      </c>
      <c r="AQ3" s="92"/>
      <c r="AR3" s="93">
        <f>(1.5048)*( (((AP3/ 18.2) + 1.4) * 10^0.23607 )^1.2048)</f>
        <v>956.58974646358229</v>
      </c>
      <c r="AS3" s="93"/>
      <c r="AT3" s="93"/>
      <c r="AU3" s="93"/>
      <c r="AV3" s="46">
        <f>(0.02827 * AL15 *AL6) / AP3</f>
        <v>7.9007571603361589E-3</v>
      </c>
      <c r="AW3" s="47">
        <f>0.9759+(0.00012*(BF3*((1.5048/0.8547)^0.5)+1.25*(666.24-460))^1.2)</f>
        <v>1.2171031898746698</v>
      </c>
      <c r="AX3" s="48">
        <f>(X3*35.3147) / M3</f>
        <v>166.27594136602085</v>
      </c>
      <c r="AY3" s="32">
        <f>(M3*(AW3+(AX3-BF3)*AV3)-(BG3-(AI3*1)))</f>
        <v>567669.46454267832</v>
      </c>
      <c r="AZ3">
        <f>(((AW3-1.16)+($BF$3-BF3))*AV3)+(AW3*($AL$19-$AL$20)*((($AL$27*$AL$22)+$AL$23))/0.56)</f>
        <v>1.6219127558362235E-2</v>
      </c>
      <c r="BA3">
        <f>AY3/AZ3</f>
        <v>35000000.000000007</v>
      </c>
      <c r="BB3">
        <f>BA3/10^6</f>
        <v>35.000000000000007</v>
      </c>
      <c r="BC3">
        <f>(($AL$20/18.2) + 1.4)</f>
        <v>38.036813186813184</v>
      </c>
      <c r="BD3">
        <f>10^$AN$8</f>
        <v>1.7221524744100771</v>
      </c>
      <c r="BE3">
        <f>(BC3 * BD3)^1.2048</f>
        <v>154.25846013908642</v>
      </c>
      <c r="BF3" s="48">
        <f>BE3 * $AL$11</f>
        <v>232.12813081729723</v>
      </c>
      <c r="BG3" s="49">
        <f>M3*(AW3+(AX3 -BF3)*AV3) + AI3*1 -( 35*10^6 *(AZ3) )</f>
        <v>-556861.85247367108</v>
      </c>
      <c r="BH3">
        <f>(AW3-1.16)+($BF$3-BF3)*AV3</f>
        <v>5.7103189874669891E-2</v>
      </c>
      <c r="BI3">
        <f xml:space="preserve"> (AW3*($AL$19-$AL$20)*((($AL$27*$AL$22)+$AL$23))/0.56)</f>
        <v>1.57679691220819E-2</v>
      </c>
      <c r="BJ3">
        <f xml:space="preserve"> (BG3-(AI3*1))</f>
        <v>-556890.68491667113</v>
      </c>
      <c r="BK3">
        <f xml:space="preserve"> M3*(AW3+(AX3-BF3)*AV3)</f>
        <v>10778.779626007148</v>
      </c>
      <c r="BL3" s="49">
        <f xml:space="preserve"> (35*10^6*BH3) /BK3</f>
        <v>185.42095811952365</v>
      </c>
      <c r="BM3" s="50">
        <f xml:space="preserve"> (35*10^6*BI3) / BK3</f>
        <v>51.200501208994702</v>
      </c>
      <c r="BN3" s="38">
        <f xml:space="preserve"> 1- BL3 -BM3</f>
        <v>-235.62145932851834</v>
      </c>
      <c r="BO3">
        <f xml:space="preserve"> BL3+BM3+BN3</f>
        <v>1</v>
      </c>
    </row>
    <row r="4" spans="2:67" x14ac:dyDescent="0.3">
      <c r="B4" s="41">
        <v>43800</v>
      </c>
      <c r="C4" s="25">
        <v>24186.651999999998</v>
      </c>
      <c r="I4" s="25">
        <v>16757.349999999999</v>
      </c>
      <c r="L4" s="25">
        <f>SUM(C4:K4)</f>
        <v>40944.001999999993</v>
      </c>
      <c r="M4" s="42">
        <f>M3+L4</f>
        <v>56412.506999999991</v>
      </c>
      <c r="N4" s="5">
        <v>98918</v>
      </c>
      <c r="T4" s="5">
        <v>28477</v>
      </c>
      <c r="W4" s="25">
        <f t="shared" ref="W4:W67" si="0">SUM(N4:V4)</f>
        <v>127395</v>
      </c>
      <c r="X4" s="43">
        <f t="shared" ref="X4:X9" si="1">X3+W4</f>
        <v>200227</v>
      </c>
      <c r="Y4" s="3">
        <v>42.820957999999997</v>
      </c>
      <c r="AE4" s="5">
        <v>296.59551800000003</v>
      </c>
      <c r="AH4" s="25">
        <f t="shared" ref="AH4:AH67" si="2">SUM(Y4:AG4)</f>
        <v>339.41647600000005</v>
      </c>
      <c r="AI4" s="45">
        <f>AI3+AH4</f>
        <v>368.24891900000006</v>
      </c>
      <c r="AK4" s="27" t="s">
        <v>60</v>
      </c>
      <c r="AL4" s="27">
        <v>33.9</v>
      </c>
      <c r="AO4">
        <f>AO3+1</f>
        <v>2</v>
      </c>
      <c r="AP4" s="92">
        <f t="shared" ref="AP4:AP30" si="3" xml:space="preserve"> (-0.0742*AO4+ 2217.1)</f>
        <v>2216.9515999999999</v>
      </c>
      <c r="AQ4" s="92"/>
      <c r="AR4" s="93">
        <f t="shared" ref="AR4:AR30" si="4">(1.5048)* (((AP4/ 18.2) + 1.4) * 10^0.236072 )^1.2048</f>
        <v>956.55691997015595</v>
      </c>
      <c r="AS4" s="93"/>
      <c r="AT4" s="93"/>
      <c r="AU4" s="93"/>
      <c r="AV4" s="46">
        <f>(0.02827 * 0.93 *666.24) / AP4</f>
        <v>7.9010215937957325E-3</v>
      </c>
      <c r="AW4" s="47">
        <f t="shared" ref="AW4:AW30" si="5" xml:space="preserve"> 0.9759 + 0.00012*(BF4* (1.5048/0.8547)^0.5 + 1.25*(666.24 - 460))^1.2</f>
        <v>1.2171031898746698</v>
      </c>
      <c r="AX4" s="48">
        <f>(X4*35.3147) / M4</f>
        <v>125.34377238189398</v>
      </c>
      <c r="AY4" s="32">
        <f t="shared" ref="AY4:AY30" si="6">(M4*(AW4+(AX4-BF4)*AV4)-(BG4-(AI4*1)))</f>
        <v>567669.99304246996</v>
      </c>
      <c r="AZ4">
        <f t="shared" ref="AZ4:AZ30" si="7">(((AW4-1.16)+($BF$3-BF4))*AV4)+(AW4*($AL$19-$AL$20)*((($AL$27*$AL$22)+$AL$23))/0.56)</f>
        <v>1.6219142658356285E-2</v>
      </c>
      <c r="BA4">
        <f t="shared" ref="BA4:BA30" si="8">AY4/AZ4</f>
        <v>35000000</v>
      </c>
      <c r="BB4">
        <f t="shared" ref="BB4:BB30" si="9">BA4/10^6</f>
        <v>35</v>
      </c>
      <c r="BC4">
        <f t="shared" ref="BC4:BC30" si="10">(($AL$20/18.2) + 1.4)</f>
        <v>38.036813186813184</v>
      </c>
      <c r="BD4">
        <f t="shared" ref="BD4:BD30" si="11">10^$AN$8</f>
        <v>1.7221524744100771</v>
      </c>
      <c r="BE4">
        <f t="shared" ref="BE4:BE30" si="12">(BC4 * BD4)^1.2048</f>
        <v>154.25846013908642</v>
      </c>
      <c r="BF4" s="48">
        <f t="shared" ref="BF4:BF30" si="13">BE4 * $AL$11</f>
        <v>232.12813081729723</v>
      </c>
      <c r="BG4" s="49">
        <f t="shared" ref="BG4:BG30" si="14">M4*(AW4+(AX4 -BF4)*AV4) + AI4*1 -( 35*10^6 *(AZ4) )</f>
        <v>-546237.44556380971</v>
      </c>
      <c r="BH4">
        <f t="shared" ref="BH4:BH30" si="15">(AW4-1.16)+($BF$3-BF4)*AV4</f>
        <v>5.7103189874669891E-2</v>
      </c>
      <c r="BI4">
        <f t="shared" ref="BI4:BI30" si="16" xml:space="preserve"> (AW4*($AL$19-$AL$20)*((($AL$27*$AL$22)+$AL$23))/0.56)</f>
        <v>1.57679691220819E-2</v>
      </c>
      <c r="BJ4">
        <f t="shared" ref="BJ4:BJ30" si="17" xml:space="preserve"> (BG4-(AI4*1))</f>
        <v>-546605.69448280975</v>
      </c>
      <c r="BK4">
        <f t="shared" ref="BK4:BK30" si="18" xml:space="preserve"> M4*(AW4+(AX4-BF4)*AV4)</f>
        <v>21064.298559660223</v>
      </c>
      <c r="BL4" s="49">
        <f t="shared" ref="BL4:BL30" si="19" xml:space="preserve"> (35*10^6*BH4) /BK4</f>
        <v>94.881471602427041</v>
      </c>
      <c r="BM4" s="50">
        <f t="shared" ref="BM4:BM30" si="20" xml:space="preserve"> (35*10^6*BI4) / BK4</f>
        <v>26.199729258004236</v>
      </c>
      <c r="BN4" s="38">
        <f t="shared" ref="BN4:BN30" si="21" xml:space="preserve"> 1- BL4 -BM4</f>
        <v>-120.08120086043128</v>
      </c>
      <c r="BO4">
        <f t="shared" ref="BO4:BO30" si="22" xml:space="preserve"> BL4+BM4+BN4</f>
        <v>1</v>
      </c>
    </row>
    <row r="5" spans="2:67" x14ac:dyDescent="0.3">
      <c r="B5" s="41">
        <v>43831</v>
      </c>
      <c r="C5" s="25">
        <v>34158.847000000002</v>
      </c>
      <c r="I5" s="25">
        <v>34708.120000000003</v>
      </c>
      <c r="L5" s="25">
        <f t="shared" ref="L5:L67" si="23">SUM(C5:K5)</f>
        <v>68866.967000000004</v>
      </c>
      <c r="M5" s="42">
        <f>M4+L5</f>
        <v>125279.47399999999</v>
      </c>
      <c r="N5" s="3">
        <v>46372</v>
      </c>
      <c r="T5" s="3">
        <v>30011</v>
      </c>
      <c r="W5" s="25">
        <f t="shared" si="0"/>
        <v>76383</v>
      </c>
      <c r="X5" s="43">
        <f t="shared" si="1"/>
        <v>276610</v>
      </c>
      <c r="Y5" s="3">
        <v>181.901017</v>
      </c>
      <c r="AE5" s="3">
        <v>184.88866899999999</v>
      </c>
      <c r="AH5" s="25">
        <f t="shared" si="2"/>
        <v>366.78968599999996</v>
      </c>
      <c r="AI5" s="45">
        <f t="shared" ref="AI5:AI68" si="24">AI4+AH5</f>
        <v>735.03860499999996</v>
      </c>
      <c r="AO5">
        <f t="shared" ref="AO5:AO68" si="25">AO4+1</f>
        <v>3</v>
      </c>
      <c r="AP5" s="92">
        <f t="shared" si="3"/>
        <v>2216.8773999999999</v>
      </c>
      <c r="AQ5" s="92"/>
      <c r="AR5" s="93">
        <f t="shared" si="4"/>
        <v>956.51878626488713</v>
      </c>
      <c r="AS5" s="93"/>
      <c r="AT5" s="93"/>
      <c r="AU5" s="93"/>
      <c r="AV5" s="46">
        <f t="shared" ref="AV5:AV30" si="26">(0.02827 * 0.93 *666.24) / AP5</f>
        <v>7.9012860449567488E-3</v>
      </c>
      <c r="AW5" s="47">
        <f t="shared" si="5"/>
        <v>1.2171031898746698</v>
      </c>
      <c r="AX5" s="48">
        <f t="shared" ref="AX5:AX30" si="27">(X5*35.3147) / M5</f>
        <v>77.972862234399244</v>
      </c>
      <c r="AY5" s="32">
        <f t="shared" si="6"/>
        <v>567670.52157764009</v>
      </c>
      <c r="AZ5">
        <f t="shared" si="7"/>
        <v>1.6219157759361145E-2</v>
      </c>
      <c r="BA5">
        <f t="shared" si="8"/>
        <v>35000000</v>
      </c>
      <c r="BB5">
        <f t="shared" si="9"/>
        <v>35</v>
      </c>
      <c r="BC5">
        <f t="shared" si="10"/>
        <v>38.036813186813184</v>
      </c>
      <c r="BD5">
        <f t="shared" si="11"/>
        <v>1.7221524744100771</v>
      </c>
      <c r="BE5">
        <f t="shared" si="12"/>
        <v>154.25846013908642</v>
      </c>
      <c r="BF5" s="48">
        <f t="shared" si="13"/>
        <v>232.12813081729723</v>
      </c>
      <c r="BG5" s="49">
        <f t="shared" si="14"/>
        <v>-567050.95087593782</v>
      </c>
      <c r="BH5">
        <f t="shared" si="15"/>
        <v>5.7103189874669891E-2</v>
      </c>
      <c r="BI5">
        <f t="shared" si="16"/>
        <v>1.57679691220819E-2</v>
      </c>
      <c r="BJ5">
        <f t="shared" si="17"/>
        <v>-567785.98948093783</v>
      </c>
      <c r="BK5">
        <f t="shared" si="18"/>
        <v>-115.46790329773629</v>
      </c>
      <c r="BL5" s="49">
        <f t="shared" si="19"/>
        <v>-17308.806937110359</v>
      </c>
      <c r="BM5" s="50">
        <f t="shared" si="20"/>
        <v>-4779.5006535265102</v>
      </c>
      <c r="BN5" s="38">
        <f t="shared" si="21"/>
        <v>22089.307590636869</v>
      </c>
      <c r="BO5">
        <f t="shared" si="22"/>
        <v>1</v>
      </c>
    </row>
    <row r="6" spans="2:67" x14ac:dyDescent="0.3">
      <c r="B6" s="41">
        <v>43862</v>
      </c>
      <c r="C6" s="25">
        <v>32855.891000000003</v>
      </c>
      <c r="D6" s="5">
        <v>6964.4120000000003</v>
      </c>
      <c r="G6" s="25">
        <v>17195.096000000001</v>
      </c>
      <c r="I6" s="25">
        <v>30075.115000000002</v>
      </c>
      <c r="L6" s="25">
        <f t="shared" si="23"/>
        <v>87090.51400000001</v>
      </c>
      <c r="M6" s="42">
        <f t="shared" ref="M6:M68" si="28">M5+L6</f>
        <v>212369.98800000001</v>
      </c>
      <c r="N6" s="3">
        <v>176199</v>
      </c>
      <c r="O6" s="25">
        <v>92232</v>
      </c>
      <c r="R6" s="5">
        <v>6196</v>
      </c>
      <c r="T6" s="3">
        <v>266654</v>
      </c>
      <c r="W6" s="25">
        <f t="shared" si="0"/>
        <v>541281</v>
      </c>
      <c r="X6" s="43">
        <f t="shared" si="1"/>
        <v>817891</v>
      </c>
      <c r="Y6" s="3">
        <v>395.75421699999998</v>
      </c>
      <c r="Z6" s="5">
        <v>1057.7745359999999</v>
      </c>
      <c r="AC6" s="5">
        <v>264.26594599999999</v>
      </c>
      <c r="AE6" s="3">
        <v>362.10378500000002</v>
      </c>
      <c r="AH6" s="25">
        <f t="shared" si="2"/>
        <v>2079.8984839999998</v>
      </c>
      <c r="AI6" s="45">
        <f t="shared" si="24"/>
        <v>2814.937089</v>
      </c>
      <c r="AK6" t="s">
        <v>69</v>
      </c>
      <c r="AL6">
        <f>666.24</f>
        <v>666.24</v>
      </c>
      <c r="AO6">
        <f t="shared" si="25"/>
        <v>4</v>
      </c>
      <c r="AP6" s="92">
        <f t="shared" si="3"/>
        <v>2216.8031999999998</v>
      </c>
      <c r="AQ6" s="92"/>
      <c r="AR6" s="93">
        <f t="shared" si="4"/>
        <v>956.48065281804327</v>
      </c>
      <c r="AS6" s="93"/>
      <c r="AT6" s="93"/>
      <c r="AU6" s="93"/>
      <c r="AV6" s="46">
        <f t="shared" si="26"/>
        <v>7.9015505138209843E-3</v>
      </c>
      <c r="AW6" s="47">
        <f t="shared" si="5"/>
        <v>1.2171031898746698</v>
      </c>
      <c r="AX6" s="48">
        <f t="shared" si="27"/>
        <v>136.00591858440939</v>
      </c>
      <c r="AY6" s="32">
        <f t="shared" si="6"/>
        <v>567671.05014819198</v>
      </c>
      <c r="AZ6">
        <f t="shared" si="7"/>
        <v>1.6219172861376915E-2</v>
      </c>
      <c r="BA6">
        <f t="shared" si="8"/>
        <v>35000000</v>
      </c>
      <c r="BB6">
        <f t="shared" si="9"/>
        <v>35</v>
      </c>
      <c r="BC6">
        <f t="shared" si="10"/>
        <v>38.036813186813184</v>
      </c>
      <c r="BD6">
        <f t="shared" si="11"/>
        <v>1.7221524744100771</v>
      </c>
      <c r="BE6">
        <f t="shared" si="12"/>
        <v>154.25846013908642</v>
      </c>
      <c r="BF6" s="48">
        <f t="shared" si="13"/>
        <v>232.12813081729723</v>
      </c>
      <c r="BG6" s="49">
        <f t="shared" si="14"/>
        <v>-467678.01176446956</v>
      </c>
      <c r="BH6">
        <f t="shared" si="15"/>
        <v>5.7103189874669891E-2</v>
      </c>
      <c r="BI6">
        <f t="shared" si="16"/>
        <v>1.57679691220819E-2</v>
      </c>
      <c r="BJ6">
        <f t="shared" si="17"/>
        <v>-470492.94885346957</v>
      </c>
      <c r="BK6">
        <f t="shared" si="18"/>
        <v>97178.101294722394</v>
      </c>
      <c r="BL6" s="49">
        <f t="shared" si="19"/>
        <v>20.566481738020826</v>
      </c>
      <c r="BM6" s="50">
        <f t="shared" si="20"/>
        <v>5.6790461217092973</v>
      </c>
      <c r="BN6" s="38">
        <f t="shared" si="21"/>
        <v>-25.245527859730124</v>
      </c>
      <c r="BO6">
        <f t="shared" si="22"/>
        <v>1</v>
      </c>
    </row>
    <row r="7" spans="2:67" x14ac:dyDescent="0.3">
      <c r="B7" s="41">
        <v>43891</v>
      </c>
      <c r="C7" s="25">
        <v>38101.913999999997</v>
      </c>
      <c r="D7" s="3">
        <v>31594.366000000002</v>
      </c>
      <c r="G7" s="25">
        <v>30314.215</v>
      </c>
      <c r="I7" s="25">
        <v>34843.927000000003</v>
      </c>
      <c r="L7" s="25">
        <f t="shared" si="23"/>
        <v>134854.42199999999</v>
      </c>
      <c r="M7" s="42">
        <f t="shared" si="28"/>
        <v>347224.41000000003</v>
      </c>
      <c r="N7" s="3">
        <v>288496</v>
      </c>
      <c r="O7" s="25">
        <v>500191</v>
      </c>
      <c r="R7" s="3">
        <v>12306</v>
      </c>
      <c r="T7" s="3">
        <v>376484</v>
      </c>
      <c r="W7" s="25">
        <f t="shared" si="0"/>
        <v>1177477</v>
      </c>
      <c r="X7" s="43">
        <f t="shared" si="1"/>
        <v>1995368</v>
      </c>
      <c r="Y7" s="3">
        <v>693.68317300000001</v>
      </c>
      <c r="Z7" s="3">
        <v>4352.761743</v>
      </c>
      <c r="AC7" s="3">
        <v>551.97397999999998</v>
      </c>
      <c r="AE7" s="3">
        <v>634.47728700000005</v>
      </c>
      <c r="AH7" s="25">
        <f t="shared" si="2"/>
        <v>6232.8961829999998</v>
      </c>
      <c r="AI7" s="45">
        <f t="shared" si="24"/>
        <v>9047.8332719999999</v>
      </c>
      <c r="AO7">
        <f t="shared" si="25"/>
        <v>5</v>
      </c>
      <c r="AP7" s="92">
        <f t="shared" si="3"/>
        <v>2216.7289999999998</v>
      </c>
      <c r="AQ7" s="92"/>
      <c r="AR7" s="93">
        <f t="shared" si="4"/>
        <v>956.44251962963381</v>
      </c>
      <c r="AS7" s="93"/>
      <c r="AT7" s="93"/>
      <c r="AU7" s="93"/>
      <c r="AV7" s="46">
        <f t="shared" si="26"/>
        <v>7.9018150003902152E-3</v>
      </c>
      <c r="AW7" s="47">
        <f t="shared" si="5"/>
        <v>1.2171031898746698</v>
      </c>
      <c r="AX7" s="48">
        <f t="shared" si="27"/>
        <v>202.94028956547152</v>
      </c>
      <c r="AY7" s="32">
        <f t="shared" si="6"/>
        <v>567671.57875412947</v>
      </c>
      <c r="AZ7">
        <f t="shared" si="7"/>
        <v>1.6219187964403699E-2</v>
      </c>
      <c r="BA7">
        <f t="shared" si="8"/>
        <v>35000000</v>
      </c>
      <c r="BB7">
        <f t="shared" si="9"/>
        <v>35</v>
      </c>
      <c r="BC7">
        <f t="shared" si="10"/>
        <v>38.036813186813184</v>
      </c>
      <c r="BD7">
        <f t="shared" si="11"/>
        <v>1.7221524744100771</v>
      </c>
      <c r="BE7">
        <f t="shared" si="12"/>
        <v>154.25846013908642</v>
      </c>
      <c r="BF7" s="48">
        <f t="shared" si="13"/>
        <v>232.12813081729723</v>
      </c>
      <c r="BG7" s="49">
        <f t="shared" si="14"/>
        <v>-216098.57757634926</v>
      </c>
      <c r="BH7">
        <f t="shared" si="15"/>
        <v>5.7103189874669891E-2</v>
      </c>
      <c r="BI7">
        <f t="shared" si="16"/>
        <v>1.57679691220819E-2</v>
      </c>
      <c r="BJ7">
        <f t="shared" si="17"/>
        <v>-225146.41084834925</v>
      </c>
      <c r="BK7">
        <f t="shared" si="18"/>
        <v>342525.1679057802</v>
      </c>
      <c r="BL7" s="49">
        <f t="shared" si="19"/>
        <v>5.8349337008812512</v>
      </c>
      <c r="BM7" s="50">
        <f t="shared" si="20"/>
        <v>1.6112069155299971</v>
      </c>
      <c r="BN7" s="38">
        <f t="shared" si="21"/>
        <v>-6.446140616411248</v>
      </c>
      <c r="BO7">
        <f t="shared" si="22"/>
        <v>1</v>
      </c>
    </row>
    <row r="8" spans="2:67" x14ac:dyDescent="0.3">
      <c r="B8" s="41">
        <v>43922</v>
      </c>
      <c r="C8" s="25">
        <v>36734.659</v>
      </c>
      <c r="D8" s="3">
        <v>30460.629000000001</v>
      </c>
      <c r="G8" s="25">
        <v>29226.414000000001</v>
      </c>
      <c r="I8" s="25">
        <v>33593.584999999999</v>
      </c>
      <c r="L8" s="25">
        <f t="shared" si="23"/>
        <v>130015.28700000001</v>
      </c>
      <c r="M8" s="42">
        <f t="shared" si="28"/>
        <v>477239.69700000004</v>
      </c>
      <c r="N8" s="3">
        <v>277193</v>
      </c>
      <c r="O8" s="25">
        <v>480607</v>
      </c>
      <c r="R8" s="3">
        <v>11823</v>
      </c>
      <c r="T8" s="3">
        <v>361731</v>
      </c>
      <c r="W8" s="25">
        <f t="shared" si="0"/>
        <v>1131354</v>
      </c>
      <c r="X8" s="43">
        <f t="shared" si="1"/>
        <v>3126722</v>
      </c>
      <c r="Y8" s="3">
        <v>737.93820700000003</v>
      </c>
      <c r="Z8" s="3">
        <v>4630.5004419999996</v>
      </c>
      <c r="AC8" s="3">
        <v>587.19685900000002</v>
      </c>
      <c r="AE8" s="3">
        <v>674.95214999999996</v>
      </c>
      <c r="AH8" s="25">
        <f t="shared" si="2"/>
        <v>6630.5876579999995</v>
      </c>
      <c r="AI8" s="45">
        <f t="shared" si="24"/>
        <v>15678.42093</v>
      </c>
      <c r="AK8" s="91" t="s">
        <v>74</v>
      </c>
      <c r="AL8" s="91"/>
      <c r="AM8" s="91"/>
      <c r="AN8" s="91">
        <f>(0.0125*AL4)-((0.00091)*(AL6-460))</f>
        <v>0.23607160000000002</v>
      </c>
      <c r="AO8">
        <f t="shared" si="25"/>
        <v>6</v>
      </c>
      <c r="AP8" s="92">
        <f t="shared" si="3"/>
        <v>2216.6547999999998</v>
      </c>
      <c r="AQ8" s="92"/>
      <c r="AR8" s="93">
        <f t="shared" si="4"/>
        <v>956.40438669966375</v>
      </c>
      <c r="AS8" s="93"/>
      <c r="AT8" s="93"/>
      <c r="AU8" s="93"/>
      <c r="AV8" s="46">
        <f t="shared" si="26"/>
        <v>7.9020795046662214E-3</v>
      </c>
      <c r="AW8" s="47">
        <f t="shared" si="5"/>
        <v>1.2171031898746698</v>
      </c>
      <c r="AX8" s="48">
        <f t="shared" si="27"/>
        <v>231.3706301204864</v>
      </c>
      <c r="AY8" s="32">
        <f t="shared" si="6"/>
        <v>567672.10739545582</v>
      </c>
      <c r="AZ8">
        <f t="shared" si="7"/>
        <v>1.6219203068441594E-2</v>
      </c>
      <c r="BA8">
        <f t="shared" si="8"/>
        <v>35000000</v>
      </c>
      <c r="BB8">
        <f t="shared" si="9"/>
        <v>35</v>
      </c>
      <c r="BC8">
        <f t="shared" si="10"/>
        <v>38.036813186813184</v>
      </c>
      <c r="BD8">
        <f t="shared" si="11"/>
        <v>1.7221524744100771</v>
      </c>
      <c r="BE8">
        <f t="shared" si="12"/>
        <v>154.25846013908642</v>
      </c>
      <c r="BF8" s="48">
        <f t="shared" si="13"/>
        <v>232.12813081729723</v>
      </c>
      <c r="BG8" s="49">
        <f t="shared" si="14"/>
        <v>25999.595043690759</v>
      </c>
      <c r="BH8">
        <f t="shared" si="15"/>
        <v>5.7103189874669891E-2</v>
      </c>
      <c r="BI8">
        <f t="shared" si="16"/>
        <v>1.57679691220819E-2</v>
      </c>
      <c r="BJ8">
        <f t="shared" si="17"/>
        <v>10321.174113690759</v>
      </c>
      <c r="BK8">
        <f t="shared" si="18"/>
        <v>577993.28150914656</v>
      </c>
      <c r="BL8" s="49">
        <f t="shared" si="19"/>
        <v>3.4578458081641537</v>
      </c>
      <c r="BM8" s="50">
        <f t="shared" si="20"/>
        <v>0.95481891732704016</v>
      </c>
      <c r="BN8" s="38">
        <f t="shared" si="21"/>
        <v>-3.4126647254911937</v>
      </c>
      <c r="BO8">
        <f t="shared" si="22"/>
        <v>1</v>
      </c>
    </row>
    <row r="9" spans="2:67" x14ac:dyDescent="0.3">
      <c r="B9" s="41">
        <v>43952</v>
      </c>
      <c r="C9" s="25">
        <v>36152.794000000002</v>
      </c>
      <c r="D9" s="3">
        <v>38538.296000000002</v>
      </c>
      <c r="G9" s="25">
        <v>27887.142</v>
      </c>
      <c r="I9" s="25">
        <v>35444.567000000003</v>
      </c>
      <c r="L9" s="25">
        <f t="shared" si="23"/>
        <v>138022.799</v>
      </c>
      <c r="M9" s="42">
        <f t="shared" si="28"/>
        <v>615262.49600000004</v>
      </c>
      <c r="N9" s="3">
        <v>313908</v>
      </c>
      <c r="O9" s="25">
        <v>402328</v>
      </c>
      <c r="R9" s="3">
        <v>137680</v>
      </c>
      <c r="T9" s="3">
        <v>354854</v>
      </c>
      <c r="W9" s="25">
        <f t="shared" si="0"/>
        <v>1208770</v>
      </c>
      <c r="X9" s="43">
        <f t="shared" si="1"/>
        <v>4335492</v>
      </c>
      <c r="Y9" s="3">
        <v>591.91420600000004</v>
      </c>
      <c r="Z9" s="3">
        <v>2539.3746649999998</v>
      </c>
      <c r="AC9" s="3">
        <v>5103.4367929999999</v>
      </c>
      <c r="AE9" s="3">
        <v>717.62215200000003</v>
      </c>
      <c r="AH9" s="25">
        <f t="shared" si="2"/>
        <v>8952.3478159999995</v>
      </c>
      <c r="AI9" s="45">
        <f t="shared" si="24"/>
        <v>24630.768746000002</v>
      </c>
      <c r="AK9" s="91"/>
      <c r="AL9" s="91"/>
      <c r="AM9" s="91"/>
      <c r="AN9" s="91"/>
      <c r="AO9">
        <f t="shared" si="25"/>
        <v>7</v>
      </c>
      <c r="AP9" s="92">
        <f t="shared" si="3"/>
        <v>2216.5805999999998</v>
      </c>
      <c r="AQ9" s="92"/>
      <c r="AR9" s="93">
        <f t="shared" si="4"/>
        <v>956.36625402814059</v>
      </c>
      <c r="AS9" s="93"/>
      <c r="AT9" s="93"/>
      <c r="AU9" s="93"/>
      <c r="AV9" s="46">
        <f t="shared" si="26"/>
        <v>7.9023440266507792E-3</v>
      </c>
      <c r="AW9" s="47">
        <f t="shared" si="5"/>
        <v>1.2171031898746698</v>
      </c>
      <c r="AX9" s="48">
        <f t="shared" si="27"/>
        <v>248.84760622952058</v>
      </c>
      <c r="AY9" s="32">
        <f t="shared" si="6"/>
        <v>567672.63607217453</v>
      </c>
      <c r="AZ9">
        <f t="shared" si="7"/>
        <v>1.6219218173490701E-2</v>
      </c>
      <c r="BA9">
        <f t="shared" si="8"/>
        <v>35000000</v>
      </c>
      <c r="BB9">
        <f t="shared" si="9"/>
        <v>35</v>
      </c>
      <c r="BC9">
        <f t="shared" si="10"/>
        <v>38.036813186813184</v>
      </c>
      <c r="BD9">
        <f t="shared" si="11"/>
        <v>1.7221524744100771</v>
      </c>
      <c r="BE9">
        <f t="shared" si="12"/>
        <v>154.25846013908642</v>
      </c>
      <c r="BF9" s="48">
        <f t="shared" si="13"/>
        <v>232.12813081729723</v>
      </c>
      <c r="BG9" s="49">
        <f t="shared" si="14"/>
        <v>287086.43462822924</v>
      </c>
      <c r="BH9">
        <f t="shared" si="15"/>
        <v>5.7103189874669891E-2</v>
      </c>
      <c r="BI9">
        <f t="shared" si="16"/>
        <v>1.57679691220819E-2</v>
      </c>
      <c r="BJ9">
        <f t="shared" si="17"/>
        <v>262455.66588222922</v>
      </c>
      <c r="BK9">
        <f t="shared" si="18"/>
        <v>830128.30195440375</v>
      </c>
      <c r="BL9" s="49">
        <f t="shared" si="19"/>
        <v>2.4075936706507126</v>
      </c>
      <c r="BM9" s="50">
        <f t="shared" si="20"/>
        <v>0.66481159354952257</v>
      </c>
      <c r="BN9" s="38">
        <f t="shared" si="21"/>
        <v>-2.0724052642002353</v>
      </c>
      <c r="BO9">
        <f t="shared" si="22"/>
        <v>1</v>
      </c>
    </row>
    <row r="10" spans="2:67" x14ac:dyDescent="0.3">
      <c r="B10" s="41">
        <v>43983</v>
      </c>
      <c r="C10" s="25">
        <v>34487.737999999998</v>
      </c>
      <c r="D10" s="3">
        <v>43318.690999999999</v>
      </c>
      <c r="G10" s="25">
        <v>25486.512999999999</v>
      </c>
      <c r="I10" s="25">
        <v>35553.067000000003</v>
      </c>
      <c r="L10" s="25">
        <f t="shared" si="23"/>
        <v>138846.00900000002</v>
      </c>
      <c r="M10" s="42">
        <f t="shared" si="28"/>
        <v>754108.50500000012</v>
      </c>
      <c r="N10" s="3">
        <v>313938</v>
      </c>
      <c r="O10" s="25">
        <v>307317</v>
      </c>
      <c r="R10" s="3">
        <v>278696</v>
      </c>
      <c r="T10" s="3">
        <v>316891</v>
      </c>
      <c r="W10" s="25">
        <f t="shared" si="0"/>
        <v>1216842</v>
      </c>
      <c r="X10" s="43">
        <f t="shared" ref="X10:X68" si="29">X9+W10</f>
        <v>5552334</v>
      </c>
      <c r="Y10" s="3">
        <v>528.45012599999995</v>
      </c>
      <c r="Z10" s="3">
        <v>1355.9802440000001</v>
      </c>
      <c r="AC10" s="3">
        <v>13118.723918</v>
      </c>
      <c r="AE10" s="3">
        <v>862.86621300000002</v>
      </c>
      <c r="AH10" s="25">
        <f t="shared" si="2"/>
        <v>15866.020500999999</v>
      </c>
      <c r="AI10" s="45">
        <f t="shared" si="24"/>
        <v>40496.789247000001</v>
      </c>
      <c r="AO10">
        <f t="shared" si="25"/>
        <v>8</v>
      </c>
      <c r="AP10" s="92">
        <f t="shared" si="3"/>
        <v>2216.5063999999998</v>
      </c>
      <c r="AQ10" s="92"/>
      <c r="AR10" s="93">
        <f t="shared" si="4"/>
        <v>956.32812161507081</v>
      </c>
      <c r="AS10" s="93"/>
      <c r="AT10" s="93"/>
      <c r="AU10" s="93"/>
      <c r="AV10" s="46">
        <f t="shared" si="26"/>
        <v>7.9026085663456702E-3</v>
      </c>
      <c r="AW10" s="47">
        <f t="shared" si="5"/>
        <v>1.2171031898746698</v>
      </c>
      <c r="AX10" s="48">
        <f t="shared" si="27"/>
        <v>260.01431917254399</v>
      </c>
      <c r="AY10" s="32">
        <f t="shared" si="6"/>
        <v>567673.16478428966</v>
      </c>
      <c r="AZ10">
        <f t="shared" si="7"/>
        <v>1.6219233279551128E-2</v>
      </c>
      <c r="BA10">
        <f t="shared" si="8"/>
        <v>35000000.000000007</v>
      </c>
      <c r="BB10">
        <f t="shared" si="9"/>
        <v>35.000000000000007</v>
      </c>
      <c r="BC10">
        <f t="shared" si="10"/>
        <v>38.036813186813184</v>
      </c>
      <c r="BD10">
        <f t="shared" si="11"/>
        <v>1.7221524744100771</v>
      </c>
      <c r="BE10">
        <f t="shared" si="12"/>
        <v>154.25846013908642</v>
      </c>
      <c r="BF10" s="48">
        <f t="shared" si="13"/>
        <v>232.12813081729723</v>
      </c>
      <c r="BG10" s="49">
        <f>M10*(AW10+(AX10 -BF10)*AV10) + AI10*1 -( 35*10^6 *(AZ10) )</f>
        <v>556837.12080875027</v>
      </c>
      <c r="BH10">
        <f t="shared" si="15"/>
        <v>5.7103189874669891E-2</v>
      </c>
      <c r="BI10">
        <f t="shared" si="16"/>
        <v>1.57679691220819E-2</v>
      </c>
      <c r="BJ10">
        <f t="shared" si="17"/>
        <v>516340.33156175027</v>
      </c>
      <c r="BK10">
        <f t="shared" si="18"/>
        <v>1084013.4963460399</v>
      </c>
      <c r="BL10" s="49">
        <f t="shared" si="19"/>
        <v>1.8437147252781503</v>
      </c>
      <c r="BM10" s="50">
        <f t="shared" si="20"/>
        <v>0.5091070555238687</v>
      </c>
      <c r="BN10" s="38">
        <f t="shared" si="21"/>
        <v>-1.3528217808020191</v>
      </c>
      <c r="BO10">
        <f t="shared" si="22"/>
        <v>1</v>
      </c>
    </row>
    <row r="11" spans="2:67" x14ac:dyDescent="0.3">
      <c r="B11" s="41">
        <v>44013</v>
      </c>
      <c r="C11" s="25">
        <v>34302.982616819398</v>
      </c>
      <c r="D11" s="3">
        <v>42852.655683565201</v>
      </c>
      <c r="G11" s="25">
        <v>18957.063823328397</v>
      </c>
      <c r="I11" s="25">
        <v>35132.965327712998</v>
      </c>
      <c r="L11" s="25">
        <f t="shared" si="23"/>
        <v>131245.66745142598</v>
      </c>
      <c r="M11" s="42">
        <f t="shared" si="28"/>
        <v>885354.17245142604</v>
      </c>
      <c r="N11" s="3">
        <v>285522</v>
      </c>
      <c r="O11" s="25">
        <v>283725</v>
      </c>
      <c r="R11" s="3">
        <v>281921</v>
      </c>
      <c r="T11" s="3">
        <v>283002</v>
      </c>
      <c r="W11" s="25">
        <f t="shared" si="0"/>
        <v>1134170</v>
      </c>
      <c r="X11" s="43">
        <f t="shared" si="29"/>
        <v>6686504</v>
      </c>
      <c r="Y11" s="3">
        <v>659.50439800000004</v>
      </c>
      <c r="Z11" s="3">
        <v>1138.397193</v>
      </c>
      <c r="AC11" s="3">
        <v>23516.077805000001</v>
      </c>
      <c r="AE11" s="3">
        <v>777.73376900000005</v>
      </c>
      <c r="AH11" s="25">
        <f t="shared" si="2"/>
        <v>26091.713165000001</v>
      </c>
      <c r="AI11" s="45">
        <f t="shared" si="24"/>
        <v>66588.502412000002</v>
      </c>
      <c r="AK11" t="s">
        <v>62</v>
      </c>
      <c r="AL11" s="21">
        <v>1.5047999999999999</v>
      </c>
      <c r="AO11">
        <f t="shared" si="25"/>
        <v>9</v>
      </c>
      <c r="AP11" s="92">
        <f t="shared" si="3"/>
        <v>2216.4321999999997</v>
      </c>
      <c r="AQ11" s="92"/>
      <c r="AR11" s="93">
        <f t="shared" si="4"/>
        <v>956.28998946046124</v>
      </c>
      <c r="AS11" s="93"/>
      <c r="AT11" s="93"/>
      <c r="AU11" s="93"/>
      <c r="AV11" s="46">
        <f t="shared" si="26"/>
        <v>7.9028731237526691E-3</v>
      </c>
      <c r="AW11" s="47">
        <f t="shared" si="5"/>
        <v>1.2171031898746698</v>
      </c>
      <c r="AX11" s="48">
        <f t="shared" si="27"/>
        <v>266.70895123810482</v>
      </c>
      <c r="AY11" s="32">
        <f t="shared" si="6"/>
        <v>567673.69353180414</v>
      </c>
      <c r="AZ11">
        <f t="shared" si="7"/>
        <v>1.6219248386622975E-2</v>
      </c>
      <c r="BA11">
        <f t="shared" si="8"/>
        <v>35000000</v>
      </c>
      <c r="BB11">
        <f t="shared" si="9"/>
        <v>35</v>
      </c>
      <c r="BC11">
        <f t="shared" si="10"/>
        <v>38.036813186813184</v>
      </c>
      <c r="BD11">
        <f t="shared" si="11"/>
        <v>1.7221524744100771</v>
      </c>
      <c r="BE11">
        <f t="shared" si="12"/>
        <v>154.25846013908642</v>
      </c>
      <c r="BF11" s="48">
        <f t="shared" si="13"/>
        <v>232.12813081729723</v>
      </c>
      <c r="BG11" s="49">
        <f t="shared" si="14"/>
        <v>818438.72248891473</v>
      </c>
      <c r="BH11">
        <f t="shared" si="15"/>
        <v>5.7103189874669891E-2</v>
      </c>
      <c r="BI11">
        <f t="shared" si="16"/>
        <v>1.57679691220819E-2</v>
      </c>
      <c r="BJ11">
        <f t="shared" si="17"/>
        <v>751850.22007691476</v>
      </c>
      <c r="BK11">
        <f t="shared" si="18"/>
        <v>1319523.9136087189</v>
      </c>
      <c r="BL11" s="49">
        <f t="shared" si="19"/>
        <v>1.5146460211907145</v>
      </c>
      <c r="BM11" s="50">
        <f t="shared" si="20"/>
        <v>0.41824093794825778</v>
      </c>
      <c r="BN11" s="38">
        <f t="shared" si="21"/>
        <v>-0.93288695913897224</v>
      </c>
      <c r="BO11">
        <f t="shared" si="22"/>
        <v>0.99999999999999989</v>
      </c>
    </row>
    <row r="12" spans="2:67" x14ac:dyDescent="0.3">
      <c r="B12" s="41">
        <v>44044</v>
      </c>
      <c r="C12" s="25">
        <v>35767.324999999997</v>
      </c>
      <c r="D12" s="3">
        <v>44358.150999999998</v>
      </c>
      <c r="G12" s="25">
        <v>15832.148999999999</v>
      </c>
      <c r="I12" s="25">
        <v>36477.771999999997</v>
      </c>
      <c r="L12" s="25">
        <f t="shared" si="23"/>
        <v>132435.397</v>
      </c>
      <c r="M12" s="42">
        <f t="shared" si="28"/>
        <v>1017789.569451426</v>
      </c>
      <c r="N12" s="3">
        <v>302148</v>
      </c>
      <c r="O12" s="25">
        <v>300540</v>
      </c>
      <c r="R12" s="3">
        <v>300968</v>
      </c>
      <c r="T12" s="3">
        <v>298429</v>
      </c>
      <c r="W12" s="25">
        <f t="shared" si="0"/>
        <v>1202085</v>
      </c>
      <c r="X12" s="43">
        <f t="shared" si="29"/>
        <v>7888589</v>
      </c>
      <c r="Y12" s="3">
        <v>609.63257599999997</v>
      </c>
      <c r="Z12" s="3">
        <v>1173.638942</v>
      </c>
      <c r="AC12" s="3">
        <v>26015.568846999999</v>
      </c>
      <c r="AE12" s="3">
        <v>919.67568700000004</v>
      </c>
      <c r="AH12" s="25">
        <f t="shared" si="2"/>
        <v>28718.516051999999</v>
      </c>
      <c r="AI12" s="45">
        <f t="shared" si="24"/>
        <v>95307.018463999993</v>
      </c>
      <c r="AO12">
        <f t="shared" si="25"/>
        <v>10</v>
      </c>
      <c r="AP12" s="92">
        <f t="shared" si="3"/>
        <v>2216.3579999999997</v>
      </c>
      <c r="AQ12" s="92"/>
      <c r="AR12" s="93">
        <f t="shared" si="4"/>
        <v>956.25185756431847</v>
      </c>
      <c r="AS12" s="93"/>
      <c r="AT12" s="93"/>
      <c r="AU12" s="93"/>
      <c r="AV12" s="46">
        <f t="shared" si="26"/>
        <v>7.903137698873559E-3</v>
      </c>
      <c r="AW12" s="47">
        <f t="shared" si="5"/>
        <v>1.2171031898746698</v>
      </c>
      <c r="AX12" s="48">
        <f t="shared" si="27"/>
        <v>273.71390149778438</v>
      </c>
      <c r="AY12" s="32">
        <f t="shared" si="6"/>
        <v>567674.2223147219</v>
      </c>
      <c r="AZ12">
        <f t="shared" si="7"/>
        <v>1.621926349470634E-2</v>
      </c>
      <c r="BA12">
        <f t="shared" si="8"/>
        <v>35000000</v>
      </c>
      <c r="BB12">
        <f t="shared" si="9"/>
        <v>35</v>
      </c>
      <c r="BC12">
        <f t="shared" si="10"/>
        <v>38.036813186813184</v>
      </c>
      <c r="BD12">
        <f t="shared" si="11"/>
        <v>1.7221524744100771</v>
      </c>
      <c r="BE12">
        <f t="shared" si="12"/>
        <v>154.25846013908642</v>
      </c>
      <c r="BF12" s="48">
        <f t="shared" si="13"/>
        <v>232.12813081729723</v>
      </c>
      <c r="BG12" s="49">
        <f t="shared" si="14"/>
        <v>1100892.4853490896</v>
      </c>
      <c r="BH12">
        <f t="shared" si="15"/>
        <v>5.7103189874669891E-2</v>
      </c>
      <c r="BI12">
        <f t="shared" si="16"/>
        <v>1.57679691220819E-2</v>
      </c>
      <c r="BJ12">
        <f t="shared" si="17"/>
        <v>1005585.4668850896</v>
      </c>
      <c r="BK12">
        <f t="shared" si="18"/>
        <v>1573259.6891998115</v>
      </c>
      <c r="BL12" s="49">
        <f t="shared" si="19"/>
        <v>1.2703634748500905</v>
      </c>
      <c r="BM12" s="50">
        <f t="shared" si="20"/>
        <v>0.35078691907091453</v>
      </c>
      <c r="BN12" s="38">
        <f t="shared" si="21"/>
        <v>-0.62115039392100502</v>
      </c>
      <c r="BO12">
        <f t="shared" si="22"/>
        <v>1</v>
      </c>
    </row>
    <row r="13" spans="2:67" x14ac:dyDescent="0.3">
      <c r="B13" s="41">
        <v>44075</v>
      </c>
      <c r="C13" s="25">
        <v>33228.538999999997</v>
      </c>
      <c r="D13" s="3">
        <v>40721.800999999999</v>
      </c>
      <c r="G13" s="25">
        <v>9811.8459999999995</v>
      </c>
      <c r="I13" s="25">
        <v>32314.04</v>
      </c>
      <c r="L13" s="25">
        <f t="shared" si="23"/>
        <v>116076.226</v>
      </c>
      <c r="M13" s="42">
        <f t="shared" si="28"/>
        <v>1133865.7954514259</v>
      </c>
      <c r="N13" s="3">
        <v>291370</v>
      </c>
      <c r="O13" s="25">
        <v>289822</v>
      </c>
      <c r="R13" s="3">
        <v>290244</v>
      </c>
      <c r="T13" s="3">
        <v>287783</v>
      </c>
      <c r="W13" s="25">
        <f t="shared" si="0"/>
        <v>1159219</v>
      </c>
      <c r="X13" s="43">
        <f t="shared" si="29"/>
        <v>9047808</v>
      </c>
      <c r="Y13" s="3">
        <v>583.49216799999999</v>
      </c>
      <c r="Z13" s="3">
        <v>1386.045486</v>
      </c>
      <c r="AC13" s="3">
        <v>31383.384806999999</v>
      </c>
      <c r="AE13" s="3">
        <v>914.18468800000005</v>
      </c>
      <c r="AH13" s="25">
        <f t="shared" si="2"/>
        <v>34267.107149000003</v>
      </c>
      <c r="AI13" s="45">
        <f t="shared" si="24"/>
        <v>129574.125613</v>
      </c>
      <c r="AJ13" t="s">
        <v>61</v>
      </c>
      <c r="AK13" t="s">
        <v>63</v>
      </c>
      <c r="AL13" s="21">
        <v>0.85470000000000002</v>
      </c>
      <c r="AO13">
        <f t="shared" si="25"/>
        <v>11</v>
      </c>
      <c r="AP13" s="92">
        <f t="shared" si="3"/>
        <v>2216.2837999999997</v>
      </c>
      <c r="AQ13" s="92"/>
      <c r="AR13" s="93">
        <f t="shared" si="4"/>
        <v>956.21372592664932</v>
      </c>
      <c r="AS13" s="93"/>
      <c r="AT13" s="93"/>
      <c r="AU13" s="93"/>
      <c r="AV13" s="46">
        <f t="shared" si="26"/>
        <v>7.9034022917101147E-3</v>
      </c>
      <c r="AW13" s="47">
        <f t="shared" si="5"/>
        <v>1.2171031898746698</v>
      </c>
      <c r="AX13" s="48">
        <f t="shared" si="27"/>
        <v>281.79756939434731</v>
      </c>
      <c r="AY13" s="32">
        <f t="shared" si="6"/>
        <v>567674.75113304635</v>
      </c>
      <c r="AZ13">
        <f t="shared" si="7"/>
        <v>1.6219278603801325E-2</v>
      </c>
      <c r="BA13">
        <f t="shared" si="8"/>
        <v>35000000</v>
      </c>
      <c r="BB13">
        <f t="shared" si="9"/>
        <v>35</v>
      </c>
      <c r="BC13">
        <f t="shared" si="10"/>
        <v>38.036813186813184</v>
      </c>
      <c r="BD13">
        <f t="shared" si="11"/>
        <v>1.7221524744100771</v>
      </c>
      <c r="BE13">
        <f t="shared" si="12"/>
        <v>154.25846013908642</v>
      </c>
      <c r="BF13" s="48">
        <f t="shared" si="13"/>
        <v>232.12813081729723</v>
      </c>
      <c r="BG13" s="49">
        <f t="shared" si="14"/>
        <v>1387038.6350088886</v>
      </c>
      <c r="BH13">
        <f t="shared" si="15"/>
        <v>5.7103189874669891E-2</v>
      </c>
      <c r="BI13">
        <f t="shared" si="16"/>
        <v>1.57679691220819E-2</v>
      </c>
      <c r="BJ13">
        <f t="shared" si="17"/>
        <v>1257464.5093958885</v>
      </c>
      <c r="BK13">
        <f t="shared" si="18"/>
        <v>1825139.2605289349</v>
      </c>
      <c r="BL13" s="49">
        <f t="shared" si="19"/>
        <v>1.0950461089934793</v>
      </c>
      <c r="BM13" s="50">
        <f t="shared" si="20"/>
        <v>0.30237633434773031</v>
      </c>
      <c r="BN13" s="38">
        <f t="shared" si="21"/>
        <v>-0.39742244334120963</v>
      </c>
      <c r="BO13">
        <f t="shared" si="22"/>
        <v>1</v>
      </c>
    </row>
    <row r="14" spans="2:67" x14ac:dyDescent="0.3">
      <c r="B14" s="41">
        <v>44105</v>
      </c>
      <c r="C14" s="25">
        <v>30783.079000000002</v>
      </c>
      <c r="D14" s="3">
        <v>37724.870999999999</v>
      </c>
      <c r="G14" s="25">
        <v>9089.7420000000002</v>
      </c>
      <c r="I14" s="25">
        <v>29935.887999999999</v>
      </c>
      <c r="L14" s="25">
        <f t="shared" si="23"/>
        <v>107533.57999999999</v>
      </c>
      <c r="M14" s="42">
        <f t="shared" si="28"/>
        <v>1241399.375451426</v>
      </c>
      <c r="N14" s="3">
        <v>309984</v>
      </c>
      <c r="O14" s="25">
        <v>308336</v>
      </c>
      <c r="R14" s="3">
        <v>308784</v>
      </c>
      <c r="T14" s="3">
        <v>306167</v>
      </c>
      <c r="W14" s="25">
        <f t="shared" si="0"/>
        <v>1233271</v>
      </c>
      <c r="X14" s="43">
        <f>X13+W14</f>
        <v>10281079</v>
      </c>
      <c r="Y14" s="3">
        <v>697.92249900000002</v>
      </c>
      <c r="Z14" s="3">
        <v>1657.8403249999999</v>
      </c>
      <c r="AC14" s="3">
        <v>37537.388024</v>
      </c>
      <c r="AE14" s="3">
        <v>1093.4376999999999</v>
      </c>
      <c r="AH14" s="25">
        <f t="shared" si="2"/>
        <v>40986.588548</v>
      </c>
      <c r="AI14" s="45">
        <f t="shared" si="24"/>
        <v>170560.71416099998</v>
      </c>
      <c r="AO14">
        <f t="shared" si="25"/>
        <v>12</v>
      </c>
      <c r="AP14" s="92">
        <f t="shared" si="3"/>
        <v>2216.2095999999997</v>
      </c>
      <c r="AQ14" s="92"/>
      <c r="AR14" s="93">
        <f t="shared" si="4"/>
        <v>956.17559454746083</v>
      </c>
      <c r="AS14" s="93"/>
      <c r="AT14" s="93"/>
      <c r="AU14" s="93"/>
      <c r="AV14" s="46">
        <f t="shared" si="26"/>
        <v>7.9036669022641195E-3</v>
      </c>
      <c r="AW14" s="47">
        <f t="shared" si="5"/>
        <v>1.2171031898746698</v>
      </c>
      <c r="AX14" s="48">
        <f t="shared" si="27"/>
        <v>292.470922525856</v>
      </c>
      <c r="AY14" s="32">
        <f t="shared" si="6"/>
        <v>567675.27998678084</v>
      </c>
      <c r="AZ14">
        <f t="shared" si="7"/>
        <v>1.6219293713908033E-2</v>
      </c>
      <c r="BA14">
        <f t="shared" si="8"/>
        <v>34999999.999999978</v>
      </c>
      <c r="BB14">
        <f t="shared" si="9"/>
        <v>34.999999999999979</v>
      </c>
      <c r="BC14">
        <f t="shared" si="10"/>
        <v>38.036813186813184</v>
      </c>
      <c r="BD14">
        <f t="shared" si="11"/>
        <v>1.7221524744100771</v>
      </c>
      <c r="BE14">
        <f t="shared" si="12"/>
        <v>154.25846013908642</v>
      </c>
      <c r="BF14" s="48">
        <f t="shared" si="13"/>
        <v>232.12813081729723</v>
      </c>
      <c r="BG14" s="49">
        <f t="shared" si="14"/>
        <v>1705856.3409001771</v>
      </c>
      <c r="BH14">
        <f t="shared" si="15"/>
        <v>5.7103189874669891E-2</v>
      </c>
      <c r="BI14">
        <f t="shared" si="16"/>
        <v>1.57679691220819E-2</v>
      </c>
      <c r="BJ14">
        <f t="shared" si="17"/>
        <v>1535295.6267391772</v>
      </c>
      <c r="BK14">
        <f t="shared" si="18"/>
        <v>2102970.906725958</v>
      </c>
      <c r="BL14" s="49">
        <f t="shared" si="19"/>
        <v>0.95037531866050151</v>
      </c>
      <c r="BM14" s="50">
        <f t="shared" si="20"/>
        <v>0.26242822357065676</v>
      </c>
      <c r="BN14" s="38">
        <f t="shared" si="21"/>
        <v>-0.21280354223115827</v>
      </c>
      <c r="BO14">
        <f t="shared" si="22"/>
        <v>1</v>
      </c>
    </row>
    <row r="15" spans="2:67" x14ac:dyDescent="0.3">
      <c r="B15" s="41">
        <v>44136</v>
      </c>
      <c r="C15" s="25">
        <v>29597.077000000001</v>
      </c>
      <c r="D15" s="3">
        <v>38611.614000000001</v>
      </c>
      <c r="G15" s="25">
        <v>7222.982</v>
      </c>
      <c r="I15" s="25">
        <v>31034.786</v>
      </c>
      <c r="L15" s="25">
        <f t="shared" si="23"/>
        <v>106466.459</v>
      </c>
      <c r="M15" s="42">
        <f t="shared" si="28"/>
        <v>1347865.8344514261</v>
      </c>
      <c r="N15" s="3">
        <v>328214</v>
      </c>
      <c r="O15" s="25">
        <v>326476</v>
      </c>
      <c r="R15" s="3">
        <v>326933</v>
      </c>
      <c r="T15" s="3">
        <v>324182</v>
      </c>
      <c r="W15" s="25">
        <f t="shared" si="0"/>
        <v>1305805</v>
      </c>
      <c r="X15" s="43">
        <f t="shared" si="29"/>
        <v>11586884</v>
      </c>
      <c r="Y15" s="3">
        <v>568.46583499999997</v>
      </c>
      <c r="Z15" s="3">
        <v>1261.148929</v>
      </c>
      <c r="AC15" s="3">
        <v>30947.438769</v>
      </c>
      <c r="AE15" s="3">
        <v>1243.6192579999999</v>
      </c>
      <c r="AH15" s="25">
        <f t="shared" si="2"/>
        <v>34020.672790999997</v>
      </c>
      <c r="AI15" s="45">
        <f t="shared" si="24"/>
        <v>204581.38695199997</v>
      </c>
      <c r="AK15" t="s">
        <v>68</v>
      </c>
      <c r="AL15">
        <v>0.93</v>
      </c>
      <c r="AO15">
        <f t="shared" si="25"/>
        <v>13</v>
      </c>
      <c r="AP15" s="92">
        <f t="shared" si="3"/>
        <v>2216.1354000000001</v>
      </c>
      <c r="AQ15" s="92"/>
      <c r="AR15" s="93">
        <f t="shared" si="4"/>
        <v>956.13746342676063</v>
      </c>
      <c r="AS15" s="93"/>
      <c r="AT15" s="93"/>
      <c r="AU15" s="93"/>
      <c r="AV15" s="46">
        <f t="shared" si="26"/>
        <v>7.9039315305373479E-3</v>
      </c>
      <c r="AW15" s="47">
        <f t="shared" si="5"/>
        <v>1.2171031898746698</v>
      </c>
      <c r="AX15" s="48">
        <f t="shared" si="27"/>
        <v>303.58164880804844</v>
      </c>
      <c r="AY15" s="32">
        <f t="shared" si="6"/>
        <v>567675.80887592933</v>
      </c>
      <c r="AZ15">
        <f t="shared" si="7"/>
        <v>1.6219308825026563E-2</v>
      </c>
      <c r="BA15">
        <f t="shared" si="8"/>
        <v>34999999.999999978</v>
      </c>
      <c r="BB15">
        <f t="shared" si="9"/>
        <v>34.999999999999979</v>
      </c>
      <c r="BC15">
        <f t="shared" si="10"/>
        <v>38.036813186813184</v>
      </c>
      <c r="BD15">
        <f t="shared" si="11"/>
        <v>1.7221524744100771</v>
      </c>
      <c r="BE15">
        <f t="shared" si="12"/>
        <v>154.25846013908642</v>
      </c>
      <c r="BF15" s="48">
        <f t="shared" si="13"/>
        <v>232.12813081729723</v>
      </c>
      <c r="BG15" s="49">
        <f t="shared" si="14"/>
        <v>2038623.099099013</v>
      </c>
      <c r="BH15">
        <f t="shared" si="15"/>
        <v>5.7103189874669891E-2</v>
      </c>
      <c r="BI15">
        <f t="shared" si="16"/>
        <v>1.57679691220819E-2</v>
      </c>
      <c r="BJ15">
        <f t="shared" si="17"/>
        <v>1834041.7121470131</v>
      </c>
      <c r="BK15">
        <f t="shared" si="18"/>
        <v>2401717.5210229424</v>
      </c>
      <c r="BL15" s="49">
        <f t="shared" si="19"/>
        <v>0.83215933102831974</v>
      </c>
      <c r="BM15" s="50">
        <f t="shared" si="20"/>
        <v>0.22978510771650179</v>
      </c>
      <c r="BN15" s="38">
        <f t="shared" si="21"/>
        <v>-6.1944438744821528E-2</v>
      </c>
      <c r="BO15">
        <f t="shared" si="22"/>
        <v>1</v>
      </c>
    </row>
    <row r="16" spans="2:67" x14ac:dyDescent="0.3">
      <c r="B16" s="41">
        <v>44166</v>
      </c>
      <c r="C16" s="25">
        <v>28657.703000000001</v>
      </c>
      <c r="D16" s="3">
        <v>26772.396000000001</v>
      </c>
      <c r="G16" s="25">
        <v>6359.9390000000003</v>
      </c>
      <c r="I16" s="25">
        <v>30925.904999999999</v>
      </c>
      <c r="L16" s="25">
        <f t="shared" si="23"/>
        <v>92715.942999999999</v>
      </c>
      <c r="M16" s="42">
        <f t="shared" si="28"/>
        <v>1440581.777451426</v>
      </c>
      <c r="N16" s="3">
        <v>221632</v>
      </c>
      <c r="O16" s="25">
        <v>199188</v>
      </c>
      <c r="R16" s="3">
        <v>229302</v>
      </c>
      <c r="T16" s="3">
        <v>232699</v>
      </c>
      <c r="W16" s="25">
        <f t="shared" si="0"/>
        <v>882821</v>
      </c>
      <c r="X16" s="43">
        <f t="shared" si="29"/>
        <v>12469705</v>
      </c>
      <c r="Y16" s="3">
        <v>755.92703500000005</v>
      </c>
      <c r="Z16" s="3">
        <v>766.92789400000004</v>
      </c>
      <c r="AC16" s="3">
        <v>27336.621833000001</v>
      </c>
      <c r="AE16" s="3">
        <v>1132.5917099999999</v>
      </c>
      <c r="AH16" s="25">
        <f t="shared" si="2"/>
        <v>29992.068472000003</v>
      </c>
      <c r="AI16" s="45">
        <f t="shared" si="24"/>
        <v>234573.45542399999</v>
      </c>
      <c r="AO16">
        <f t="shared" si="25"/>
        <v>14</v>
      </c>
      <c r="AP16" s="92">
        <f t="shared" si="3"/>
        <v>2216.0612000000001</v>
      </c>
      <c r="AQ16" s="92"/>
      <c r="AR16" s="93">
        <f t="shared" si="4"/>
        <v>956.09933256455452</v>
      </c>
      <c r="AS16" s="93"/>
      <c r="AT16" s="93"/>
      <c r="AU16" s="93"/>
      <c r="AV16" s="46">
        <f t="shared" si="26"/>
        <v>7.9041961765315867E-3</v>
      </c>
      <c r="AW16" s="47">
        <f t="shared" si="5"/>
        <v>1.2171031898746698</v>
      </c>
      <c r="AX16" s="48">
        <f t="shared" si="27"/>
        <v>305.68475740583102</v>
      </c>
      <c r="AY16" s="32">
        <f t="shared" si="6"/>
        <v>567676.33780049579</v>
      </c>
      <c r="AZ16">
        <f t="shared" si="7"/>
        <v>1.6219323937157023E-2</v>
      </c>
      <c r="BA16">
        <f t="shared" si="8"/>
        <v>35000000</v>
      </c>
      <c r="BB16">
        <f t="shared" si="9"/>
        <v>35</v>
      </c>
      <c r="BC16">
        <f t="shared" si="10"/>
        <v>38.036813186813184</v>
      </c>
      <c r="BD16">
        <f t="shared" si="11"/>
        <v>1.7221524744100771</v>
      </c>
      <c r="BE16">
        <f t="shared" si="12"/>
        <v>154.25846013908642</v>
      </c>
      <c r="BF16" s="48">
        <f t="shared" si="13"/>
        <v>232.12813081729723</v>
      </c>
      <c r="BG16" s="49">
        <f t="shared" si="14"/>
        <v>2257796.6927008396</v>
      </c>
      <c r="BH16">
        <f t="shared" si="15"/>
        <v>5.7103189874669891E-2</v>
      </c>
      <c r="BI16">
        <f t="shared" si="16"/>
        <v>1.57679691220819E-2</v>
      </c>
      <c r="BJ16">
        <f t="shared" si="17"/>
        <v>2023223.2372768396</v>
      </c>
      <c r="BK16">
        <f t="shared" si="18"/>
        <v>2590899.5750773354</v>
      </c>
      <c r="BL16" s="49">
        <f t="shared" si="19"/>
        <v>0.77139680165094393</v>
      </c>
      <c r="BM16" s="50">
        <f t="shared" si="20"/>
        <v>0.21300668099279513</v>
      </c>
      <c r="BN16" s="38">
        <f t="shared" si="21"/>
        <v>1.5596517356260942E-2</v>
      </c>
      <c r="BO16">
        <f t="shared" si="22"/>
        <v>1</v>
      </c>
    </row>
    <row r="17" spans="2:67" x14ac:dyDescent="0.3">
      <c r="B17" s="41">
        <v>44197</v>
      </c>
      <c r="C17" s="25">
        <v>31356.208999999999</v>
      </c>
      <c r="D17" s="3">
        <v>7583.1019999999999</v>
      </c>
      <c r="G17" s="25">
        <v>6498.6880000000001</v>
      </c>
      <c r="I17" s="25">
        <v>35661.656000000003</v>
      </c>
      <c r="L17" s="25">
        <f t="shared" si="23"/>
        <v>81099.654999999999</v>
      </c>
      <c r="M17" s="42">
        <f t="shared" si="28"/>
        <v>1521681.4324514261</v>
      </c>
      <c r="N17" s="3">
        <v>234181</v>
      </c>
      <c r="O17" s="25">
        <v>122856</v>
      </c>
      <c r="R17" s="3">
        <v>243212</v>
      </c>
      <c r="T17" s="3">
        <v>273320</v>
      </c>
      <c r="W17" s="25">
        <f t="shared" si="0"/>
        <v>873569</v>
      </c>
      <c r="X17" s="43">
        <f t="shared" si="29"/>
        <v>13343274</v>
      </c>
      <c r="Y17" s="3">
        <v>1034.8922439999999</v>
      </c>
      <c r="Z17" s="3">
        <v>227.28821300000001</v>
      </c>
      <c r="AC17" s="3">
        <v>22542.838184</v>
      </c>
      <c r="AE17" s="3">
        <v>877.38936000000001</v>
      </c>
      <c r="AH17" s="25">
        <f t="shared" si="2"/>
        <v>24682.408001</v>
      </c>
      <c r="AI17" s="45">
        <f t="shared" si="24"/>
        <v>259255.86342499999</v>
      </c>
      <c r="AK17" s="29" t="s">
        <v>75</v>
      </c>
      <c r="AL17" s="29"/>
      <c r="AM17" s="29">
        <f>((141.5/AL13) - 131.5)</f>
        <v>34.055165555165559</v>
      </c>
      <c r="AO17">
        <f t="shared" si="25"/>
        <v>15</v>
      </c>
      <c r="AP17" s="92">
        <f t="shared" si="3"/>
        <v>2215.9870000000001</v>
      </c>
      <c r="AQ17" s="92"/>
      <c r="AR17" s="93">
        <f t="shared" si="4"/>
        <v>956.06120196084885</v>
      </c>
      <c r="AS17" s="93"/>
      <c r="AT17" s="93"/>
      <c r="AU17" s="93"/>
      <c r="AV17" s="46">
        <f t="shared" si="26"/>
        <v>7.9044608402486106E-3</v>
      </c>
      <c r="AW17" s="47">
        <f t="shared" si="5"/>
        <v>1.2171031898746698</v>
      </c>
      <c r="AX17" s="48">
        <f t="shared" si="27"/>
        <v>309.66647044426082</v>
      </c>
      <c r="AY17" s="32">
        <f t="shared" si="6"/>
        <v>567676.86676048301</v>
      </c>
      <c r="AZ17">
        <f t="shared" si="7"/>
        <v>1.621933905029951E-2</v>
      </c>
      <c r="BA17">
        <f t="shared" si="8"/>
        <v>35000000.000000007</v>
      </c>
      <c r="BB17">
        <f t="shared" si="9"/>
        <v>35.000000000000007</v>
      </c>
      <c r="BC17">
        <f t="shared" si="10"/>
        <v>38.036813186813184</v>
      </c>
      <c r="BD17">
        <f t="shared" si="11"/>
        <v>1.7221524744100771</v>
      </c>
      <c r="BE17">
        <f t="shared" si="12"/>
        <v>154.25846013908642</v>
      </c>
      <c r="BF17" s="48">
        <f t="shared" si="13"/>
        <v>232.12813081729723</v>
      </c>
      <c r="BG17" s="49">
        <f t="shared" si="14"/>
        <v>2476258.9991370058</v>
      </c>
      <c r="BH17">
        <f t="shared" si="15"/>
        <v>5.7103189874669891E-2</v>
      </c>
      <c r="BI17">
        <f t="shared" si="16"/>
        <v>1.57679691220819E-2</v>
      </c>
      <c r="BJ17">
        <f t="shared" si="17"/>
        <v>2217003.1357120057</v>
      </c>
      <c r="BK17">
        <f t="shared" si="18"/>
        <v>2784680.0024724887</v>
      </c>
      <c r="BL17" s="49">
        <f t="shared" si="19"/>
        <v>0.71771680905486424</v>
      </c>
      <c r="BM17" s="50">
        <f t="shared" si="20"/>
        <v>0.19818396324994572</v>
      </c>
      <c r="BN17" s="38">
        <f t="shared" si="21"/>
        <v>8.4099227695190043E-2</v>
      </c>
      <c r="BO17">
        <f t="shared" si="22"/>
        <v>1</v>
      </c>
    </row>
    <row r="18" spans="2:67" x14ac:dyDescent="0.3">
      <c r="B18" s="41">
        <v>44228</v>
      </c>
      <c r="C18" s="25">
        <v>27755.112000000001</v>
      </c>
      <c r="D18" s="3">
        <v>2549.6689999999999</v>
      </c>
      <c r="G18" s="25">
        <v>5316.4170000000004</v>
      </c>
      <c r="I18" s="25">
        <v>29400.246999999999</v>
      </c>
      <c r="L18" s="25">
        <f t="shared" si="23"/>
        <v>65021.445000000007</v>
      </c>
      <c r="M18" s="42">
        <f t="shared" si="28"/>
        <v>1586702.8774514261</v>
      </c>
      <c r="N18" s="3">
        <v>235504</v>
      </c>
      <c r="O18" s="25">
        <v>48885</v>
      </c>
      <c r="R18" s="3">
        <v>244584</v>
      </c>
      <c r="T18" s="3">
        <v>274878</v>
      </c>
      <c r="W18" s="25">
        <f t="shared" si="0"/>
        <v>803851</v>
      </c>
      <c r="X18" s="43">
        <f t="shared" si="29"/>
        <v>14147125</v>
      </c>
      <c r="Y18" s="3">
        <v>325.01912299999998</v>
      </c>
      <c r="Z18" s="3">
        <v>38.858383000000003</v>
      </c>
      <c r="AC18" s="3">
        <v>10530.433476</v>
      </c>
      <c r="AE18" s="3">
        <v>520.23564599999997</v>
      </c>
      <c r="AH18" s="25">
        <f t="shared" si="2"/>
        <v>11414.546628</v>
      </c>
      <c r="AI18" s="45">
        <f t="shared" si="24"/>
        <v>270670.41005299997</v>
      </c>
      <c r="AO18">
        <f t="shared" si="25"/>
        <v>16</v>
      </c>
      <c r="AP18" s="92">
        <f t="shared" si="3"/>
        <v>2215.9128000000001</v>
      </c>
      <c r="AQ18" s="92"/>
      <c r="AR18" s="93">
        <f t="shared" si="4"/>
        <v>956.02307161565102</v>
      </c>
      <c r="AS18" s="93"/>
      <c r="AT18" s="93"/>
      <c r="AU18" s="93"/>
      <c r="AV18" s="46">
        <f t="shared" si="26"/>
        <v>7.9047255216902028E-3</v>
      </c>
      <c r="AW18" s="47">
        <f t="shared" si="5"/>
        <v>1.2171031898746698</v>
      </c>
      <c r="AX18" s="48">
        <f t="shared" si="27"/>
        <v>314.8676934650573</v>
      </c>
      <c r="AY18" s="32">
        <f t="shared" si="6"/>
        <v>567677.39575589448</v>
      </c>
      <c r="AZ18">
        <f t="shared" si="7"/>
        <v>1.6219354164454126E-2</v>
      </c>
      <c r="BA18">
        <f t="shared" si="8"/>
        <v>35000000.000000007</v>
      </c>
      <c r="BB18">
        <f t="shared" si="9"/>
        <v>35.000000000000007</v>
      </c>
      <c r="BC18">
        <f t="shared" si="10"/>
        <v>38.036813186813184</v>
      </c>
      <c r="BD18">
        <f t="shared" si="11"/>
        <v>1.7221524744100771</v>
      </c>
      <c r="BE18">
        <f t="shared" si="12"/>
        <v>154.25846013908642</v>
      </c>
      <c r="BF18" s="48">
        <f t="shared" si="13"/>
        <v>232.12813081729723</v>
      </c>
      <c r="BG18" s="49">
        <f t="shared" si="14"/>
        <v>2671931.0358181968</v>
      </c>
      <c r="BH18">
        <f t="shared" si="15"/>
        <v>5.7103189874669891E-2</v>
      </c>
      <c r="BI18">
        <f t="shared" si="16"/>
        <v>1.57679691220819E-2</v>
      </c>
      <c r="BJ18">
        <f t="shared" si="17"/>
        <v>2401260.625765197</v>
      </c>
      <c r="BK18">
        <f t="shared" si="18"/>
        <v>2968938.0215210915</v>
      </c>
      <c r="BL18" s="49">
        <f t="shared" si="19"/>
        <v>0.6731739198076917</v>
      </c>
      <c r="BM18" s="50">
        <f t="shared" si="20"/>
        <v>0.18588428430382642</v>
      </c>
      <c r="BN18" s="38">
        <f t="shared" si="21"/>
        <v>0.14094179588848188</v>
      </c>
      <c r="BO18">
        <f t="shared" si="22"/>
        <v>1</v>
      </c>
    </row>
    <row r="19" spans="2:67" x14ac:dyDescent="0.3">
      <c r="B19" s="41">
        <v>44256</v>
      </c>
      <c r="C19" s="25">
        <v>28688.87</v>
      </c>
      <c r="D19" s="3">
        <v>38246.894</v>
      </c>
      <c r="E19" s="25">
        <v>15780.215</v>
      </c>
      <c r="G19" s="25">
        <v>1683.5809999999999</v>
      </c>
      <c r="I19" s="25">
        <v>29579.597000000002</v>
      </c>
      <c r="L19" s="25">
        <f t="shared" si="23"/>
        <v>113979.15700000001</v>
      </c>
      <c r="M19" s="42">
        <f t="shared" si="28"/>
        <v>1700682.034451426</v>
      </c>
      <c r="N19" s="3">
        <v>206714</v>
      </c>
      <c r="O19" s="25">
        <v>137391</v>
      </c>
      <c r="P19" s="5">
        <v>100759</v>
      </c>
      <c r="R19" s="3">
        <v>68446</v>
      </c>
      <c r="T19" s="3">
        <v>258686</v>
      </c>
      <c r="W19" s="25">
        <f t="shared" si="0"/>
        <v>771996</v>
      </c>
      <c r="X19" s="43">
        <f t="shared" si="29"/>
        <v>14919121</v>
      </c>
      <c r="Y19" s="3">
        <v>215.30614299999999</v>
      </c>
      <c r="Z19" s="3">
        <v>3225.3402529999998</v>
      </c>
      <c r="AA19" s="5">
        <v>3365.829225</v>
      </c>
      <c r="AC19" s="3">
        <v>4097.4965000000002</v>
      </c>
      <c r="AE19" s="3">
        <v>1420.488435</v>
      </c>
      <c r="AH19" s="25">
        <f t="shared" si="2"/>
        <v>12324.460555999998</v>
      </c>
      <c r="AI19" s="45">
        <f t="shared" si="24"/>
        <v>282994.87060899998</v>
      </c>
      <c r="AK19" t="s">
        <v>82</v>
      </c>
      <c r="AL19">
        <v>2217</v>
      </c>
      <c r="AO19">
        <f t="shared" si="25"/>
        <v>17</v>
      </c>
      <c r="AP19" s="92">
        <f t="shared" si="3"/>
        <v>2215.8386</v>
      </c>
      <c r="AQ19" s="92"/>
      <c r="AR19" s="93">
        <f t="shared" si="4"/>
        <v>955.98494152896808</v>
      </c>
      <c r="AS19" s="93"/>
      <c r="AT19" s="93"/>
      <c r="AU19" s="93"/>
      <c r="AV19" s="46">
        <f t="shared" si="26"/>
        <v>7.9049902208581432E-3</v>
      </c>
      <c r="AW19" s="47">
        <f t="shared" si="5"/>
        <v>1.2171031898746698</v>
      </c>
      <c r="AX19" s="48">
        <f t="shared" si="27"/>
        <v>309.79587701039367</v>
      </c>
      <c r="AY19" s="32">
        <f t="shared" si="6"/>
        <v>567677.92478673393</v>
      </c>
      <c r="AZ19">
        <f t="shared" si="7"/>
        <v>1.621936927962097E-2</v>
      </c>
      <c r="BA19">
        <f t="shared" si="8"/>
        <v>35000000</v>
      </c>
      <c r="BB19">
        <f t="shared" si="9"/>
        <v>35</v>
      </c>
      <c r="BC19">
        <f t="shared" si="10"/>
        <v>38.036813186813184</v>
      </c>
      <c r="BD19">
        <f t="shared" si="11"/>
        <v>1.7221524744100771</v>
      </c>
      <c r="BE19">
        <f t="shared" si="12"/>
        <v>154.25846013908642</v>
      </c>
      <c r="BF19" s="48">
        <f t="shared" si="13"/>
        <v>232.12813081729723</v>
      </c>
      <c r="BG19" s="49">
        <f t="shared" si="14"/>
        <v>2829377.9347047745</v>
      </c>
      <c r="BH19">
        <f t="shared" si="15"/>
        <v>5.7103189874669891E-2</v>
      </c>
      <c r="BI19">
        <f t="shared" si="16"/>
        <v>1.57679691220819E-2</v>
      </c>
      <c r="BJ19">
        <f t="shared" si="17"/>
        <v>2546383.0640957747</v>
      </c>
      <c r="BK19">
        <f t="shared" si="18"/>
        <v>3114060.9888825086</v>
      </c>
      <c r="BL19" s="49">
        <f t="shared" si="19"/>
        <v>0.64180234515273726</v>
      </c>
      <c r="BM19" s="50">
        <f t="shared" si="20"/>
        <v>0.17722161551849056</v>
      </c>
      <c r="BN19" s="38">
        <f t="shared" si="21"/>
        <v>0.18097603932877218</v>
      </c>
      <c r="BO19">
        <f t="shared" si="22"/>
        <v>1</v>
      </c>
    </row>
    <row r="20" spans="2:67" x14ac:dyDescent="0.3">
      <c r="B20" s="41">
        <v>44287</v>
      </c>
      <c r="C20" s="25">
        <v>1032.6189999999999</v>
      </c>
      <c r="D20" s="3">
        <v>40242.909</v>
      </c>
      <c r="E20" s="25">
        <v>27765.237000000001</v>
      </c>
      <c r="G20" s="25">
        <v>0</v>
      </c>
      <c r="I20" s="25">
        <v>31057.064999999999</v>
      </c>
      <c r="L20" s="25">
        <f t="shared" si="23"/>
        <v>100097.83</v>
      </c>
      <c r="M20" s="42">
        <f t="shared" si="28"/>
        <v>1800779.8644514261</v>
      </c>
      <c r="N20" s="3">
        <v>7126</v>
      </c>
      <c r="O20" s="25">
        <v>137316</v>
      </c>
      <c r="P20" s="3">
        <v>155717</v>
      </c>
      <c r="R20" s="3">
        <v>0</v>
      </c>
      <c r="T20" s="3">
        <v>273895</v>
      </c>
      <c r="W20" s="25">
        <f t="shared" si="0"/>
        <v>574054</v>
      </c>
      <c r="X20" s="43">
        <f t="shared" si="29"/>
        <v>15493175</v>
      </c>
      <c r="Y20" s="3">
        <v>0</v>
      </c>
      <c r="Z20" s="3">
        <v>1010.273964</v>
      </c>
      <c r="AA20" s="3">
        <v>614.70215399999995</v>
      </c>
      <c r="AC20" s="3">
        <v>0</v>
      </c>
      <c r="AE20" s="3">
        <v>2407.6096440000001</v>
      </c>
      <c r="AH20" s="25">
        <f t="shared" si="2"/>
        <v>4032.5857620000002</v>
      </c>
      <c r="AI20" s="45">
        <f t="shared" si="24"/>
        <v>287027.45637099998</v>
      </c>
      <c r="AK20" t="s">
        <v>78</v>
      </c>
      <c r="AL20">
        <v>666.79</v>
      </c>
      <c r="AO20">
        <f t="shared" si="25"/>
        <v>18</v>
      </c>
      <c r="AP20" s="92">
        <f t="shared" si="3"/>
        <v>2215.7644</v>
      </c>
      <c r="AQ20" s="92"/>
      <c r="AR20" s="93">
        <f t="shared" si="4"/>
        <v>955.94681170080628</v>
      </c>
      <c r="AS20" s="93"/>
      <c r="AT20" s="93"/>
      <c r="AU20" s="93"/>
      <c r="AV20" s="46">
        <f t="shared" si="26"/>
        <v>7.9052549377542115E-3</v>
      </c>
      <c r="AW20" s="47">
        <f t="shared" si="5"/>
        <v>1.2171031898746698</v>
      </c>
      <c r="AX20" s="48">
        <f t="shared" si="27"/>
        <v>303.8332657829751</v>
      </c>
      <c r="AY20" s="32">
        <f t="shared" si="6"/>
        <v>567678.45385300508</v>
      </c>
      <c r="AZ20">
        <f t="shared" si="7"/>
        <v>1.6219384395800149E-2</v>
      </c>
      <c r="BA20">
        <f t="shared" si="8"/>
        <v>34999999.999999993</v>
      </c>
      <c r="BB20">
        <f t="shared" si="9"/>
        <v>34.999999999999993</v>
      </c>
      <c r="BC20">
        <f t="shared" si="10"/>
        <v>38.036813186813184</v>
      </c>
      <c r="BD20">
        <f t="shared" si="11"/>
        <v>1.7221524744100771</v>
      </c>
      <c r="BE20">
        <f t="shared" si="12"/>
        <v>154.25846013908642</v>
      </c>
      <c r="BF20" s="48">
        <f t="shared" si="13"/>
        <v>232.12813081729723</v>
      </c>
      <c r="BG20" s="49">
        <f t="shared" si="14"/>
        <v>2931851.2539684661</v>
      </c>
      <c r="BH20">
        <f t="shared" si="15"/>
        <v>5.7103189874669891E-2</v>
      </c>
      <c r="BI20">
        <f t="shared" si="16"/>
        <v>1.57679691220819E-2</v>
      </c>
      <c r="BJ20">
        <f t="shared" si="17"/>
        <v>2644823.797597466</v>
      </c>
      <c r="BK20">
        <f t="shared" si="18"/>
        <v>3212502.2514504711</v>
      </c>
      <c r="BL20" s="49">
        <f t="shared" si="19"/>
        <v>0.62213548479570924</v>
      </c>
      <c r="BM20" s="50">
        <f t="shared" si="20"/>
        <v>0.17179098287750261</v>
      </c>
      <c r="BN20" s="38">
        <f t="shared" si="21"/>
        <v>0.20607353232678816</v>
      </c>
      <c r="BO20">
        <f t="shared" si="22"/>
        <v>1</v>
      </c>
    </row>
    <row r="21" spans="2:67" x14ac:dyDescent="0.3">
      <c r="B21" s="41">
        <v>44317</v>
      </c>
      <c r="C21" s="25">
        <v>29092.686000000002</v>
      </c>
      <c r="D21" s="3">
        <v>40626.767</v>
      </c>
      <c r="E21" s="25">
        <v>28641.342000000001</v>
      </c>
      <c r="G21" s="25">
        <v>0</v>
      </c>
      <c r="I21" s="25">
        <v>26247.487000000001</v>
      </c>
      <c r="L21" s="25">
        <f t="shared" si="23"/>
        <v>124608.28200000001</v>
      </c>
      <c r="M21" s="42">
        <f t="shared" si="28"/>
        <v>1925388.1464514262</v>
      </c>
      <c r="N21" s="3">
        <v>272123</v>
      </c>
      <c r="O21" s="25">
        <v>137360</v>
      </c>
      <c r="P21" s="3">
        <v>162483</v>
      </c>
      <c r="R21" s="3">
        <v>0</v>
      </c>
      <c r="T21" s="3">
        <v>247009</v>
      </c>
      <c r="W21" s="25">
        <f t="shared" si="0"/>
        <v>818975</v>
      </c>
      <c r="X21" s="43">
        <f t="shared" si="29"/>
        <v>16312150</v>
      </c>
      <c r="Y21" s="3">
        <v>930.88411099999996</v>
      </c>
      <c r="Z21" s="3">
        <v>419.93849699999998</v>
      </c>
      <c r="AA21" s="3">
        <v>272.00869</v>
      </c>
      <c r="AC21" s="3">
        <v>0</v>
      </c>
      <c r="AE21" s="3">
        <v>1316.1154899999999</v>
      </c>
      <c r="AH21" s="25">
        <f t="shared" si="2"/>
        <v>2938.9467880000002</v>
      </c>
      <c r="AI21" s="45">
        <f t="shared" si="24"/>
        <v>289966.40315899998</v>
      </c>
      <c r="AO21">
        <f t="shared" si="25"/>
        <v>19</v>
      </c>
      <c r="AP21" s="92">
        <f t="shared" si="3"/>
        <v>2215.6902</v>
      </c>
      <c r="AQ21" s="92"/>
      <c r="AR21" s="93">
        <f t="shared" si="4"/>
        <v>955.90868213117199</v>
      </c>
      <c r="AS21" s="93"/>
      <c r="AT21" s="93"/>
      <c r="AU21" s="93"/>
      <c r="AV21" s="46">
        <f t="shared" si="26"/>
        <v>7.9055196723801912E-3</v>
      </c>
      <c r="AW21" s="47">
        <f t="shared" si="5"/>
        <v>1.2171031898746698</v>
      </c>
      <c r="AX21" s="48">
        <f t="shared" si="27"/>
        <v>299.19093698935518</v>
      </c>
      <c r="AY21" s="32">
        <f t="shared" si="6"/>
        <v>567678.98295471165</v>
      </c>
      <c r="AZ21">
        <f t="shared" si="7"/>
        <v>1.6219399512991763E-2</v>
      </c>
      <c r="BA21">
        <f t="shared" si="8"/>
        <v>35000000</v>
      </c>
      <c r="BB21">
        <f t="shared" si="9"/>
        <v>35</v>
      </c>
      <c r="BC21">
        <f t="shared" si="10"/>
        <v>38.036813186813184</v>
      </c>
      <c r="BD21">
        <f t="shared" si="11"/>
        <v>1.7221524744100771</v>
      </c>
      <c r="BE21">
        <f t="shared" si="12"/>
        <v>154.25846013908642</v>
      </c>
      <c r="BF21" s="48">
        <f t="shared" si="13"/>
        <v>232.12813081729723</v>
      </c>
      <c r="BG21" s="49">
        <f t="shared" si="14"/>
        <v>3086459.449123783</v>
      </c>
      <c r="BH21">
        <f t="shared" si="15"/>
        <v>5.7103189874669891E-2</v>
      </c>
      <c r="BI21">
        <f t="shared" si="16"/>
        <v>1.57679691220819E-2</v>
      </c>
      <c r="BJ21">
        <f t="shared" si="17"/>
        <v>2796493.0459647831</v>
      </c>
      <c r="BK21">
        <f t="shared" si="18"/>
        <v>3364172.0289194947</v>
      </c>
      <c r="BL21" s="49">
        <f t="shared" si="19"/>
        <v>0.59408723110255468</v>
      </c>
      <c r="BM21" s="50">
        <f t="shared" si="20"/>
        <v>0.16404598650982749</v>
      </c>
      <c r="BN21" s="38">
        <f t="shared" si="21"/>
        <v>0.24186678238761783</v>
      </c>
      <c r="BO21">
        <f t="shared" si="22"/>
        <v>1</v>
      </c>
    </row>
    <row r="22" spans="2:67" x14ac:dyDescent="0.3">
      <c r="B22" s="41">
        <v>44348</v>
      </c>
      <c r="C22" s="25">
        <v>29135.82</v>
      </c>
      <c r="D22" s="3">
        <v>40964.671999999999</v>
      </c>
      <c r="E22" s="25">
        <v>28899.748</v>
      </c>
      <c r="G22" s="25">
        <v>0</v>
      </c>
      <c r="I22" s="25">
        <v>26099.837</v>
      </c>
      <c r="L22" s="25">
        <f t="shared" si="23"/>
        <v>125100.07699999999</v>
      </c>
      <c r="M22" s="42">
        <f t="shared" si="28"/>
        <v>2050488.2234514263</v>
      </c>
      <c r="N22" s="3">
        <v>285979</v>
      </c>
      <c r="O22" s="25">
        <v>142838</v>
      </c>
      <c r="P22" s="3">
        <v>169192</v>
      </c>
      <c r="R22" s="3">
        <v>0</v>
      </c>
      <c r="T22" s="3">
        <v>254709</v>
      </c>
      <c r="W22" s="25">
        <f t="shared" si="0"/>
        <v>852718</v>
      </c>
      <c r="X22" s="43">
        <f t="shared" si="29"/>
        <v>17164868</v>
      </c>
      <c r="Y22" s="3">
        <v>1847.515533</v>
      </c>
      <c r="Z22" s="3">
        <v>833.44882099999995</v>
      </c>
      <c r="AA22" s="3">
        <v>539.85353499999997</v>
      </c>
      <c r="AC22" s="3">
        <v>0</v>
      </c>
      <c r="AE22" s="3">
        <v>2612.047012</v>
      </c>
      <c r="AH22" s="25">
        <f t="shared" si="2"/>
        <v>5832.8649009999999</v>
      </c>
      <c r="AI22" s="45">
        <f t="shared" si="24"/>
        <v>295799.26805999997</v>
      </c>
      <c r="AK22" t="s">
        <v>80</v>
      </c>
      <c r="AL22" s="32">
        <v>3.0000000000000001E-6</v>
      </c>
      <c r="AM22" s="32"/>
      <c r="AO22">
        <f t="shared" si="25"/>
        <v>20</v>
      </c>
      <c r="AP22" s="92">
        <f t="shared" si="3"/>
        <v>2215.616</v>
      </c>
      <c r="AQ22" s="92"/>
      <c r="AR22" s="93">
        <f t="shared" si="4"/>
        <v>955.87055282007407</v>
      </c>
      <c r="AS22" s="93"/>
      <c r="AT22" s="93"/>
      <c r="AU22" s="93"/>
      <c r="AV22" s="46">
        <f t="shared" si="26"/>
        <v>7.9057844247378602E-3</v>
      </c>
      <c r="AW22" s="47">
        <f t="shared" si="5"/>
        <v>1.2171031898746698</v>
      </c>
      <c r="AX22" s="48">
        <f t="shared" si="27"/>
        <v>295.62333351970096</v>
      </c>
      <c r="AY22" s="32">
        <f t="shared" si="6"/>
        <v>567679.51209185692</v>
      </c>
      <c r="AZ22">
        <f t="shared" si="7"/>
        <v>1.6219414631195913E-2</v>
      </c>
      <c r="BA22">
        <f t="shared" si="8"/>
        <v>35000000</v>
      </c>
      <c r="BB22">
        <f t="shared" si="9"/>
        <v>35</v>
      </c>
      <c r="BC22">
        <f t="shared" si="10"/>
        <v>38.036813186813184</v>
      </c>
      <c r="BD22">
        <f t="shared" si="11"/>
        <v>1.7221524744100771</v>
      </c>
      <c r="BE22">
        <f t="shared" si="12"/>
        <v>154.25846013908642</v>
      </c>
      <c r="BF22" s="48">
        <f t="shared" si="13"/>
        <v>232.12813081729723</v>
      </c>
      <c r="BG22" s="49">
        <f t="shared" si="14"/>
        <v>3253078.3300079838</v>
      </c>
      <c r="BH22">
        <f t="shared" si="15"/>
        <v>5.7103189874669891E-2</v>
      </c>
      <c r="BI22">
        <f t="shared" si="16"/>
        <v>1.57679691220819E-2</v>
      </c>
      <c r="BJ22">
        <f t="shared" si="17"/>
        <v>2957279.0619479837</v>
      </c>
      <c r="BK22">
        <f t="shared" si="18"/>
        <v>3524958.5740398406</v>
      </c>
      <c r="BL22" s="49">
        <f t="shared" si="19"/>
        <v>0.56698869040123279</v>
      </c>
      <c r="BM22" s="50">
        <f t="shared" si="20"/>
        <v>0.15656323547665865</v>
      </c>
      <c r="BN22" s="38">
        <f t="shared" si="21"/>
        <v>0.27644807412210859</v>
      </c>
      <c r="BO22">
        <f t="shared" si="22"/>
        <v>1</v>
      </c>
    </row>
    <row r="23" spans="2:67" x14ac:dyDescent="0.3">
      <c r="B23" s="41">
        <v>44378</v>
      </c>
      <c r="C23" s="25">
        <v>28882.33</v>
      </c>
      <c r="D23" s="3">
        <v>40608.267</v>
      </c>
      <c r="E23" s="25">
        <v>28648.315999999999</v>
      </c>
      <c r="G23" s="25">
        <v>0</v>
      </c>
      <c r="I23" s="25">
        <v>25872.762999999999</v>
      </c>
      <c r="L23" s="25">
        <f t="shared" si="23"/>
        <v>124011.67600000001</v>
      </c>
      <c r="M23" s="42">
        <f t="shared" si="28"/>
        <v>2174499.8994514262</v>
      </c>
      <c r="N23" s="3">
        <v>293420</v>
      </c>
      <c r="O23" s="25">
        <v>146558</v>
      </c>
      <c r="P23" s="3">
        <v>173601</v>
      </c>
      <c r="R23" s="3">
        <v>0</v>
      </c>
      <c r="T23" s="3">
        <v>261357</v>
      </c>
      <c r="W23" s="25">
        <f t="shared" si="0"/>
        <v>874936</v>
      </c>
      <c r="X23" s="43">
        <f t="shared" si="29"/>
        <v>18039804</v>
      </c>
      <c r="Y23" s="3">
        <v>3009.9963680000001</v>
      </c>
      <c r="Z23" s="3">
        <v>1357.8671870000001</v>
      </c>
      <c r="AA23" s="3">
        <v>879.50902499999995</v>
      </c>
      <c r="AC23" s="3">
        <v>0</v>
      </c>
      <c r="AE23" s="3">
        <v>4255.6032029999997</v>
      </c>
      <c r="AH23" s="25">
        <f t="shared" si="2"/>
        <v>9502.9757829999999</v>
      </c>
      <c r="AI23" s="45">
        <f t="shared" si="24"/>
        <v>305302.24384299997</v>
      </c>
      <c r="AK23" t="s">
        <v>81</v>
      </c>
      <c r="AL23" s="32">
        <v>3.0000000000000001E-6</v>
      </c>
      <c r="AO23">
        <f t="shared" si="25"/>
        <v>21</v>
      </c>
      <c r="AP23" s="92">
        <f t="shared" si="3"/>
        <v>2215.5418</v>
      </c>
      <c r="AQ23" s="92"/>
      <c r="AR23" s="93">
        <f t="shared" si="4"/>
        <v>955.83242376751798</v>
      </c>
      <c r="AS23" s="93"/>
      <c r="AT23" s="93"/>
      <c r="AU23" s="93"/>
      <c r="AV23" s="46">
        <f t="shared" si="26"/>
        <v>7.9060491948290037E-3</v>
      </c>
      <c r="AW23" s="47">
        <f t="shared" si="5"/>
        <v>1.2171031898746698</v>
      </c>
      <c r="AX23" s="48">
        <f t="shared" si="27"/>
        <v>292.97323328435999</v>
      </c>
      <c r="AY23" s="32">
        <f t="shared" si="6"/>
        <v>567680.04126444459</v>
      </c>
      <c r="AZ23">
        <f t="shared" si="7"/>
        <v>1.6219429750412701E-2</v>
      </c>
      <c r="BA23">
        <f t="shared" si="8"/>
        <v>35000000</v>
      </c>
      <c r="BB23">
        <f t="shared" si="9"/>
        <v>35</v>
      </c>
      <c r="BC23">
        <f t="shared" si="10"/>
        <v>38.036813186813184</v>
      </c>
      <c r="BD23">
        <f t="shared" si="11"/>
        <v>1.7221524744100771</v>
      </c>
      <c r="BE23">
        <f t="shared" si="12"/>
        <v>154.25846013908642</v>
      </c>
      <c r="BF23" s="48">
        <f t="shared" si="13"/>
        <v>232.12813081729723</v>
      </c>
      <c r="BG23" s="49">
        <f t="shared" si="14"/>
        <v>3430243.9081056211</v>
      </c>
      <c r="BH23">
        <f t="shared" si="15"/>
        <v>5.7103189874669891E-2</v>
      </c>
      <c r="BI23">
        <f t="shared" si="16"/>
        <v>1.57679691220819E-2</v>
      </c>
      <c r="BJ23">
        <f t="shared" si="17"/>
        <v>3124941.6642626212</v>
      </c>
      <c r="BK23">
        <f t="shared" si="18"/>
        <v>3692621.7055270658</v>
      </c>
      <c r="BL23" s="49">
        <f t="shared" si="19"/>
        <v>0.54124462373764193</v>
      </c>
      <c r="BM23" s="50">
        <f t="shared" si="20"/>
        <v>0.14945449690847606</v>
      </c>
      <c r="BN23" s="38">
        <f t="shared" si="21"/>
        <v>0.30930087935388201</v>
      </c>
      <c r="BO23">
        <f t="shared" si="22"/>
        <v>1</v>
      </c>
    </row>
    <row r="24" spans="2:67" x14ac:dyDescent="0.3">
      <c r="B24" s="41">
        <v>44409</v>
      </c>
      <c r="C24" s="25">
        <v>28749.013999999999</v>
      </c>
      <c r="D24" s="3">
        <v>41389.373</v>
      </c>
      <c r="E24" s="25">
        <v>29304.605</v>
      </c>
      <c r="G24" s="25">
        <v>0</v>
      </c>
      <c r="I24" s="25">
        <v>26938.2</v>
      </c>
      <c r="L24" s="25">
        <f t="shared" si="23"/>
        <v>126381.192</v>
      </c>
      <c r="M24" s="42">
        <f t="shared" si="28"/>
        <v>2300881.091451426</v>
      </c>
      <c r="N24" s="3">
        <v>294492</v>
      </c>
      <c r="O24" s="25">
        <v>149946</v>
      </c>
      <c r="P24" s="3">
        <v>174663</v>
      </c>
      <c r="R24" s="3">
        <v>0</v>
      </c>
      <c r="T24" s="3">
        <v>269364</v>
      </c>
      <c r="W24" s="25">
        <f t="shared" si="0"/>
        <v>888465</v>
      </c>
      <c r="X24" s="43">
        <f t="shared" si="29"/>
        <v>18928269</v>
      </c>
      <c r="Y24" s="3">
        <v>2475.7218889999999</v>
      </c>
      <c r="Z24" s="3">
        <v>1144.051721</v>
      </c>
      <c r="AA24" s="3">
        <v>743.63047700000004</v>
      </c>
      <c r="AC24" s="3">
        <v>0</v>
      </c>
      <c r="AE24" s="3">
        <v>3663.1669400000001</v>
      </c>
      <c r="AH24" s="25">
        <f t="shared" si="2"/>
        <v>8026.571027</v>
      </c>
      <c r="AI24" s="45">
        <f t="shared" si="24"/>
        <v>313328.81487</v>
      </c>
      <c r="AO24">
        <f t="shared" si="25"/>
        <v>22</v>
      </c>
      <c r="AP24" s="92">
        <f t="shared" si="3"/>
        <v>2215.4675999999999</v>
      </c>
      <c r="AQ24" s="92"/>
      <c r="AR24" s="93">
        <f t="shared" si="4"/>
        <v>955.79429497351032</v>
      </c>
      <c r="AS24" s="93"/>
      <c r="AT24" s="93"/>
      <c r="AU24" s="93"/>
      <c r="AV24" s="46">
        <f t="shared" si="26"/>
        <v>7.9063139826553996E-3</v>
      </c>
      <c r="AW24" s="47">
        <f t="shared" si="5"/>
        <v>1.2171031898746698</v>
      </c>
      <c r="AX24" s="48">
        <f t="shared" si="27"/>
        <v>290.51746469550733</v>
      </c>
      <c r="AY24" s="32">
        <f t="shared" si="6"/>
        <v>567680.57047247794</v>
      </c>
      <c r="AZ24">
        <f t="shared" si="7"/>
        <v>1.6219444870642228E-2</v>
      </c>
      <c r="BA24">
        <f t="shared" si="8"/>
        <v>35000000</v>
      </c>
      <c r="BB24">
        <f t="shared" si="9"/>
        <v>35</v>
      </c>
      <c r="BC24">
        <f t="shared" si="10"/>
        <v>38.036813186813184</v>
      </c>
      <c r="BD24">
        <f t="shared" si="11"/>
        <v>1.7221524744100771</v>
      </c>
      <c r="BE24">
        <f t="shared" si="12"/>
        <v>154.25846013908642</v>
      </c>
      <c r="BF24" s="48">
        <f t="shared" si="13"/>
        <v>232.12813081729723</v>
      </c>
      <c r="BG24" s="49">
        <f t="shared" si="14"/>
        <v>3608246.8470880869</v>
      </c>
      <c r="BH24">
        <f t="shared" si="15"/>
        <v>5.7103189874669891E-2</v>
      </c>
      <c r="BI24">
        <f t="shared" si="16"/>
        <v>1.57679691220819E-2</v>
      </c>
      <c r="BJ24">
        <f t="shared" si="17"/>
        <v>3294918.032218087</v>
      </c>
      <c r="BK24">
        <f t="shared" si="18"/>
        <v>3862598.6026905649</v>
      </c>
      <c r="BL24" s="49">
        <f t="shared" si="19"/>
        <v>0.51742669927475149</v>
      </c>
      <c r="BM24" s="50">
        <f t="shared" si="20"/>
        <v>0.14287762618886801</v>
      </c>
      <c r="BN24" s="38">
        <f t="shared" si="21"/>
        <v>0.3396956745363805</v>
      </c>
      <c r="BO24">
        <f t="shared" si="22"/>
        <v>1</v>
      </c>
    </row>
    <row r="25" spans="2:67" x14ac:dyDescent="0.3">
      <c r="B25" s="41">
        <v>44440</v>
      </c>
      <c r="C25" s="25">
        <v>27207.031999999999</v>
      </c>
      <c r="D25" s="3">
        <v>39400.175999999999</v>
      </c>
      <c r="E25" s="25">
        <v>27734.237000000001</v>
      </c>
      <c r="G25" s="25">
        <v>0</v>
      </c>
      <c r="I25" s="25">
        <v>25653.666000000001</v>
      </c>
      <c r="L25" s="25">
        <f t="shared" si="23"/>
        <v>119995.111</v>
      </c>
      <c r="M25" s="42">
        <f t="shared" si="28"/>
        <v>2420876.2024514261</v>
      </c>
      <c r="N25" s="3">
        <v>284030</v>
      </c>
      <c r="O25" s="25">
        <v>145286</v>
      </c>
      <c r="P25" s="3">
        <v>167592</v>
      </c>
      <c r="R25" s="3">
        <v>0</v>
      </c>
      <c r="T25" s="3">
        <v>260159</v>
      </c>
      <c r="W25" s="25">
        <f t="shared" si="0"/>
        <v>857067</v>
      </c>
      <c r="X25" s="43">
        <f t="shared" si="29"/>
        <v>19785336</v>
      </c>
      <c r="Y25" s="3">
        <v>3104.6326989999998</v>
      </c>
      <c r="Z25" s="3">
        <v>1442.641108</v>
      </c>
      <c r="AA25" s="3">
        <v>933.78370600000005</v>
      </c>
      <c r="AC25" s="3">
        <v>0</v>
      </c>
      <c r="AE25" s="3">
        <v>4620.1222690000004</v>
      </c>
      <c r="AH25" s="25">
        <f t="shared" si="2"/>
        <v>10101.179781999999</v>
      </c>
      <c r="AI25" s="45">
        <f t="shared" si="24"/>
        <v>323429.99465200002</v>
      </c>
      <c r="AK25" t="s">
        <v>83</v>
      </c>
      <c r="AL25">
        <v>0.44</v>
      </c>
      <c r="AO25">
        <f t="shared" si="25"/>
        <v>23</v>
      </c>
      <c r="AP25" s="92">
        <f t="shared" si="3"/>
        <v>2215.3933999999999</v>
      </c>
      <c r="AQ25" s="92"/>
      <c r="AR25" s="93">
        <f t="shared" si="4"/>
        <v>955.75616643805813</v>
      </c>
      <c r="AS25" s="93"/>
      <c r="AT25" s="93"/>
      <c r="AU25" s="93"/>
      <c r="AV25" s="46">
        <f t="shared" si="26"/>
        <v>7.9065787882188331E-3</v>
      </c>
      <c r="AW25" s="47">
        <f t="shared" si="5"/>
        <v>1.2171031898746698</v>
      </c>
      <c r="AX25" s="48">
        <f t="shared" si="27"/>
        <v>288.61996517280375</v>
      </c>
      <c r="AY25" s="32">
        <f t="shared" si="6"/>
        <v>567681.09971596114</v>
      </c>
      <c r="AZ25">
        <f t="shared" si="7"/>
        <v>1.6219459991884597E-2</v>
      </c>
      <c r="BA25">
        <f t="shared" si="8"/>
        <v>35000000.000000015</v>
      </c>
      <c r="BB25">
        <f t="shared" si="9"/>
        <v>35.000000000000014</v>
      </c>
      <c r="BC25">
        <f t="shared" si="10"/>
        <v>38.036813186813184</v>
      </c>
      <c r="BD25">
        <f t="shared" si="11"/>
        <v>1.7221524744100771</v>
      </c>
      <c r="BE25">
        <f t="shared" si="12"/>
        <v>154.25846013908642</v>
      </c>
      <c r="BF25" s="48">
        <f t="shared" si="13"/>
        <v>232.12813081729723</v>
      </c>
      <c r="BG25" s="49">
        <f t="shared" si="14"/>
        <v>3783506.6822309047</v>
      </c>
      <c r="BH25">
        <f t="shared" si="15"/>
        <v>5.7103189874669891E-2</v>
      </c>
      <c r="BI25">
        <f t="shared" si="16"/>
        <v>1.57679691220819E-2</v>
      </c>
      <c r="BJ25">
        <f t="shared" si="17"/>
        <v>3460076.6875789044</v>
      </c>
      <c r="BK25">
        <f t="shared" si="18"/>
        <v>4027757.7872948656</v>
      </c>
      <c r="BL25" s="49">
        <f t="shared" si="19"/>
        <v>0.49620949202006498</v>
      </c>
      <c r="BM25" s="50">
        <f t="shared" si="20"/>
        <v>0.13701889448608601</v>
      </c>
      <c r="BN25" s="38">
        <f t="shared" si="21"/>
        <v>0.36677161349384896</v>
      </c>
      <c r="BO25">
        <f t="shared" si="22"/>
        <v>1</v>
      </c>
    </row>
    <row r="26" spans="2:67" x14ac:dyDescent="0.3">
      <c r="B26" s="41">
        <v>44470</v>
      </c>
      <c r="C26" s="25">
        <v>25996.170999999998</v>
      </c>
      <c r="D26" s="3">
        <v>40527.324999999997</v>
      </c>
      <c r="E26" s="25">
        <v>28120.734</v>
      </c>
      <c r="G26" s="25">
        <v>0</v>
      </c>
      <c r="I26" s="25">
        <v>25514.120999999999</v>
      </c>
      <c r="L26" s="25">
        <f t="shared" si="23"/>
        <v>120158.351</v>
      </c>
      <c r="M26" s="42">
        <f t="shared" si="28"/>
        <v>2541034.5534514259</v>
      </c>
      <c r="N26" s="3">
        <v>315759</v>
      </c>
      <c r="O26" s="25">
        <v>157717</v>
      </c>
      <c r="P26" s="3">
        <v>186810</v>
      </c>
      <c r="R26" s="3">
        <v>0</v>
      </c>
      <c r="T26" s="3">
        <v>281250</v>
      </c>
      <c r="W26" s="25">
        <f t="shared" si="0"/>
        <v>941536</v>
      </c>
      <c r="X26" s="43">
        <f t="shared" si="29"/>
        <v>20726872</v>
      </c>
      <c r="Y26" s="3">
        <v>11142.349253</v>
      </c>
      <c r="Z26" s="3">
        <v>1418.8530840000001</v>
      </c>
      <c r="AA26" s="3">
        <v>332.95685300000002</v>
      </c>
      <c r="AC26" s="3">
        <v>0</v>
      </c>
      <c r="AE26" s="3">
        <v>11744.886930000001</v>
      </c>
      <c r="AH26" s="25">
        <f t="shared" si="2"/>
        <v>24639.046119999999</v>
      </c>
      <c r="AI26" s="45">
        <f t="shared" si="24"/>
        <v>348069.04077200004</v>
      </c>
      <c r="AO26">
        <f t="shared" si="25"/>
        <v>24</v>
      </c>
      <c r="AP26" s="92">
        <f t="shared" si="3"/>
        <v>2215.3191999999999</v>
      </c>
      <c r="AQ26" s="92"/>
      <c r="AR26" s="93">
        <f t="shared" si="4"/>
        <v>955.71803816116676</v>
      </c>
      <c r="AS26" s="93"/>
      <c r="AT26" s="93"/>
      <c r="AU26" s="93"/>
      <c r="AV26" s="46">
        <f t="shared" si="26"/>
        <v>7.9068436115210857E-3</v>
      </c>
      <c r="AW26" s="47">
        <f t="shared" si="5"/>
        <v>1.2171031898746698</v>
      </c>
      <c r="AX26" s="48">
        <f t="shared" si="27"/>
        <v>288.05718742556729</v>
      </c>
      <c r="AY26" s="32">
        <f t="shared" si="6"/>
        <v>567681.62899489654</v>
      </c>
      <c r="AZ26">
        <f t="shared" si="7"/>
        <v>1.621947511413991E-2</v>
      </c>
      <c r="BA26">
        <f t="shared" si="8"/>
        <v>34999999.999999978</v>
      </c>
      <c r="BB26">
        <f t="shared" si="9"/>
        <v>34.999999999999979</v>
      </c>
      <c r="BC26">
        <f t="shared" si="10"/>
        <v>38.036813186813184</v>
      </c>
      <c r="BD26">
        <f t="shared" si="11"/>
        <v>1.7221524744100771</v>
      </c>
      <c r="BE26">
        <f t="shared" si="12"/>
        <v>154.25846013908642</v>
      </c>
      <c r="BF26" s="48">
        <f t="shared" si="13"/>
        <v>232.12813081729723</v>
      </c>
      <c r="BG26" s="49">
        <f t="shared" si="14"/>
        <v>3996790.8269868437</v>
      </c>
      <c r="BH26">
        <f t="shared" si="15"/>
        <v>5.7103189874669891E-2</v>
      </c>
      <c r="BI26">
        <f t="shared" si="16"/>
        <v>1.57679691220819E-2</v>
      </c>
      <c r="BJ26">
        <f t="shared" si="17"/>
        <v>3648721.7862148439</v>
      </c>
      <c r="BK26">
        <f t="shared" si="18"/>
        <v>4216403.4152097404</v>
      </c>
      <c r="BL26" s="49">
        <f t="shared" si="19"/>
        <v>0.47400863930711606</v>
      </c>
      <c r="BM26" s="50">
        <f t="shared" si="20"/>
        <v>0.13088854763803806</v>
      </c>
      <c r="BN26" s="38">
        <f t="shared" si="21"/>
        <v>0.39510281305484585</v>
      </c>
      <c r="BO26">
        <f t="shared" si="22"/>
        <v>1</v>
      </c>
    </row>
    <row r="27" spans="2:67" x14ac:dyDescent="0.3">
      <c r="B27" s="41">
        <v>44501</v>
      </c>
      <c r="C27" s="25">
        <v>25775.866000000002</v>
      </c>
      <c r="D27" s="3">
        <v>40359.733999999997</v>
      </c>
      <c r="E27" s="25">
        <v>28040.663</v>
      </c>
      <c r="G27" s="25">
        <v>0</v>
      </c>
      <c r="I27" s="25">
        <v>25307.219000000001</v>
      </c>
      <c r="L27" s="25">
        <f t="shared" si="23"/>
        <v>119483.482</v>
      </c>
      <c r="M27" s="42">
        <f t="shared" si="28"/>
        <v>2660518.0354514257</v>
      </c>
      <c r="N27" s="3">
        <v>219079</v>
      </c>
      <c r="O27" s="25">
        <v>138342</v>
      </c>
      <c r="P27" s="3">
        <v>163868</v>
      </c>
      <c r="R27" s="3">
        <v>0</v>
      </c>
      <c r="T27" s="3">
        <v>228354</v>
      </c>
      <c r="W27" s="25">
        <f t="shared" si="0"/>
        <v>749643</v>
      </c>
      <c r="X27" s="43">
        <f t="shared" si="29"/>
        <v>21476515</v>
      </c>
      <c r="Y27" s="3">
        <v>15360.219940000001</v>
      </c>
      <c r="Z27" s="3">
        <v>1533.8935280000001</v>
      </c>
      <c r="AA27" s="3">
        <v>267.09635800000001</v>
      </c>
      <c r="AC27" s="3">
        <v>0</v>
      </c>
      <c r="AE27" s="3">
        <v>13822.319815999999</v>
      </c>
      <c r="AH27" s="25">
        <f t="shared" si="2"/>
        <v>30983.529641999998</v>
      </c>
      <c r="AI27" s="45">
        <f t="shared" si="24"/>
        <v>379052.57041400002</v>
      </c>
      <c r="AK27" t="s">
        <v>84</v>
      </c>
      <c r="AL27">
        <f>1 - $AL$25</f>
        <v>0.56000000000000005</v>
      </c>
      <c r="AO27">
        <f t="shared" si="25"/>
        <v>25</v>
      </c>
      <c r="AP27" s="92">
        <f t="shared" si="3"/>
        <v>2215.2449999999999</v>
      </c>
      <c r="AQ27" s="92"/>
      <c r="AR27" s="93">
        <f t="shared" si="4"/>
        <v>955.67991014284701</v>
      </c>
      <c r="AS27" s="93"/>
      <c r="AT27" s="93"/>
      <c r="AU27" s="93"/>
      <c r="AV27" s="46">
        <f t="shared" si="26"/>
        <v>7.9071084525639372E-3</v>
      </c>
      <c r="AW27" s="47">
        <f t="shared" si="5"/>
        <v>1.2171031898746698</v>
      </c>
      <c r="AX27" s="48">
        <f t="shared" si="27"/>
        <v>285.07105539760482</v>
      </c>
      <c r="AY27" s="32">
        <f t="shared" si="6"/>
        <v>567682.15830928925</v>
      </c>
      <c r="AZ27">
        <f t="shared" si="7"/>
        <v>1.6219490237408266E-2</v>
      </c>
      <c r="BA27">
        <f t="shared" si="8"/>
        <v>34999999.999999993</v>
      </c>
      <c r="BB27">
        <f t="shared" si="9"/>
        <v>34.999999999999993</v>
      </c>
      <c r="BC27">
        <f t="shared" si="10"/>
        <v>38.036813186813184</v>
      </c>
      <c r="BD27">
        <f t="shared" si="11"/>
        <v>1.7221524744100771</v>
      </c>
      <c r="BE27">
        <f t="shared" si="12"/>
        <v>154.25846013908642</v>
      </c>
      <c r="BF27" s="48">
        <f t="shared" si="13"/>
        <v>232.12813081729723</v>
      </c>
      <c r="BG27" s="49">
        <f t="shared" si="14"/>
        <v>4163255.9501572596</v>
      </c>
      <c r="BH27">
        <f t="shared" si="15"/>
        <v>5.7103189874669891E-2</v>
      </c>
      <c r="BI27">
        <f t="shared" si="16"/>
        <v>1.57679691220819E-2</v>
      </c>
      <c r="BJ27">
        <f t="shared" si="17"/>
        <v>3784203.3797432594</v>
      </c>
      <c r="BK27">
        <f t="shared" si="18"/>
        <v>4351885.5380525487</v>
      </c>
      <c r="BL27" s="49">
        <f t="shared" si="19"/>
        <v>0.45925188705854997</v>
      </c>
      <c r="BM27" s="50">
        <f t="shared" si="20"/>
        <v>0.12681374876413457</v>
      </c>
      <c r="BN27" s="38">
        <f t="shared" si="21"/>
        <v>0.41393436417731544</v>
      </c>
      <c r="BO27">
        <f t="shared" si="22"/>
        <v>1</v>
      </c>
    </row>
    <row r="28" spans="2:67" x14ac:dyDescent="0.3">
      <c r="B28" s="41">
        <v>44531</v>
      </c>
      <c r="C28" s="25">
        <v>26567.91</v>
      </c>
      <c r="D28" s="3">
        <v>41588.97</v>
      </c>
      <c r="E28" s="25">
        <v>28660.763999999999</v>
      </c>
      <c r="G28" s="25">
        <v>0</v>
      </c>
      <c r="I28" s="25">
        <v>25417.873</v>
      </c>
      <c r="L28" s="25">
        <f t="shared" si="23"/>
        <v>122235.51699999999</v>
      </c>
      <c r="M28" s="42">
        <f t="shared" si="28"/>
        <v>2782753.5524514257</v>
      </c>
      <c r="N28" s="3">
        <v>203475</v>
      </c>
      <c r="O28" s="25">
        <v>147604</v>
      </c>
      <c r="P28" s="3">
        <v>174729</v>
      </c>
      <c r="R28" s="3">
        <v>0</v>
      </c>
      <c r="T28" s="3">
        <v>232888</v>
      </c>
      <c r="W28" s="25">
        <f t="shared" si="0"/>
        <v>758696</v>
      </c>
      <c r="X28" s="43">
        <f t="shared" si="29"/>
        <v>22235211</v>
      </c>
      <c r="Y28" s="3">
        <v>15929.019136000001</v>
      </c>
      <c r="Z28" s="3">
        <v>1479.625131</v>
      </c>
      <c r="AA28" s="3">
        <v>212.771356</v>
      </c>
      <c r="AC28" s="3">
        <v>0</v>
      </c>
      <c r="AE28" s="3">
        <v>14301.935933999999</v>
      </c>
      <c r="AH28" s="25">
        <f t="shared" si="2"/>
        <v>31923.351557000002</v>
      </c>
      <c r="AI28" s="45">
        <f t="shared" si="24"/>
        <v>410975.92197100003</v>
      </c>
      <c r="AO28">
        <f t="shared" si="25"/>
        <v>26</v>
      </c>
      <c r="AP28" s="92">
        <f t="shared" si="3"/>
        <v>2215.1707999999999</v>
      </c>
      <c r="AQ28" s="92"/>
      <c r="AR28" s="93">
        <f t="shared" si="4"/>
        <v>955.64178238310126</v>
      </c>
      <c r="AS28" s="93"/>
      <c r="AT28" s="93"/>
      <c r="AU28" s="93"/>
      <c r="AV28" s="46">
        <f t="shared" si="26"/>
        <v>7.9073733113491744E-3</v>
      </c>
      <c r="AW28" s="47">
        <f t="shared" si="5"/>
        <v>1.2171031898746698</v>
      </c>
      <c r="AX28" s="48">
        <f t="shared" si="27"/>
        <v>282.17727193626735</v>
      </c>
      <c r="AY28" s="32">
        <f t="shared" si="6"/>
        <v>567682.68765914161</v>
      </c>
      <c r="AZ28">
        <f t="shared" si="7"/>
        <v>1.6219505361689771E-2</v>
      </c>
      <c r="BA28">
        <f t="shared" si="8"/>
        <v>34999999.999999978</v>
      </c>
      <c r="BB28">
        <f t="shared" si="9"/>
        <v>34.999999999999979</v>
      </c>
      <c r="BC28">
        <f t="shared" si="10"/>
        <v>38.036813186813184</v>
      </c>
      <c r="BD28">
        <f t="shared" si="11"/>
        <v>1.7221524744100771</v>
      </c>
      <c r="BE28">
        <f t="shared" si="12"/>
        <v>154.25846013908642</v>
      </c>
      <c r="BF28" s="48">
        <f t="shared" si="13"/>
        <v>232.12813081729723</v>
      </c>
      <c r="BG28" s="49">
        <f t="shared" si="14"/>
        <v>4331486.3327789325</v>
      </c>
      <c r="BH28">
        <f t="shared" si="15"/>
        <v>5.7103189874669891E-2</v>
      </c>
      <c r="BI28">
        <f t="shared" si="16"/>
        <v>1.57679691220819E-2</v>
      </c>
      <c r="BJ28">
        <f t="shared" si="17"/>
        <v>3920510.4108079327</v>
      </c>
      <c r="BK28">
        <f t="shared" si="18"/>
        <v>4488193.0984670743</v>
      </c>
      <c r="BL28" s="49">
        <f t="shared" si="19"/>
        <v>0.44530429100656665</v>
      </c>
      <c r="BM28" s="50">
        <f t="shared" si="20"/>
        <v>0.12296238311612721</v>
      </c>
      <c r="BN28" s="38">
        <f t="shared" si="21"/>
        <v>0.43173332587730612</v>
      </c>
      <c r="BO28">
        <f t="shared" si="22"/>
        <v>1</v>
      </c>
    </row>
    <row r="29" spans="2:67" x14ac:dyDescent="0.3">
      <c r="B29" s="41">
        <v>44562</v>
      </c>
      <c r="C29" s="25">
        <v>23764.544999999998</v>
      </c>
      <c r="D29" s="3">
        <v>38546.03</v>
      </c>
      <c r="E29" s="25">
        <v>22010.829000000002</v>
      </c>
      <c r="G29" s="25">
        <v>0</v>
      </c>
      <c r="I29" s="25">
        <v>22681.456999999999</v>
      </c>
      <c r="L29" s="25">
        <f t="shared" si="23"/>
        <v>107002.86099999999</v>
      </c>
      <c r="M29" s="42">
        <f t="shared" si="28"/>
        <v>2889756.4134514257</v>
      </c>
      <c r="N29" s="3">
        <v>190193</v>
      </c>
      <c r="O29" s="25">
        <v>142174</v>
      </c>
      <c r="P29" s="3">
        <v>161661</v>
      </c>
      <c r="R29" s="3">
        <v>0</v>
      </c>
      <c r="T29" s="3">
        <v>223476</v>
      </c>
      <c r="W29" s="25">
        <f t="shared" si="0"/>
        <v>717504</v>
      </c>
      <c r="X29" s="43">
        <f t="shared" si="29"/>
        <v>22952715</v>
      </c>
      <c r="Y29" s="3">
        <v>13688.812519999999</v>
      </c>
      <c r="Z29" s="3">
        <v>1890.594374</v>
      </c>
      <c r="AA29" s="3">
        <v>428.090079</v>
      </c>
      <c r="AC29" s="3">
        <v>0</v>
      </c>
      <c r="AE29" s="3">
        <v>18992.170602999999</v>
      </c>
      <c r="AH29" s="25">
        <f t="shared" si="2"/>
        <v>34999.667576</v>
      </c>
      <c r="AI29" s="45">
        <f t="shared" si="24"/>
        <v>445975.58954700001</v>
      </c>
      <c r="AJ29" s="91" t="s">
        <v>88</v>
      </c>
      <c r="AK29" s="91"/>
      <c r="AL29" s="91"/>
      <c r="AM29" s="91"/>
      <c r="AO29">
        <f t="shared" si="25"/>
        <v>27</v>
      </c>
      <c r="AP29" s="92">
        <f t="shared" si="3"/>
        <v>2215.0965999999999</v>
      </c>
      <c r="AQ29" s="92"/>
      <c r="AR29" s="93">
        <f t="shared" si="4"/>
        <v>955.60365488193884</v>
      </c>
      <c r="AS29" s="93"/>
      <c r="AT29" s="93"/>
      <c r="AU29" s="93"/>
      <c r="AV29" s="46">
        <f t="shared" si="26"/>
        <v>7.9076381878785788E-3</v>
      </c>
      <c r="AW29" s="47">
        <f t="shared" si="5"/>
        <v>1.2171031898746698</v>
      </c>
      <c r="AX29" s="48">
        <f t="shared" si="27"/>
        <v>280.49708295045713</v>
      </c>
      <c r="AY29" s="32">
        <f t="shared" si="6"/>
        <v>567683.21704445779</v>
      </c>
      <c r="AZ29">
        <f t="shared" si="7"/>
        <v>1.621952048698452E-2</v>
      </c>
      <c r="BA29">
        <f t="shared" si="8"/>
        <v>34999999.999999978</v>
      </c>
      <c r="BB29">
        <f t="shared" si="9"/>
        <v>34.999999999999979</v>
      </c>
      <c r="BC29">
        <f t="shared" si="10"/>
        <v>38.036813186813184</v>
      </c>
      <c r="BD29">
        <f t="shared" si="11"/>
        <v>1.7221524744100771</v>
      </c>
      <c r="BE29">
        <f t="shared" si="12"/>
        <v>154.25846013908642</v>
      </c>
      <c r="BF29" s="48">
        <f t="shared" si="13"/>
        <v>232.12813081729723</v>
      </c>
      <c r="BG29" s="49">
        <f t="shared" si="14"/>
        <v>4500710.2132334681</v>
      </c>
      <c r="BH29">
        <f t="shared" si="15"/>
        <v>5.7103189874669891E-2</v>
      </c>
      <c r="BI29">
        <f t="shared" si="16"/>
        <v>1.57679691220819E-2</v>
      </c>
      <c r="BJ29">
        <f t="shared" si="17"/>
        <v>4054734.6236864682</v>
      </c>
      <c r="BK29">
        <f t="shared" si="18"/>
        <v>4622417.840730926</v>
      </c>
      <c r="BL29" s="49">
        <f t="shared" si="19"/>
        <v>0.43237364394072453</v>
      </c>
      <c r="BM29" s="50">
        <f t="shared" si="20"/>
        <v>0.11939182875462419</v>
      </c>
      <c r="BN29" s="38">
        <f t="shared" si="21"/>
        <v>0.4482345273046513</v>
      </c>
      <c r="BO29">
        <f t="shared" si="22"/>
        <v>1</v>
      </c>
    </row>
    <row r="30" spans="2:67" x14ac:dyDescent="0.3">
      <c r="B30" s="41">
        <v>44593</v>
      </c>
      <c r="C30" s="25">
        <v>11515.85</v>
      </c>
      <c r="D30" s="3">
        <v>32026.851999999999</v>
      </c>
      <c r="E30" s="25">
        <v>20219.286</v>
      </c>
      <c r="G30" s="25">
        <v>0</v>
      </c>
      <c r="I30" s="25">
        <v>16689.329000000002</v>
      </c>
      <c r="J30" s="25">
        <v>13047.413</v>
      </c>
      <c r="L30" s="25">
        <f t="shared" si="23"/>
        <v>93498.73</v>
      </c>
      <c r="M30" s="42">
        <f t="shared" si="28"/>
        <v>2983255.1434514257</v>
      </c>
      <c r="N30" s="3">
        <v>100213</v>
      </c>
      <c r="O30" s="25">
        <v>109678</v>
      </c>
      <c r="P30" s="3">
        <v>130770</v>
      </c>
      <c r="R30" s="3">
        <v>0</v>
      </c>
      <c r="T30" s="3">
        <v>175895</v>
      </c>
      <c r="U30" s="25">
        <v>97555</v>
      </c>
      <c r="W30" s="25">
        <f t="shared" si="0"/>
        <v>614111</v>
      </c>
      <c r="X30" s="43">
        <f>X29+W30</f>
        <v>23566826</v>
      </c>
      <c r="Y30" s="3">
        <v>17552.649240999999</v>
      </c>
      <c r="Z30" s="3">
        <v>9106.0264999999999</v>
      </c>
      <c r="AA30" s="3">
        <v>372.78386799999998</v>
      </c>
      <c r="AC30" s="3">
        <v>0</v>
      </c>
      <c r="AE30" s="3">
        <v>13964.909582</v>
      </c>
      <c r="AF30" s="5">
        <v>1680.0936400000001</v>
      </c>
      <c r="AH30" s="25">
        <f t="shared" si="2"/>
        <v>42676.462830999997</v>
      </c>
      <c r="AI30" s="45">
        <f t="shared" si="24"/>
        <v>488652.05237799999</v>
      </c>
      <c r="AO30">
        <f t="shared" si="25"/>
        <v>28</v>
      </c>
      <c r="AP30" s="92">
        <f t="shared" si="3"/>
        <v>2215.0223999999998</v>
      </c>
      <c r="AQ30" s="92"/>
      <c r="AR30" s="93">
        <f t="shared" si="4"/>
        <v>955.56552763936645</v>
      </c>
      <c r="AS30" s="93"/>
      <c r="AT30" s="93"/>
      <c r="AU30" s="93"/>
      <c r="AV30" s="46">
        <f t="shared" si="26"/>
        <v>7.9079030821539321E-3</v>
      </c>
      <c r="AW30" s="47">
        <f t="shared" si="5"/>
        <v>1.2171031898746698</v>
      </c>
      <c r="AX30" s="48">
        <f t="shared" si="27"/>
        <v>278.97559884178611</v>
      </c>
      <c r="AY30" s="32">
        <f t="shared" si="6"/>
        <v>567683.74646524154</v>
      </c>
      <c r="AZ30">
        <f t="shared" si="7"/>
        <v>1.6219535613292622E-2</v>
      </c>
      <c r="BA30">
        <f t="shared" si="8"/>
        <v>34999999.999999985</v>
      </c>
      <c r="BB30">
        <f t="shared" si="9"/>
        <v>34.999999999999986</v>
      </c>
      <c r="BC30">
        <f t="shared" si="10"/>
        <v>38.036813186813184</v>
      </c>
      <c r="BD30">
        <f t="shared" si="11"/>
        <v>1.7221524744100771</v>
      </c>
      <c r="BE30">
        <f t="shared" si="12"/>
        <v>154.25846013908642</v>
      </c>
      <c r="BF30" s="48">
        <f t="shared" si="13"/>
        <v>232.12813081729723</v>
      </c>
      <c r="BG30" s="49">
        <f t="shared" si="14"/>
        <v>4657089.9803172471</v>
      </c>
      <c r="BH30">
        <f t="shared" si="15"/>
        <v>5.7103189874669891E-2</v>
      </c>
      <c r="BI30">
        <f t="shared" si="16"/>
        <v>1.57679691220819E-2</v>
      </c>
      <c r="BJ30">
        <f t="shared" si="17"/>
        <v>4168437.9279392473</v>
      </c>
      <c r="BK30">
        <f t="shared" si="18"/>
        <v>4736121.6744044889</v>
      </c>
      <c r="BL30" s="49">
        <f t="shared" si="19"/>
        <v>0.42199330655176798</v>
      </c>
      <c r="BM30" s="50">
        <f t="shared" si="20"/>
        <v>0.11652549432067931</v>
      </c>
      <c r="BN30" s="38">
        <f t="shared" si="21"/>
        <v>0.46148119912755264</v>
      </c>
      <c r="BO30">
        <f t="shared" si="22"/>
        <v>1</v>
      </c>
    </row>
    <row r="31" spans="2:67" x14ac:dyDescent="0.3">
      <c r="B31" s="2">
        <v>44621</v>
      </c>
      <c r="C31" s="25">
        <v>8440.9189999999999</v>
      </c>
      <c r="D31" s="3">
        <v>33074.504000000001</v>
      </c>
      <c r="E31" s="25">
        <v>22081.853999999999</v>
      </c>
      <c r="G31" s="25">
        <v>0</v>
      </c>
      <c r="I31" s="25">
        <v>16357.291999999999</v>
      </c>
      <c r="J31" s="25">
        <v>19237.486000000001</v>
      </c>
      <c r="K31" s="25">
        <v>6255.6310000000003</v>
      </c>
      <c r="L31" s="25">
        <f t="shared" si="23"/>
        <v>105447.686</v>
      </c>
      <c r="M31" s="25">
        <f t="shared" si="28"/>
        <v>3088702.8294514259</v>
      </c>
      <c r="N31" s="3">
        <v>122999</v>
      </c>
      <c r="O31" s="25">
        <v>132872</v>
      </c>
      <c r="P31" s="3">
        <v>157876</v>
      </c>
      <c r="R31" s="3">
        <v>0</v>
      </c>
      <c r="T31" s="3">
        <v>209488</v>
      </c>
      <c r="U31" s="25">
        <v>124311</v>
      </c>
      <c r="V31" s="5">
        <v>33304</v>
      </c>
      <c r="W31" s="25">
        <f t="shared" si="0"/>
        <v>780850</v>
      </c>
      <c r="X31" s="25">
        <f t="shared" si="29"/>
        <v>24347676</v>
      </c>
      <c r="Y31" s="3">
        <v>17985.324582000001</v>
      </c>
      <c r="Z31" s="3">
        <v>13287.655366999999</v>
      </c>
      <c r="AA31" s="3">
        <v>448.71433400000001</v>
      </c>
      <c r="AC31" s="3">
        <v>0</v>
      </c>
      <c r="AE31" s="3">
        <v>14849.532211</v>
      </c>
      <c r="AF31" s="3">
        <v>1048.377573</v>
      </c>
      <c r="AG31" s="5">
        <v>1742.2745990000001</v>
      </c>
      <c r="AH31" s="25">
        <f t="shared" si="2"/>
        <v>49361.878665999997</v>
      </c>
      <c r="AI31" s="25">
        <f t="shared" si="24"/>
        <v>538013.93104399997</v>
      </c>
      <c r="AO31">
        <f t="shared" si="25"/>
        <v>29</v>
      </c>
    </row>
    <row r="32" spans="2:67" x14ac:dyDescent="0.3">
      <c r="B32" s="2">
        <v>44652</v>
      </c>
      <c r="C32" s="25">
        <v>4729.6750000000002</v>
      </c>
      <c r="D32" s="3">
        <v>30873.334999999999</v>
      </c>
      <c r="E32" s="25">
        <v>21111.174999999999</v>
      </c>
      <c r="G32" s="25">
        <v>0</v>
      </c>
      <c r="I32" s="25">
        <v>15924.043</v>
      </c>
      <c r="J32" s="25">
        <v>22150.992999999999</v>
      </c>
      <c r="K32" s="25">
        <v>19841.439999999999</v>
      </c>
      <c r="L32" s="25">
        <f t="shared" si="23"/>
        <v>114630.66100000001</v>
      </c>
      <c r="M32" s="25">
        <f t="shared" si="28"/>
        <v>3203333.4904514258</v>
      </c>
      <c r="N32" s="3">
        <v>113715</v>
      </c>
      <c r="O32" s="25">
        <v>135743</v>
      </c>
      <c r="P32" s="3">
        <v>160319</v>
      </c>
      <c r="R32" s="3">
        <v>0</v>
      </c>
      <c r="T32" s="3">
        <v>213842</v>
      </c>
      <c r="U32" s="25">
        <v>128743</v>
      </c>
      <c r="V32" s="3">
        <v>136545</v>
      </c>
      <c r="W32" s="25">
        <f t="shared" si="0"/>
        <v>888907</v>
      </c>
      <c r="X32" s="25">
        <f t="shared" si="29"/>
        <v>25236583</v>
      </c>
      <c r="Y32" s="3">
        <v>10914.299974</v>
      </c>
      <c r="Z32" s="3">
        <v>11446.73783</v>
      </c>
      <c r="AA32" s="3">
        <v>461.24361699999997</v>
      </c>
      <c r="AC32" s="3">
        <v>0</v>
      </c>
      <c r="AE32" s="3">
        <v>11815.98683</v>
      </c>
      <c r="AF32" s="3">
        <v>397.358116</v>
      </c>
      <c r="AG32" s="3">
        <v>5630.4465559999999</v>
      </c>
      <c r="AH32" s="25">
        <f t="shared" si="2"/>
        <v>40666.072923000007</v>
      </c>
      <c r="AI32" s="25">
        <f t="shared" si="24"/>
        <v>578680.00396699994</v>
      </c>
      <c r="AO32">
        <f t="shared" si="25"/>
        <v>30</v>
      </c>
    </row>
    <row r="33" spans="2:41" x14ac:dyDescent="0.3">
      <c r="B33" s="2">
        <v>44682</v>
      </c>
      <c r="C33" s="25">
        <v>4806.143</v>
      </c>
      <c r="D33" s="3">
        <v>28816.246999999999</v>
      </c>
      <c r="E33" s="25">
        <v>20937.809000000001</v>
      </c>
      <c r="G33" s="25">
        <v>0</v>
      </c>
      <c r="I33" s="25">
        <v>17814.929</v>
      </c>
      <c r="J33" s="25">
        <v>27372.978999999999</v>
      </c>
      <c r="K33" s="25">
        <v>19961.911</v>
      </c>
      <c r="L33" s="25">
        <f t="shared" si="23"/>
        <v>119710.01799999998</v>
      </c>
      <c r="M33" s="25">
        <f t="shared" si="28"/>
        <v>3323043.5084514259</v>
      </c>
      <c r="N33" s="3">
        <v>115782</v>
      </c>
      <c r="O33" s="25">
        <v>126977</v>
      </c>
      <c r="P33" s="3">
        <v>159256</v>
      </c>
      <c r="R33" s="3">
        <v>0</v>
      </c>
      <c r="T33" s="3">
        <v>239872</v>
      </c>
      <c r="U33" s="25">
        <v>159627</v>
      </c>
      <c r="V33" s="3">
        <v>137657</v>
      </c>
      <c r="W33" s="25">
        <f t="shared" si="0"/>
        <v>939171</v>
      </c>
      <c r="X33" s="25">
        <f t="shared" si="29"/>
        <v>26175754</v>
      </c>
      <c r="Y33" s="3">
        <v>12381.955617</v>
      </c>
      <c r="Z33" s="3">
        <v>13361.591963000001</v>
      </c>
      <c r="AA33" s="3">
        <v>759.22917900000004</v>
      </c>
      <c r="AC33" s="3">
        <v>0</v>
      </c>
      <c r="AE33" s="3">
        <v>12569.655827</v>
      </c>
      <c r="AF33" s="3">
        <v>451.24283200000002</v>
      </c>
      <c r="AG33" s="3">
        <v>7865.9609810000002</v>
      </c>
      <c r="AH33" s="25">
        <f t="shared" si="2"/>
        <v>47389.63639900001</v>
      </c>
      <c r="AI33" s="25">
        <f t="shared" si="24"/>
        <v>626069.64036599989</v>
      </c>
      <c r="AO33">
        <f t="shared" si="25"/>
        <v>31</v>
      </c>
    </row>
    <row r="34" spans="2:41" x14ac:dyDescent="0.3">
      <c r="B34" s="2">
        <v>44713</v>
      </c>
      <c r="C34" s="25">
        <v>4471.7349999999997</v>
      </c>
      <c r="D34" s="3">
        <v>26947.527999999998</v>
      </c>
      <c r="E34" s="25">
        <v>19335.098999999998</v>
      </c>
      <c r="G34" s="25">
        <v>0</v>
      </c>
      <c r="I34" s="25">
        <v>12254.732</v>
      </c>
      <c r="J34" s="25">
        <v>26595.523000000001</v>
      </c>
      <c r="K34" s="25">
        <v>15928.692999999999</v>
      </c>
      <c r="L34" s="25">
        <f t="shared" si="23"/>
        <v>105533.31</v>
      </c>
      <c r="M34" s="25">
        <f t="shared" si="28"/>
        <v>3428576.818451426</v>
      </c>
      <c r="N34" s="3">
        <v>107891</v>
      </c>
      <c r="O34" s="25">
        <v>118948</v>
      </c>
      <c r="P34" s="3">
        <v>147281</v>
      </c>
      <c r="R34" s="3">
        <v>0</v>
      </c>
      <c r="T34" s="3">
        <v>166155</v>
      </c>
      <c r="U34" s="25">
        <v>155115</v>
      </c>
      <c r="V34" s="3">
        <v>110372</v>
      </c>
      <c r="W34" s="25">
        <f t="shared" si="0"/>
        <v>805762</v>
      </c>
      <c r="X34" s="25">
        <f t="shared" si="29"/>
        <v>26981516</v>
      </c>
      <c r="Y34" s="3">
        <v>12957.094928</v>
      </c>
      <c r="Z34" s="3">
        <v>14862.306796999999</v>
      </c>
      <c r="AA34" s="3">
        <v>1123.289092</v>
      </c>
      <c r="AC34" s="3">
        <v>0</v>
      </c>
      <c r="AE34" s="3">
        <v>9180.5103120000003</v>
      </c>
      <c r="AF34" s="3">
        <v>472.13754799999998</v>
      </c>
      <c r="AG34" s="3">
        <v>8632.1403869999995</v>
      </c>
      <c r="AH34" s="25">
        <f t="shared" si="2"/>
        <v>47227.479063999999</v>
      </c>
      <c r="AI34" s="25">
        <f t="shared" si="24"/>
        <v>673297.11942999985</v>
      </c>
      <c r="AO34">
        <f t="shared" si="25"/>
        <v>32</v>
      </c>
    </row>
    <row r="35" spans="2:41" x14ac:dyDescent="0.3">
      <c r="B35" s="2">
        <v>44743</v>
      </c>
      <c r="C35" s="25">
        <v>4066.82</v>
      </c>
      <c r="D35" s="3">
        <v>25547.397000000001</v>
      </c>
      <c r="E35" s="25">
        <v>18158.577000000001</v>
      </c>
      <c r="G35" s="25">
        <v>0</v>
      </c>
      <c r="I35" s="25">
        <v>6039.366</v>
      </c>
      <c r="J35" s="25">
        <v>28900.334999999999</v>
      </c>
      <c r="K35" s="25">
        <v>10570.038</v>
      </c>
      <c r="L35" s="25">
        <f t="shared" si="23"/>
        <v>93282.532999999996</v>
      </c>
      <c r="M35" s="25">
        <f t="shared" si="28"/>
        <v>3521859.3514514258</v>
      </c>
      <c r="N35" s="3">
        <v>94281</v>
      </c>
      <c r="O35" s="25">
        <v>108451</v>
      </c>
      <c r="P35" s="3">
        <v>133056</v>
      </c>
      <c r="R35" s="3">
        <v>0</v>
      </c>
      <c r="T35" s="3">
        <v>78260</v>
      </c>
      <c r="U35" s="25">
        <v>162367</v>
      </c>
      <c r="V35" s="3">
        <v>70146</v>
      </c>
      <c r="W35" s="25">
        <f t="shared" si="0"/>
        <v>646561</v>
      </c>
      <c r="X35" s="25">
        <f t="shared" si="29"/>
        <v>27628077</v>
      </c>
      <c r="Y35" s="3">
        <v>14008.560793000001</v>
      </c>
      <c r="Z35" s="3">
        <v>20275.598008000001</v>
      </c>
      <c r="AA35" s="3">
        <v>1703.736993</v>
      </c>
      <c r="AC35" s="3">
        <v>0</v>
      </c>
      <c r="AE35" s="3">
        <v>4417.012052</v>
      </c>
      <c r="AF35" s="3">
        <v>550.59650999999997</v>
      </c>
      <c r="AG35" s="3">
        <v>9732.8490999999995</v>
      </c>
      <c r="AH35" s="25">
        <f t="shared" si="2"/>
        <v>50688.353455999997</v>
      </c>
      <c r="AI35" s="25">
        <f t="shared" si="24"/>
        <v>723985.47288599983</v>
      </c>
      <c r="AO35">
        <f t="shared" si="25"/>
        <v>33</v>
      </c>
    </row>
    <row r="36" spans="2:41" x14ac:dyDescent="0.3">
      <c r="B36" s="2">
        <v>44774</v>
      </c>
      <c r="C36" s="25">
        <v>4395.6049999999996</v>
      </c>
      <c r="D36" s="3">
        <v>25666.522000000001</v>
      </c>
      <c r="E36" s="25">
        <v>19137.821</v>
      </c>
      <c r="G36" s="25">
        <v>0</v>
      </c>
      <c r="I36" s="25">
        <v>6527.6260000000002</v>
      </c>
      <c r="J36" s="25">
        <v>29035.098999999998</v>
      </c>
      <c r="K36" s="25">
        <v>11424.587</v>
      </c>
      <c r="L36" s="25">
        <f t="shared" si="23"/>
        <v>96187.260000000009</v>
      </c>
      <c r="M36" s="25">
        <f t="shared" si="28"/>
        <v>3618046.6114514256</v>
      </c>
      <c r="N36" s="3">
        <v>100568</v>
      </c>
      <c r="O36" s="25">
        <v>107404</v>
      </c>
      <c r="P36" s="3">
        <v>138250</v>
      </c>
      <c r="R36" s="3">
        <v>0</v>
      </c>
      <c r="T36" s="3">
        <v>83487</v>
      </c>
      <c r="U36" s="25">
        <v>160789</v>
      </c>
      <c r="V36" s="3">
        <v>74822</v>
      </c>
      <c r="W36" s="25">
        <f t="shared" si="0"/>
        <v>665320</v>
      </c>
      <c r="X36" s="25">
        <f t="shared" si="29"/>
        <v>28293397</v>
      </c>
      <c r="Y36" s="3">
        <v>17721.448598999999</v>
      </c>
      <c r="Z36" s="3">
        <v>23480.754292000001</v>
      </c>
      <c r="AA36" s="3">
        <v>2052.8775059999998</v>
      </c>
      <c r="AC36" s="3">
        <v>0</v>
      </c>
      <c r="AE36" s="3">
        <v>5587.6696250000005</v>
      </c>
      <c r="AF36" s="3">
        <v>637.62847399999998</v>
      </c>
      <c r="AG36" s="3">
        <v>12312.535093</v>
      </c>
      <c r="AH36" s="25">
        <f t="shared" si="2"/>
        <v>61792.913588999996</v>
      </c>
      <c r="AI36" s="25">
        <f t="shared" si="24"/>
        <v>785778.38647499983</v>
      </c>
      <c r="AO36">
        <f t="shared" si="25"/>
        <v>34</v>
      </c>
    </row>
    <row r="37" spans="2:41" x14ac:dyDescent="0.3">
      <c r="B37" s="2">
        <v>44805</v>
      </c>
      <c r="C37" s="25">
        <v>4474.2929999999997</v>
      </c>
      <c r="D37" s="3">
        <v>24665.473000000002</v>
      </c>
      <c r="E37" s="25">
        <v>19284.48</v>
      </c>
      <c r="G37" s="25">
        <v>0</v>
      </c>
      <c r="I37" s="25">
        <v>7117.2830000000004</v>
      </c>
      <c r="J37" s="25">
        <v>29154.565999999999</v>
      </c>
      <c r="K37" s="25">
        <v>10658.277</v>
      </c>
      <c r="L37" s="25">
        <f t="shared" si="23"/>
        <v>95354.372000000003</v>
      </c>
      <c r="M37" s="25">
        <f t="shared" si="28"/>
        <v>3713400.9834514256</v>
      </c>
      <c r="N37" s="3">
        <v>100048</v>
      </c>
      <c r="O37" s="25">
        <v>104396</v>
      </c>
      <c r="P37" s="3">
        <v>140944</v>
      </c>
      <c r="R37" s="3">
        <v>0</v>
      </c>
      <c r="T37" s="3">
        <v>87636</v>
      </c>
      <c r="U37" s="25">
        <v>163345</v>
      </c>
      <c r="V37" s="3">
        <v>70139</v>
      </c>
      <c r="W37" s="25">
        <f t="shared" si="0"/>
        <v>666508</v>
      </c>
      <c r="X37" s="25">
        <f t="shared" si="29"/>
        <v>28959905</v>
      </c>
      <c r="Y37" s="3">
        <v>13809.746504999999</v>
      </c>
      <c r="Z37" s="3">
        <v>19244.058226000001</v>
      </c>
      <c r="AA37" s="3">
        <v>1952.863394</v>
      </c>
      <c r="AC37" s="3">
        <v>0</v>
      </c>
      <c r="AE37" s="3">
        <v>4921.9320310000003</v>
      </c>
      <c r="AF37" s="3">
        <v>501.75621599999999</v>
      </c>
      <c r="AG37" s="3">
        <v>9933.2798679999996</v>
      </c>
      <c r="AH37" s="25">
        <f t="shared" si="2"/>
        <v>50363.63624</v>
      </c>
      <c r="AI37" s="25">
        <f t="shared" si="24"/>
        <v>836142.02271499985</v>
      </c>
      <c r="AO37">
        <f t="shared" si="25"/>
        <v>35</v>
      </c>
    </row>
    <row r="38" spans="2:41" x14ac:dyDescent="0.3">
      <c r="B38" s="2">
        <v>44835</v>
      </c>
      <c r="C38" s="25">
        <v>5123.7190000000001</v>
      </c>
      <c r="D38" s="3">
        <v>21047.561000000002</v>
      </c>
      <c r="E38" s="25">
        <v>21163.19</v>
      </c>
      <c r="G38" s="25">
        <v>0</v>
      </c>
      <c r="I38" s="25">
        <v>10665.815000000001</v>
      </c>
      <c r="J38" s="25">
        <v>31012.708999999999</v>
      </c>
      <c r="K38" s="25">
        <v>9733.6029999999992</v>
      </c>
      <c r="L38" s="25">
        <f t="shared" si="23"/>
        <v>98746.597000000009</v>
      </c>
      <c r="M38" s="25">
        <f t="shared" si="28"/>
        <v>3812147.5804514256</v>
      </c>
      <c r="N38" s="3">
        <v>98017</v>
      </c>
      <c r="O38" s="25">
        <v>87150</v>
      </c>
      <c r="P38" s="3">
        <v>151257</v>
      </c>
      <c r="R38" s="3">
        <v>0</v>
      </c>
      <c r="T38" s="3">
        <v>107651</v>
      </c>
      <c r="U38" s="25">
        <v>170077</v>
      </c>
      <c r="V38" s="3">
        <v>59901</v>
      </c>
      <c r="W38" s="25">
        <f t="shared" si="0"/>
        <v>674053</v>
      </c>
      <c r="X38" s="25">
        <f t="shared" si="29"/>
        <v>29633958</v>
      </c>
      <c r="Y38" s="3">
        <v>9582.0951760000007</v>
      </c>
      <c r="Z38" s="3">
        <v>17541.554029999999</v>
      </c>
      <c r="AA38" s="3">
        <v>3043.6216399999998</v>
      </c>
      <c r="AC38" s="3">
        <v>0</v>
      </c>
      <c r="AE38" s="3">
        <v>6511.9683169999998</v>
      </c>
      <c r="AF38" s="3">
        <v>490.535214</v>
      </c>
      <c r="AG38" s="3">
        <v>10439.646505000001</v>
      </c>
      <c r="AH38" s="25">
        <f t="shared" si="2"/>
        <v>47609.420882000006</v>
      </c>
      <c r="AI38" s="25">
        <f t="shared" si="24"/>
        <v>883751.44359699986</v>
      </c>
      <c r="AO38">
        <f t="shared" si="25"/>
        <v>36</v>
      </c>
    </row>
    <row r="39" spans="2:41" x14ac:dyDescent="0.3">
      <c r="B39" s="2">
        <v>44866</v>
      </c>
      <c r="C39" s="25">
        <v>4662.3109999999997</v>
      </c>
      <c r="D39" s="3">
        <v>18535.338</v>
      </c>
      <c r="E39" s="25">
        <v>18551.774000000001</v>
      </c>
      <c r="G39" s="25">
        <v>0</v>
      </c>
      <c r="I39" s="25">
        <v>9452.3829999999998</v>
      </c>
      <c r="J39" s="25">
        <v>27061.699000000001</v>
      </c>
      <c r="K39" s="25">
        <v>8882.1769999999997</v>
      </c>
      <c r="L39" s="25">
        <f t="shared" si="23"/>
        <v>87145.682000000001</v>
      </c>
      <c r="M39" s="25">
        <f t="shared" si="28"/>
        <v>3899293.2624514257</v>
      </c>
      <c r="N39" s="3">
        <v>92727</v>
      </c>
      <c r="O39" s="25">
        <v>80244</v>
      </c>
      <c r="P39" s="3">
        <v>141620</v>
      </c>
      <c r="R39" s="3">
        <v>0</v>
      </c>
      <c r="T39" s="3">
        <v>101476</v>
      </c>
      <c r="U39" s="25">
        <v>152315</v>
      </c>
      <c r="V39" s="3">
        <v>56202</v>
      </c>
      <c r="W39" s="25">
        <f t="shared" si="0"/>
        <v>624584</v>
      </c>
      <c r="X39" s="25">
        <f t="shared" si="29"/>
        <v>30258542</v>
      </c>
      <c r="Y39" s="3">
        <v>8038.8487150000001</v>
      </c>
      <c r="Z39" s="3">
        <v>13955.437144</v>
      </c>
      <c r="AA39" s="3">
        <v>2432.655628</v>
      </c>
      <c r="AC39" s="3">
        <v>0</v>
      </c>
      <c r="AE39" s="3">
        <v>4955.6390730000003</v>
      </c>
      <c r="AF39" s="3">
        <v>729.39036599999997</v>
      </c>
      <c r="AG39" s="3">
        <v>7263.8132690000002</v>
      </c>
      <c r="AH39" s="25">
        <f t="shared" si="2"/>
        <v>37375.784195</v>
      </c>
      <c r="AI39" s="25">
        <f t="shared" si="24"/>
        <v>921127.22779199982</v>
      </c>
      <c r="AO39">
        <f t="shared" si="25"/>
        <v>37</v>
      </c>
    </row>
    <row r="40" spans="2:41" x14ac:dyDescent="0.3">
      <c r="B40" s="2">
        <v>44896</v>
      </c>
      <c r="C40" s="25">
        <v>5162.4210000000003</v>
      </c>
      <c r="D40" s="3">
        <v>18844.597000000002</v>
      </c>
      <c r="E40" s="25">
        <v>17502.300999999999</v>
      </c>
      <c r="G40" s="25">
        <v>0</v>
      </c>
      <c r="I40" s="25">
        <v>9795.7520000000004</v>
      </c>
      <c r="J40" s="25">
        <v>28192.684000000001</v>
      </c>
      <c r="K40" s="25">
        <v>9125.0560000000005</v>
      </c>
      <c r="L40" s="25">
        <f t="shared" si="23"/>
        <v>88622.811000000002</v>
      </c>
      <c r="M40" s="25">
        <f t="shared" si="28"/>
        <v>3987916.0734514259</v>
      </c>
      <c r="N40" s="3">
        <v>99950</v>
      </c>
      <c r="O40" s="25">
        <v>76159</v>
      </c>
      <c r="P40" s="3">
        <v>122810</v>
      </c>
      <c r="R40" s="3">
        <v>0</v>
      </c>
      <c r="T40" s="3">
        <v>97606</v>
      </c>
      <c r="U40" s="25">
        <v>149038</v>
      </c>
      <c r="V40" s="3">
        <v>54283</v>
      </c>
      <c r="W40" s="25">
        <f t="shared" si="0"/>
        <v>599846</v>
      </c>
      <c r="X40" s="25">
        <f t="shared" si="29"/>
        <v>30858388</v>
      </c>
      <c r="Y40" s="3">
        <v>12164.844295000001</v>
      </c>
      <c r="Z40" s="3">
        <v>19541.119191999998</v>
      </c>
      <c r="AA40" s="3">
        <v>3415.8960350000002</v>
      </c>
      <c r="AC40" s="3">
        <v>0</v>
      </c>
      <c r="AE40" s="3">
        <v>7045.4502839999996</v>
      </c>
      <c r="AF40" s="3">
        <v>1817.1672470000001</v>
      </c>
      <c r="AG40" s="3">
        <v>10673.029535</v>
      </c>
      <c r="AH40" s="25">
        <f t="shared" si="2"/>
        <v>54657.506587999997</v>
      </c>
      <c r="AI40" s="25">
        <f t="shared" si="24"/>
        <v>975784.73437999981</v>
      </c>
      <c r="AO40">
        <f t="shared" si="25"/>
        <v>38</v>
      </c>
    </row>
    <row r="41" spans="2:41" x14ac:dyDescent="0.3">
      <c r="B41" s="2">
        <v>44927</v>
      </c>
      <c r="C41" s="25">
        <v>6508.7280000000001</v>
      </c>
      <c r="D41" s="3">
        <v>19394.892</v>
      </c>
      <c r="E41" s="25">
        <v>20106.677</v>
      </c>
      <c r="G41" s="25">
        <v>0</v>
      </c>
      <c r="I41" s="25">
        <v>10485.906000000001</v>
      </c>
      <c r="J41" s="25">
        <v>29842.128000000001</v>
      </c>
      <c r="K41" s="25">
        <v>9390.3379999999997</v>
      </c>
      <c r="L41" s="25">
        <f t="shared" si="23"/>
        <v>95728.669000000009</v>
      </c>
      <c r="M41" s="25">
        <f t="shared" si="28"/>
        <v>4083644.7424514261</v>
      </c>
      <c r="N41" s="3">
        <v>118261</v>
      </c>
      <c r="O41" s="25">
        <v>76268</v>
      </c>
      <c r="P41" s="3">
        <v>136404</v>
      </c>
      <c r="R41" s="3">
        <v>0</v>
      </c>
      <c r="T41" s="3">
        <v>100557</v>
      </c>
      <c r="U41" s="25">
        <v>155261</v>
      </c>
      <c r="V41" s="3">
        <v>54869</v>
      </c>
      <c r="W41" s="25">
        <f t="shared" si="0"/>
        <v>641620</v>
      </c>
      <c r="X41" s="25">
        <f t="shared" si="29"/>
        <v>31500008</v>
      </c>
      <c r="Y41" s="3">
        <v>13919.654469999999</v>
      </c>
      <c r="Z41" s="3">
        <v>20806.589209999998</v>
      </c>
      <c r="AA41" s="3">
        <v>4468.2927890000001</v>
      </c>
      <c r="AC41" s="3">
        <v>0</v>
      </c>
      <c r="AE41" s="3">
        <v>7823.9954349999998</v>
      </c>
      <c r="AF41" s="3">
        <v>2627.6142679999998</v>
      </c>
      <c r="AG41" s="3">
        <v>13106.767008999999</v>
      </c>
      <c r="AH41" s="25">
        <f t="shared" si="2"/>
        <v>62752.913180999996</v>
      </c>
      <c r="AI41" s="25">
        <f t="shared" si="24"/>
        <v>1038537.6475609998</v>
      </c>
      <c r="AO41">
        <f t="shared" si="25"/>
        <v>39</v>
      </c>
    </row>
    <row r="42" spans="2:41" x14ac:dyDescent="0.3">
      <c r="B42" s="2">
        <v>44958</v>
      </c>
      <c r="C42" s="25">
        <v>5978.2690000000002</v>
      </c>
      <c r="D42" s="3">
        <v>16871.383000000002</v>
      </c>
      <c r="E42" s="25">
        <v>17583.12</v>
      </c>
      <c r="G42" s="25">
        <v>0</v>
      </c>
      <c r="I42" s="25">
        <v>8933.2309999999998</v>
      </c>
      <c r="J42" s="25">
        <v>26205.73</v>
      </c>
      <c r="K42" s="25">
        <v>8469.1659999999993</v>
      </c>
      <c r="L42" s="25">
        <f t="shared" si="23"/>
        <v>84040.89899999999</v>
      </c>
      <c r="M42" s="25">
        <f t="shared" si="28"/>
        <v>4167685.6414514263</v>
      </c>
      <c r="N42" s="3">
        <v>112986</v>
      </c>
      <c r="O42" s="25">
        <v>69013</v>
      </c>
      <c r="P42" s="3">
        <v>124146</v>
      </c>
      <c r="R42" s="3">
        <v>0</v>
      </c>
      <c r="T42" s="3">
        <v>89063</v>
      </c>
      <c r="U42" s="25">
        <v>141833</v>
      </c>
      <c r="V42" s="3">
        <v>51494</v>
      </c>
      <c r="W42" s="25">
        <f t="shared" si="0"/>
        <v>588535</v>
      </c>
      <c r="X42" s="25">
        <f t="shared" si="29"/>
        <v>32088543</v>
      </c>
      <c r="Y42" s="3">
        <v>13627.669372</v>
      </c>
      <c r="Z42" s="3">
        <v>20262.389425000001</v>
      </c>
      <c r="AA42" s="3">
        <v>4840.7747470000004</v>
      </c>
      <c r="AC42" s="3">
        <v>0</v>
      </c>
      <c r="AE42" s="3">
        <v>7716.8549830000002</v>
      </c>
      <c r="AF42" s="3">
        <v>2467.821899</v>
      </c>
      <c r="AG42" s="3">
        <v>12986.757623</v>
      </c>
      <c r="AH42" s="25">
        <f t="shared" si="2"/>
        <v>61902.268049000006</v>
      </c>
      <c r="AI42" s="25">
        <f t="shared" si="24"/>
        <v>1100439.9156099998</v>
      </c>
      <c r="AO42">
        <f t="shared" si="25"/>
        <v>40</v>
      </c>
    </row>
    <row r="43" spans="2:41" x14ac:dyDescent="0.3">
      <c r="B43" s="2">
        <v>44986</v>
      </c>
      <c r="C43" s="25">
        <v>6670.57</v>
      </c>
      <c r="D43" s="3">
        <v>19166.277999999998</v>
      </c>
      <c r="E43" s="25">
        <v>19807.341</v>
      </c>
      <c r="G43" s="25">
        <v>0</v>
      </c>
      <c r="I43" s="25">
        <v>10519.441000000001</v>
      </c>
      <c r="J43" s="25">
        <v>29702.157999999999</v>
      </c>
      <c r="K43" s="25">
        <v>9490.4619999999995</v>
      </c>
      <c r="L43" s="25">
        <f t="shared" si="23"/>
        <v>95356.25</v>
      </c>
      <c r="M43" s="25">
        <f t="shared" si="28"/>
        <v>4263041.8914514259</v>
      </c>
      <c r="N43" s="3">
        <v>120697</v>
      </c>
      <c r="O43" s="25">
        <v>75118</v>
      </c>
      <c r="P43" s="3">
        <v>133950</v>
      </c>
      <c r="R43" s="3">
        <v>0</v>
      </c>
      <c r="T43" s="3">
        <v>100643</v>
      </c>
      <c r="U43" s="25">
        <v>154020</v>
      </c>
      <c r="V43" s="3">
        <v>55215</v>
      </c>
      <c r="W43" s="25">
        <f t="shared" si="0"/>
        <v>639643</v>
      </c>
      <c r="X43" s="25">
        <f t="shared" si="29"/>
        <v>32728186</v>
      </c>
      <c r="Y43" s="3">
        <v>16883.351621000002</v>
      </c>
      <c r="Z43" s="3">
        <v>25195.209105999998</v>
      </c>
      <c r="AA43" s="3">
        <v>6213.8758239999997</v>
      </c>
      <c r="AC43" s="3">
        <v>0</v>
      </c>
      <c r="AE43" s="3">
        <v>9186.2780600000006</v>
      </c>
      <c r="AF43" s="3">
        <v>3328.9395469999999</v>
      </c>
      <c r="AG43" s="3">
        <v>15730.638843999999</v>
      </c>
      <c r="AH43" s="25">
        <f t="shared" si="2"/>
        <v>76538.293002000006</v>
      </c>
      <c r="AI43" s="25">
        <f t="shared" si="24"/>
        <v>1176978.2086119999</v>
      </c>
      <c r="AO43">
        <f t="shared" si="25"/>
        <v>41</v>
      </c>
    </row>
    <row r="44" spans="2:41" x14ac:dyDescent="0.3">
      <c r="B44" s="2">
        <v>45017</v>
      </c>
      <c r="C44" s="25">
        <v>6109.7539999999999</v>
      </c>
      <c r="D44" s="3">
        <v>18995.989000000001</v>
      </c>
      <c r="E44" s="25">
        <v>18886.429</v>
      </c>
      <c r="G44" s="25">
        <v>0</v>
      </c>
      <c r="I44" s="25">
        <v>10938.239</v>
      </c>
      <c r="J44" s="25">
        <v>28401.467000000001</v>
      </c>
      <c r="K44" s="25">
        <v>8329.7279999999992</v>
      </c>
      <c r="L44" s="25">
        <f t="shared" si="23"/>
        <v>91661.606000000014</v>
      </c>
      <c r="M44" s="25">
        <f t="shared" si="28"/>
        <v>4354703.4974514255</v>
      </c>
      <c r="N44" s="3">
        <v>113178</v>
      </c>
      <c r="O44" s="25">
        <v>76140</v>
      </c>
      <c r="P44" s="3">
        <v>130704</v>
      </c>
      <c r="R44" s="3">
        <v>0</v>
      </c>
      <c r="T44" s="3">
        <v>106902</v>
      </c>
      <c r="U44" s="25">
        <v>150659</v>
      </c>
      <c r="V44" s="3">
        <v>49634</v>
      </c>
      <c r="W44" s="25">
        <f t="shared" si="0"/>
        <v>627217</v>
      </c>
      <c r="X44" s="25">
        <f t="shared" si="29"/>
        <v>33355403</v>
      </c>
      <c r="Y44" s="3">
        <v>14668.077769</v>
      </c>
      <c r="Z44" s="3">
        <v>23183.429152000001</v>
      </c>
      <c r="AA44" s="3">
        <v>6197.6041100000002</v>
      </c>
      <c r="AC44" s="3">
        <v>0</v>
      </c>
      <c r="AE44" s="3">
        <v>7005.8182539999998</v>
      </c>
      <c r="AF44" s="3">
        <v>3878.0516689999999</v>
      </c>
      <c r="AG44" s="3">
        <v>12930.954517</v>
      </c>
      <c r="AH44" s="25">
        <f t="shared" si="2"/>
        <v>67863.935471000004</v>
      </c>
      <c r="AI44" s="25">
        <f t="shared" si="24"/>
        <v>1244842.1440829998</v>
      </c>
      <c r="AO44">
        <f t="shared" si="25"/>
        <v>42</v>
      </c>
    </row>
    <row r="45" spans="2:41" x14ac:dyDescent="0.3">
      <c r="B45" s="2">
        <v>45047</v>
      </c>
      <c r="C45" s="25">
        <v>5433.9430000000002</v>
      </c>
      <c r="D45" s="3">
        <v>17915.327000000001</v>
      </c>
      <c r="E45" s="25">
        <v>19323.748</v>
      </c>
      <c r="G45" s="25">
        <v>0</v>
      </c>
      <c r="I45" s="25">
        <v>13497.409</v>
      </c>
      <c r="J45" s="25">
        <v>26013.011999999999</v>
      </c>
      <c r="K45" s="25">
        <v>7816.8209999999999</v>
      </c>
      <c r="L45" s="25">
        <f t="shared" si="23"/>
        <v>90000.26</v>
      </c>
      <c r="M45" s="25">
        <f t="shared" si="28"/>
        <v>4444703.7574514253</v>
      </c>
      <c r="N45" s="3">
        <v>100623</v>
      </c>
      <c r="O45" s="25">
        <v>71805</v>
      </c>
      <c r="P45" s="3">
        <v>133637</v>
      </c>
      <c r="R45" s="3">
        <v>0</v>
      </c>
      <c r="T45" s="3">
        <v>131754</v>
      </c>
      <c r="U45" s="25">
        <v>137878</v>
      </c>
      <c r="V45" s="3">
        <v>46540</v>
      </c>
      <c r="W45" s="25">
        <f t="shared" si="0"/>
        <v>622237</v>
      </c>
      <c r="X45" s="25">
        <f t="shared" si="29"/>
        <v>33977640</v>
      </c>
      <c r="Y45" s="3">
        <v>13838.490889999999</v>
      </c>
      <c r="Z45" s="3">
        <v>21879.478136999998</v>
      </c>
      <c r="AA45" s="3">
        <v>5740.3985489999995</v>
      </c>
      <c r="AC45" s="3">
        <v>0</v>
      </c>
      <c r="AE45" s="3">
        <v>8659.8721179999993</v>
      </c>
      <c r="AF45" s="3">
        <v>3543.7110579999999</v>
      </c>
      <c r="AG45" s="3">
        <v>11599.28435</v>
      </c>
      <c r="AH45" s="25">
        <f t="shared" si="2"/>
        <v>65261.235101999999</v>
      </c>
      <c r="AI45" s="25">
        <f t="shared" si="24"/>
        <v>1310103.3791849997</v>
      </c>
      <c r="AO45">
        <f t="shared" si="25"/>
        <v>43</v>
      </c>
    </row>
    <row r="46" spans="2:41" x14ac:dyDescent="0.3">
      <c r="B46" s="2">
        <v>45078</v>
      </c>
      <c r="C46" s="25">
        <v>5942.0469999999996</v>
      </c>
      <c r="D46" s="3">
        <v>18413.708999999999</v>
      </c>
      <c r="E46" s="25">
        <v>21909.667000000001</v>
      </c>
      <c r="G46" s="25">
        <v>0</v>
      </c>
      <c r="I46" s="25">
        <v>15034.852000000001</v>
      </c>
      <c r="J46" s="25">
        <v>27150.948</v>
      </c>
      <c r="K46" s="25">
        <v>8379.8529999999992</v>
      </c>
      <c r="L46" s="25">
        <f t="shared" si="23"/>
        <v>96831.076000000001</v>
      </c>
      <c r="M46" s="25">
        <f t="shared" si="28"/>
        <v>4541534.8334514257</v>
      </c>
      <c r="N46" s="3">
        <v>103096</v>
      </c>
      <c r="O46" s="25">
        <v>69868</v>
      </c>
      <c r="P46" s="3">
        <v>142031</v>
      </c>
      <c r="R46" s="3">
        <v>0</v>
      </c>
      <c r="T46" s="3">
        <v>138906</v>
      </c>
      <c r="U46" s="25">
        <v>136177</v>
      </c>
      <c r="V46" s="3">
        <v>47205</v>
      </c>
      <c r="W46" s="25">
        <f t="shared" si="0"/>
        <v>637283</v>
      </c>
      <c r="X46" s="25">
        <f t="shared" si="29"/>
        <v>34614923</v>
      </c>
      <c r="Y46" s="3">
        <v>21042.242859000002</v>
      </c>
      <c r="Z46" s="3">
        <v>30478.156789000001</v>
      </c>
      <c r="AA46" s="3">
        <v>9482.2508870000001</v>
      </c>
      <c r="AC46" s="3">
        <v>0</v>
      </c>
      <c r="AE46" s="3">
        <v>13103.552919</v>
      </c>
      <c r="AF46" s="3">
        <v>5743.5182880000002</v>
      </c>
      <c r="AG46" s="3">
        <v>16280.442843000001</v>
      </c>
      <c r="AH46" s="25">
        <f t="shared" si="2"/>
        <v>96130.164585000006</v>
      </c>
      <c r="AI46" s="25">
        <f t="shared" si="24"/>
        <v>1406233.5437699996</v>
      </c>
      <c r="AO46">
        <f t="shared" si="25"/>
        <v>44</v>
      </c>
    </row>
    <row r="47" spans="2:41" x14ac:dyDescent="0.3">
      <c r="B47" s="2">
        <v>45108</v>
      </c>
      <c r="C47" s="25">
        <v>7116.567</v>
      </c>
      <c r="D47" s="3">
        <v>18162.294000000002</v>
      </c>
      <c r="E47" s="25">
        <v>25900.103999999999</v>
      </c>
      <c r="G47">
        <v>0</v>
      </c>
      <c r="I47" s="25">
        <v>17094.358</v>
      </c>
      <c r="J47" s="25">
        <v>27576.069</v>
      </c>
      <c r="K47" s="25">
        <v>8283.0840000000007</v>
      </c>
      <c r="L47" s="25">
        <f t="shared" si="23"/>
        <v>104132.47600000001</v>
      </c>
      <c r="M47" s="25">
        <f t="shared" si="28"/>
        <v>4645667.3094514254</v>
      </c>
      <c r="N47" s="3">
        <v>124167</v>
      </c>
      <c r="O47" s="25">
        <v>69111</v>
      </c>
      <c r="P47" s="3">
        <v>159713</v>
      </c>
      <c r="R47" s="1">
        <v>0</v>
      </c>
      <c r="T47" s="3">
        <v>150546</v>
      </c>
      <c r="U47" s="25">
        <v>126526</v>
      </c>
      <c r="V47" s="3">
        <v>41639</v>
      </c>
      <c r="W47" s="25">
        <f t="shared" si="0"/>
        <v>671702</v>
      </c>
      <c r="X47" s="25">
        <f t="shared" si="29"/>
        <v>35286625</v>
      </c>
      <c r="Y47" s="3">
        <v>18408.275892000001</v>
      </c>
      <c r="Z47" s="3">
        <v>23466.149377000002</v>
      </c>
      <c r="AA47" s="3">
        <v>10034.992221</v>
      </c>
      <c r="AC47" s="1">
        <v>0</v>
      </c>
      <c r="AE47" s="3">
        <v>11366.190655</v>
      </c>
      <c r="AF47" s="3">
        <v>6217.8824269999996</v>
      </c>
      <c r="AG47" s="3">
        <v>13938.800621</v>
      </c>
      <c r="AH47" s="25">
        <f t="shared" si="2"/>
        <v>83432.291192999997</v>
      </c>
      <c r="AI47" s="25">
        <f t="shared" si="24"/>
        <v>1489665.8349629997</v>
      </c>
      <c r="AO47">
        <f t="shared" si="25"/>
        <v>45</v>
      </c>
    </row>
    <row r="48" spans="2:41" x14ac:dyDescent="0.3">
      <c r="B48" s="2">
        <v>45139</v>
      </c>
      <c r="C48" s="25">
        <v>7031.59</v>
      </c>
      <c r="D48" s="3">
        <v>17342.059000000001</v>
      </c>
      <c r="E48" s="25">
        <v>21961.391</v>
      </c>
      <c r="G48">
        <v>0</v>
      </c>
      <c r="I48" s="25">
        <v>20185.294999999998</v>
      </c>
      <c r="J48" s="25">
        <v>26384.449000000001</v>
      </c>
      <c r="K48" s="25">
        <v>6939.6170000000002</v>
      </c>
      <c r="L48" s="25">
        <f t="shared" si="23"/>
        <v>99844.400999999983</v>
      </c>
      <c r="M48" s="25">
        <f t="shared" si="28"/>
        <v>4745511.7104514251</v>
      </c>
      <c r="N48" s="3">
        <v>105344</v>
      </c>
      <c r="O48" s="25">
        <v>59669</v>
      </c>
      <c r="P48" s="3">
        <v>111622</v>
      </c>
      <c r="R48" s="1">
        <v>0</v>
      </c>
      <c r="T48" s="3">
        <v>148134</v>
      </c>
      <c r="U48" s="25">
        <v>94825</v>
      </c>
      <c r="V48" s="3">
        <v>25285</v>
      </c>
      <c r="W48" s="25">
        <f t="shared" si="0"/>
        <v>544879</v>
      </c>
      <c r="X48" s="25">
        <f t="shared" si="29"/>
        <v>35831504</v>
      </c>
      <c r="Y48" s="3">
        <v>17299.50995</v>
      </c>
      <c r="Z48" s="3">
        <v>23742.850256000002</v>
      </c>
      <c r="AA48" s="3">
        <v>9365.1662610000003</v>
      </c>
      <c r="AC48" s="1">
        <v>0</v>
      </c>
      <c r="AE48" s="3">
        <v>14071.949395</v>
      </c>
      <c r="AF48" s="3">
        <v>7018.2154499999997</v>
      </c>
      <c r="AG48" s="3">
        <v>11957.966485999999</v>
      </c>
      <c r="AH48" s="25">
        <f t="shared" si="2"/>
        <v>83455.657798</v>
      </c>
      <c r="AI48" s="25">
        <f t="shared" si="24"/>
        <v>1573121.4927609996</v>
      </c>
      <c r="AO48">
        <f t="shared" si="25"/>
        <v>46</v>
      </c>
    </row>
    <row r="49" spans="2:41" x14ac:dyDescent="0.3">
      <c r="B49" s="2">
        <v>45170</v>
      </c>
      <c r="C49" s="25">
        <v>7768.451</v>
      </c>
      <c r="D49" s="3">
        <v>7728.4409999999998</v>
      </c>
      <c r="E49" s="25">
        <v>19115.058000000001</v>
      </c>
      <c r="G49">
        <v>0</v>
      </c>
      <c r="I49" s="25">
        <v>19322.771000000001</v>
      </c>
      <c r="J49" s="25">
        <v>25309.42</v>
      </c>
      <c r="K49" s="25">
        <v>6219.75</v>
      </c>
      <c r="L49" s="25">
        <f t="shared" si="23"/>
        <v>85463.891000000003</v>
      </c>
      <c r="M49" s="25">
        <f t="shared" si="28"/>
        <v>4830975.6014514249</v>
      </c>
      <c r="N49" s="3">
        <v>106438</v>
      </c>
      <c r="O49" s="25">
        <v>20768</v>
      </c>
      <c r="P49" s="3">
        <v>86029</v>
      </c>
      <c r="R49" s="1">
        <v>0</v>
      </c>
      <c r="T49" s="3">
        <v>127399</v>
      </c>
      <c r="U49" s="25">
        <v>81788</v>
      </c>
      <c r="V49" s="3">
        <v>20174</v>
      </c>
      <c r="W49" s="25">
        <f t="shared" si="0"/>
        <v>442596</v>
      </c>
      <c r="X49" s="25">
        <f t="shared" si="29"/>
        <v>36274100</v>
      </c>
      <c r="Y49" s="3">
        <v>18778.883487999999</v>
      </c>
      <c r="Z49" s="3">
        <v>8427.8036580000007</v>
      </c>
      <c r="AA49" s="3">
        <v>8445.1257659999992</v>
      </c>
      <c r="AC49" s="1">
        <v>0</v>
      </c>
      <c r="AE49" s="3">
        <v>14145.722460000001</v>
      </c>
      <c r="AF49" s="3">
        <v>7703.3759419999997</v>
      </c>
      <c r="AG49" s="3">
        <v>11007.288376</v>
      </c>
      <c r="AH49" s="25">
        <f t="shared" si="2"/>
        <v>68508.199689999994</v>
      </c>
      <c r="AI49" s="25">
        <f t="shared" si="24"/>
        <v>1641629.6924509995</v>
      </c>
      <c r="AO49">
        <f t="shared" si="25"/>
        <v>47</v>
      </c>
    </row>
    <row r="50" spans="2:41" x14ac:dyDescent="0.3">
      <c r="B50" s="2">
        <v>45200</v>
      </c>
      <c r="C50" s="25">
        <v>8925.33</v>
      </c>
      <c r="D50" s="3">
        <v>1149.154</v>
      </c>
      <c r="E50" s="25">
        <v>23083.048999999999</v>
      </c>
      <c r="G50">
        <v>0</v>
      </c>
      <c r="I50" s="25">
        <v>19451.498</v>
      </c>
      <c r="J50" s="25">
        <v>26142.432000000001</v>
      </c>
      <c r="K50" s="25">
        <v>7943.7160000000003</v>
      </c>
      <c r="L50" s="25">
        <f t="shared" si="23"/>
        <v>86695.178999999989</v>
      </c>
      <c r="M50" s="25">
        <f t="shared" si="28"/>
        <v>4917670.7804514244</v>
      </c>
      <c r="N50" s="3">
        <v>146821</v>
      </c>
      <c r="O50" s="25">
        <v>4458</v>
      </c>
      <c r="P50" s="3">
        <v>124606</v>
      </c>
      <c r="R50" s="1">
        <v>0</v>
      </c>
      <c r="T50" s="3">
        <v>154194</v>
      </c>
      <c r="U50" s="25">
        <v>101417</v>
      </c>
      <c r="V50" s="3">
        <v>30825</v>
      </c>
      <c r="W50" s="25">
        <f t="shared" si="0"/>
        <v>562321</v>
      </c>
      <c r="X50" s="25">
        <f t="shared" si="29"/>
        <v>36836421</v>
      </c>
      <c r="Y50" s="3">
        <v>21607.922313999999</v>
      </c>
      <c r="Z50" s="3">
        <v>1464.56735</v>
      </c>
      <c r="AA50" s="3">
        <v>10286.099907</v>
      </c>
      <c r="AC50" s="1">
        <v>0</v>
      </c>
      <c r="AE50" s="3">
        <v>14354.613009999999</v>
      </c>
      <c r="AF50" s="3">
        <v>8304.15877</v>
      </c>
      <c r="AG50" s="3">
        <v>12723.070335</v>
      </c>
      <c r="AH50" s="25">
        <f t="shared" si="2"/>
        <v>68740.431686000011</v>
      </c>
      <c r="AI50" s="25">
        <f t="shared" si="24"/>
        <v>1710370.1241369995</v>
      </c>
      <c r="AO50">
        <f t="shared" si="25"/>
        <v>48</v>
      </c>
    </row>
    <row r="51" spans="2:41" x14ac:dyDescent="0.3">
      <c r="B51" s="2">
        <v>45231</v>
      </c>
      <c r="C51" s="25">
        <v>8269.5040000000008</v>
      </c>
      <c r="D51" s="3">
        <v>17747.837</v>
      </c>
      <c r="E51" s="25">
        <v>23058.662</v>
      </c>
      <c r="G51">
        <v>0</v>
      </c>
      <c r="I51" s="25">
        <v>18158.902999999998</v>
      </c>
      <c r="J51" s="25">
        <v>24202.440999999999</v>
      </c>
      <c r="K51" s="25">
        <v>8141.6809999999996</v>
      </c>
      <c r="L51" s="25">
        <f t="shared" si="23"/>
        <v>99579.027999999977</v>
      </c>
      <c r="M51" s="25">
        <f t="shared" si="28"/>
        <v>5017249.8084514244</v>
      </c>
      <c r="N51" s="3">
        <v>126785</v>
      </c>
      <c r="O51" s="25">
        <v>128537</v>
      </c>
      <c r="P51" s="3">
        <v>156429</v>
      </c>
      <c r="R51" s="1">
        <v>0</v>
      </c>
      <c r="T51" s="3">
        <v>159014</v>
      </c>
      <c r="U51" s="25">
        <v>141998</v>
      </c>
      <c r="V51" s="3">
        <v>45353</v>
      </c>
      <c r="W51" s="25">
        <f t="shared" si="0"/>
        <v>758116</v>
      </c>
      <c r="X51" s="25">
        <f t="shared" si="29"/>
        <v>37594537</v>
      </c>
      <c r="Y51" s="3">
        <v>21542.621607000001</v>
      </c>
      <c r="Z51" s="3">
        <v>21564.126434999998</v>
      </c>
      <c r="AA51" s="3">
        <v>11554.972707999999</v>
      </c>
      <c r="AC51" s="1">
        <v>0</v>
      </c>
      <c r="AE51" s="3">
        <v>14203.003667999999</v>
      </c>
      <c r="AF51" s="3">
        <v>8767.8050870000006</v>
      </c>
      <c r="AG51" s="3">
        <v>13846.120416</v>
      </c>
      <c r="AH51" s="25">
        <f t="shared" si="2"/>
        <v>91478.649921000004</v>
      </c>
      <c r="AI51" s="25">
        <f t="shared" si="24"/>
        <v>1801848.7740579995</v>
      </c>
      <c r="AO51">
        <f t="shared" si="25"/>
        <v>49</v>
      </c>
    </row>
    <row r="52" spans="2:41" x14ac:dyDescent="0.3">
      <c r="B52" s="2">
        <v>45261</v>
      </c>
      <c r="C52" s="25">
        <v>9167.9060000000009</v>
      </c>
      <c r="D52" s="3">
        <v>18325.684000000001</v>
      </c>
      <c r="E52" s="25">
        <v>22717.611000000001</v>
      </c>
      <c r="G52">
        <v>0</v>
      </c>
      <c r="I52" s="25">
        <v>18187.061000000002</v>
      </c>
      <c r="J52" s="25">
        <v>23871.670999999998</v>
      </c>
      <c r="K52" s="25">
        <v>7446.415</v>
      </c>
      <c r="L52" s="25">
        <f t="shared" si="23"/>
        <v>99716.347999999998</v>
      </c>
      <c r="M52" s="25">
        <f t="shared" si="28"/>
        <v>5116966.1564514246</v>
      </c>
      <c r="N52" s="3">
        <v>94316</v>
      </c>
      <c r="O52" s="25">
        <v>197158</v>
      </c>
      <c r="P52" s="3">
        <v>247032</v>
      </c>
      <c r="R52" s="1">
        <v>0</v>
      </c>
      <c r="T52" s="3">
        <v>208848</v>
      </c>
      <c r="U52" s="25">
        <v>259829</v>
      </c>
      <c r="V52" s="3">
        <v>86474</v>
      </c>
      <c r="W52" s="25">
        <f t="shared" si="0"/>
        <v>1093657</v>
      </c>
      <c r="X52" s="25">
        <f t="shared" si="29"/>
        <v>38688194</v>
      </c>
      <c r="Y52" s="3">
        <v>24274.055315000001</v>
      </c>
      <c r="Z52" s="3">
        <v>17851.911635</v>
      </c>
      <c r="AA52" s="3">
        <v>15876.669132000001</v>
      </c>
      <c r="AC52" s="1">
        <v>0</v>
      </c>
      <c r="AE52" s="3">
        <v>17818.670038</v>
      </c>
      <c r="AF52" s="3">
        <v>12150.635639</v>
      </c>
      <c r="AG52" s="3">
        <v>17197.501971999998</v>
      </c>
      <c r="AH52" s="25">
        <f t="shared" si="2"/>
        <v>105169.44373100001</v>
      </c>
      <c r="AI52" s="25">
        <f t="shared" si="24"/>
        <v>1907018.2177889994</v>
      </c>
      <c r="AO52">
        <f t="shared" si="25"/>
        <v>50</v>
      </c>
    </row>
    <row r="53" spans="2:41" x14ac:dyDescent="0.3">
      <c r="B53" s="2">
        <v>45292</v>
      </c>
      <c r="C53" s="25">
        <v>10615.89</v>
      </c>
      <c r="D53" s="3">
        <v>15724.532999999999</v>
      </c>
      <c r="E53" s="25">
        <v>21282.964</v>
      </c>
      <c r="G53">
        <v>0</v>
      </c>
      <c r="I53" s="25">
        <v>17820.918000000001</v>
      </c>
      <c r="J53" s="25">
        <v>22238.669000000002</v>
      </c>
      <c r="K53" s="25">
        <v>6854.17</v>
      </c>
      <c r="L53" s="25">
        <f t="shared" si="23"/>
        <v>94537.144000000015</v>
      </c>
      <c r="M53" s="25">
        <f t="shared" si="28"/>
        <v>5211503.3004514249</v>
      </c>
      <c r="N53" s="3">
        <v>91381</v>
      </c>
      <c r="O53" s="25">
        <v>145435</v>
      </c>
      <c r="P53" s="3">
        <v>230979</v>
      </c>
      <c r="R53" s="1">
        <v>0</v>
      </c>
      <c r="T53" s="3">
        <v>216068</v>
      </c>
      <c r="U53" s="25">
        <v>245252</v>
      </c>
      <c r="V53" s="3">
        <v>87688</v>
      </c>
      <c r="W53" s="25">
        <f t="shared" si="0"/>
        <v>1016803</v>
      </c>
      <c r="X53" s="25">
        <f t="shared" si="29"/>
        <v>39704997</v>
      </c>
      <c r="Y53" s="3">
        <v>22682.616408000002</v>
      </c>
      <c r="Z53" s="3">
        <v>22649.720754999998</v>
      </c>
      <c r="AA53" s="3">
        <v>16354.461208000001</v>
      </c>
      <c r="AC53" s="1">
        <v>0</v>
      </c>
      <c r="AE53" s="3">
        <v>18499.327037999999</v>
      </c>
      <c r="AF53" s="3">
        <v>13215.222028</v>
      </c>
      <c r="AG53" s="3">
        <v>19138.018488999998</v>
      </c>
      <c r="AH53" s="25">
        <f t="shared" si="2"/>
        <v>112539.365926</v>
      </c>
      <c r="AI53" s="25">
        <f t="shared" si="24"/>
        <v>2019557.5837149995</v>
      </c>
      <c r="AO53">
        <f t="shared" si="25"/>
        <v>51</v>
      </c>
    </row>
    <row r="54" spans="2:41" x14ac:dyDescent="0.3">
      <c r="B54" s="2">
        <v>45323</v>
      </c>
      <c r="C54" s="25">
        <v>10346.300999999999</v>
      </c>
      <c r="D54" s="3">
        <v>15010.817999999999</v>
      </c>
      <c r="E54" s="25">
        <v>20801.54</v>
      </c>
      <c r="G54">
        <v>0</v>
      </c>
      <c r="I54" s="25">
        <v>17730.506000000001</v>
      </c>
      <c r="J54" s="25">
        <v>21214.396000000001</v>
      </c>
      <c r="K54" s="25">
        <v>7071.4660000000003</v>
      </c>
      <c r="L54" s="25">
        <f t="shared" si="23"/>
        <v>92175.027000000002</v>
      </c>
      <c r="M54" s="25">
        <f t="shared" si="28"/>
        <v>5303678.3274514247</v>
      </c>
      <c r="N54" s="3">
        <v>82276</v>
      </c>
      <c r="O54" s="25">
        <v>128212</v>
      </c>
      <c r="P54" s="3">
        <v>207961</v>
      </c>
      <c r="R54" s="1">
        <v>0</v>
      </c>
      <c r="T54" s="3">
        <v>198578</v>
      </c>
      <c r="U54" s="25">
        <v>216852</v>
      </c>
      <c r="V54" s="3">
        <v>83809</v>
      </c>
      <c r="W54" s="25">
        <f t="shared" si="0"/>
        <v>917688</v>
      </c>
      <c r="X54" s="25">
        <f t="shared" si="29"/>
        <v>40622685</v>
      </c>
      <c r="Y54" s="3">
        <v>20439.648571000002</v>
      </c>
      <c r="Z54" s="3">
        <v>20539.505434999999</v>
      </c>
      <c r="AA54" s="3">
        <v>14778.853728</v>
      </c>
      <c r="AC54" s="1">
        <v>0</v>
      </c>
      <c r="AE54" s="3">
        <v>16216.802643999999</v>
      </c>
      <c r="AF54" s="3">
        <v>12038.331259000001</v>
      </c>
      <c r="AG54" s="3">
        <v>16587.391371999998</v>
      </c>
      <c r="AH54" s="25">
        <f t="shared" si="2"/>
        <v>100600.53300899999</v>
      </c>
      <c r="AI54" s="25">
        <f t="shared" si="24"/>
        <v>2120158.1167239994</v>
      </c>
      <c r="AO54">
        <f t="shared" si="25"/>
        <v>52</v>
      </c>
    </row>
    <row r="55" spans="2:41" x14ac:dyDescent="0.3">
      <c r="B55" s="2">
        <v>45352</v>
      </c>
      <c r="C55" s="25">
        <v>9884.9969999999994</v>
      </c>
      <c r="D55" s="3">
        <v>15192.608</v>
      </c>
      <c r="E55" s="25">
        <v>21852.15</v>
      </c>
      <c r="G55">
        <v>0</v>
      </c>
      <c r="I55" s="25">
        <v>18664.423999999999</v>
      </c>
      <c r="J55" s="25">
        <v>22545.865000000002</v>
      </c>
      <c r="K55" s="25">
        <v>7770.9930000000004</v>
      </c>
      <c r="L55" s="25">
        <f t="shared" si="23"/>
        <v>95911.037000000011</v>
      </c>
      <c r="M55" s="25">
        <f t="shared" si="28"/>
        <v>5399589.3644514252</v>
      </c>
      <c r="N55" s="3">
        <v>100423</v>
      </c>
      <c r="O55" s="25">
        <v>103277</v>
      </c>
      <c r="P55" s="3">
        <v>161675</v>
      </c>
      <c r="R55" s="1">
        <v>0</v>
      </c>
      <c r="T55" s="3">
        <v>180462</v>
      </c>
      <c r="U55" s="25">
        <v>164412</v>
      </c>
      <c r="V55" s="3">
        <v>59154</v>
      </c>
      <c r="W55" s="25">
        <f t="shared" si="0"/>
        <v>769403</v>
      </c>
      <c r="X55" s="25">
        <f t="shared" si="29"/>
        <v>41392088</v>
      </c>
      <c r="Y55" s="3">
        <v>24075.574388000001</v>
      </c>
      <c r="Z55" s="3">
        <v>24337.739539999999</v>
      </c>
      <c r="AA55" s="3">
        <v>16047.569288000001</v>
      </c>
      <c r="AC55" s="1">
        <v>0</v>
      </c>
      <c r="AE55" s="3">
        <v>18204.819734000001</v>
      </c>
      <c r="AF55" s="3">
        <v>13216.190656999999</v>
      </c>
      <c r="AG55" s="3">
        <v>18468.758608</v>
      </c>
      <c r="AH55" s="25">
        <f t="shared" si="2"/>
        <v>114350.65221500001</v>
      </c>
      <c r="AI55" s="25">
        <f t="shared" si="24"/>
        <v>2234508.7689389996</v>
      </c>
      <c r="AO55">
        <f t="shared" si="25"/>
        <v>53</v>
      </c>
    </row>
    <row r="56" spans="2:41" x14ac:dyDescent="0.3">
      <c r="B56" s="2">
        <v>45383</v>
      </c>
      <c r="C56" s="25">
        <v>8122.6019999999999</v>
      </c>
      <c r="D56" s="3">
        <v>13680.344999999999</v>
      </c>
      <c r="E56" s="25">
        <v>20968.560000000001</v>
      </c>
      <c r="G56">
        <v>0</v>
      </c>
      <c r="I56" s="25">
        <v>18222.264999999999</v>
      </c>
      <c r="J56" s="25">
        <v>21957.432000000001</v>
      </c>
      <c r="K56" s="25">
        <v>7950.6</v>
      </c>
      <c r="L56" s="25">
        <f t="shared" si="23"/>
        <v>90901.804000000004</v>
      </c>
      <c r="M56" s="25">
        <f t="shared" si="28"/>
        <v>5490491.1684514247</v>
      </c>
      <c r="N56" s="3">
        <v>141825</v>
      </c>
      <c r="O56" s="25">
        <v>70745</v>
      </c>
      <c r="P56" s="3">
        <v>124225</v>
      </c>
      <c r="R56" s="1">
        <v>0</v>
      </c>
      <c r="T56" s="3">
        <v>175259</v>
      </c>
      <c r="U56" s="25">
        <v>114749</v>
      </c>
      <c r="V56" s="3">
        <v>26982</v>
      </c>
      <c r="W56" s="25">
        <f t="shared" si="0"/>
        <v>653785</v>
      </c>
      <c r="X56" s="25">
        <f t="shared" si="29"/>
        <v>42045873</v>
      </c>
      <c r="Y56" s="3">
        <v>27065.65725</v>
      </c>
      <c r="Z56" s="3">
        <v>24043.747995999998</v>
      </c>
      <c r="AA56" s="3">
        <v>18189.353115000002</v>
      </c>
      <c r="AC56" s="1">
        <v>0</v>
      </c>
      <c r="AE56" s="3">
        <v>17903.783614</v>
      </c>
      <c r="AF56" s="3">
        <v>13973.381942</v>
      </c>
      <c r="AG56" s="3">
        <v>18046.763348</v>
      </c>
      <c r="AH56" s="25">
        <f t="shared" si="2"/>
        <v>119222.68726500002</v>
      </c>
      <c r="AI56" s="25">
        <f t="shared" si="24"/>
        <v>2353731.4562039995</v>
      </c>
      <c r="AO56">
        <f t="shared" si="25"/>
        <v>54</v>
      </c>
    </row>
    <row r="57" spans="2:41" x14ac:dyDescent="0.3">
      <c r="B57" s="2">
        <v>45413</v>
      </c>
      <c r="C57" s="25">
        <v>10157.803</v>
      </c>
      <c r="D57" s="3">
        <v>13725.458000000001</v>
      </c>
      <c r="E57" s="25">
        <v>20126.666000000001</v>
      </c>
      <c r="G57">
        <v>0</v>
      </c>
      <c r="I57" s="25">
        <v>18410.935000000001</v>
      </c>
      <c r="J57" s="25">
        <v>21238.15</v>
      </c>
      <c r="K57" s="25">
        <v>5604.3729999999996</v>
      </c>
      <c r="L57" s="25">
        <f t="shared" si="23"/>
        <v>89263.38499999998</v>
      </c>
      <c r="M57" s="25">
        <f t="shared" si="28"/>
        <v>5579754.5534514245</v>
      </c>
      <c r="N57" s="3">
        <v>143383</v>
      </c>
      <c r="O57" s="25">
        <v>75572</v>
      </c>
      <c r="P57" s="3">
        <v>130241</v>
      </c>
      <c r="R57" s="1">
        <v>0</v>
      </c>
      <c r="T57" s="3">
        <v>183934</v>
      </c>
      <c r="U57" s="25">
        <v>112970</v>
      </c>
      <c r="V57" s="3">
        <v>31264</v>
      </c>
      <c r="W57" s="25">
        <f t="shared" si="0"/>
        <v>677364</v>
      </c>
      <c r="X57" s="25">
        <f t="shared" si="29"/>
        <v>42723237</v>
      </c>
      <c r="Y57" s="3">
        <v>20187.352113000001</v>
      </c>
      <c r="Z57" s="3">
        <v>19888.140036000001</v>
      </c>
      <c r="AA57" s="3">
        <v>14896.75603</v>
      </c>
      <c r="AC57" s="1">
        <v>0</v>
      </c>
      <c r="AE57" s="3">
        <v>15547.215695000001</v>
      </c>
      <c r="AF57" s="3">
        <v>12721.271456</v>
      </c>
      <c r="AG57" s="3">
        <v>18030.516792999999</v>
      </c>
      <c r="AH57" s="25">
        <f t="shared" si="2"/>
        <v>101271.25212300001</v>
      </c>
      <c r="AI57" s="25">
        <f t="shared" si="24"/>
        <v>2455002.7083269996</v>
      </c>
      <c r="AO57">
        <f t="shared" si="25"/>
        <v>55</v>
      </c>
    </row>
    <row r="58" spans="2:41" x14ac:dyDescent="0.3">
      <c r="B58" s="2">
        <v>45444</v>
      </c>
      <c r="C58" s="25">
        <v>10024.050999999999</v>
      </c>
      <c r="D58" s="3">
        <v>12907.647999999999</v>
      </c>
      <c r="E58" s="25">
        <v>18187.481</v>
      </c>
      <c r="G58">
        <v>0</v>
      </c>
      <c r="I58" s="25">
        <v>17403.195</v>
      </c>
      <c r="J58" s="25">
        <v>18637.044999999998</v>
      </c>
      <c r="K58" s="25">
        <v>5719.8230000000003</v>
      </c>
      <c r="L58" s="25">
        <f t="shared" si="23"/>
        <v>82879.243000000002</v>
      </c>
      <c r="M58" s="25">
        <f t="shared" si="28"/>
        <v>5662633.7964514242</v>
      </c>
      <c r="N58" s="3">
        <v>128173</v>
      </c>
      <c r="O58" s="25">
        <v>77280</v>
      </c>
      <c r="P58" s="3">
        <v>126206</v>
      </c>
      <c r="R58" s="1">
        <v>0</v>
      </c>
      <c r="T58" s="3">
        <v>186444</v>
      </c>
      <c r="U58" s="25">
        <v>128099</v>
      </c>
      <c r="V58" s="3">
        <v>40294</v>
      </c>
      <c r="W58" s="25">
        <f t="shared" si="0"/>
        <v>686496</v>
      </c>
      <c r="X58" s="25">
        <f t="shared" si="29"/>
        <v>43409733</v>
      </c>
      <c r="Y58" s="3">
        <v>20515.792889</v>
      </c>
      <c r="Z58" s="3">
        <v>24954.026723999999</v>
      </c>
      <c r="AA58" s="3">
        <v>16215.249064</v>
      </c>
      <c r="AC58" s="1">
        <v>0</v>
      </c>
      <c r="AE58" s="3">
        <v>18231.457031999998</v>
      </c>
      <c r="AF58" s="3">
        <v>12868.735812999999</v>
      </c>
      <c r="AG58" s="3">
        <v>20238.148539000002</v>
      </c>
      <c r="AH58" s="25">
        <f t="shared" si="2"/>
        <v>113023.41006100002</v>
      </c>
      <c r="AI58" s="25">
        <f t="shared" si="24"/>
        <v>2568026.1183879995</v>
      </c>
      <c r="AO58">
        <f t="shared" si="25"/>
        <v>56</v>
      </c>
    </row>
    <row r="59" spans="2:41" x14ac:dyDescent="0.3">
      <c r="B59" s="2">
        <v>45474</v>
      </c>
      <c r="C59" s="25">
        <v>8768.08</v>
      </c>
      <c r="D59" s="3">
        <v>13544.209000000001</v>
      </c>
      <c r="E59" s="25">
        <v>18566.488000000001</v>
      </c>
      <c r="G59">
        <v>0</v>
      </c>
      <c r="I59" s="25">
        <v>18083.77</v>
      </c>
      <c r="J59" s="25">
        <v>19077.952000000001</v>
      </c>
      <c r="K59" s="25">
        <v>7386.3289999999997</v>
      </c>
      <c r="L59" s="25">
        <f t="shared" si="23"/>
        <v>85426.828000000009</v>
      </c>
      <c r="M59" s="25">
        <f t="shared" si="28"/>
        <v>5748060.624451424</v>
      </c>
      <c r="N59" s="3">
        <v>106084</v>
      </c>
      <c r="O59" s="25">
        <v>81710</v>
      </c>
      <c r="P59" s="3">
        <v>128201</v>
      </c>
      <c r="R59" s="1">
        <v>0</v>
      </c>
      <c r="T59" s="3">
        <v>142934</v>
      </c>
      <c r="U59" s="25">
        <v>159604</v>
      </c>
      <c r="V59" s="3">
        <v>52174</v>
      </c>
      <c r="W59" s="25">
        <f t="shared" si="0"/>
        <v>670707</v>
      </c>
      <c r="X59" s="25">
        <f t="shared" si="29"/>
        <v>44080440</v>
      </c>
      <c r="Y59" s="3">
        <v>25773.040452000001</v>
      </c>
      <c r="Z59" s="3">
        <v>36031.157038999998</v>
      </c>
      <c r="AA59" s="3">
        <v>19379.924196</v>
      </c>
      <c r="AC59" s="1">
        <v>0</v>
      </c>
      <c r="AE59" s="3">
        <v>19704.433850000001</v>
      </c>
      <c r="AF59" s="3">
        <v>15004.519172</v>
      </c>
      <c r="AG59" s="3">
        <v>25126.002435999999</v>
      </c>
      <c r="AH59" s="25">
        <f t="shared" si="2"/>
        <v>141019.07714500002</v>
      </c>
      <c r="AI59" s="25">
        <f t="shared" si="24"/>
        <v>2709045.1955329995</v>
      </c>
      <c r="AO59">
        <f t="shared" si="25"/>
        <v>57</v>
      </c>
    </row>
    <row r="60" spans="2:41" x14ac:dyDescent="0.3">
      <c r="B60" s="2">
        <v>45505</v>
      </c>
      <c r="C60" s="25">
        <v>8762.2880000000005</v>
      </c>
      <c r="D60" s="3">
        <v>13945.527</v>
      </c>
      <c r="E60" s="25">
        <v>18721.722000000002</v>
      </c>
      <c r="G60">
        <v>0</v>
      </c>
      <c r="I60" s="25">
        <v>18236.850999999999</v>
      </c>
      <c r="J60" s="25">
        <v>20752.248</v>
      </c>
      <c r="K60" s="25">
        <v>9451.2129999999997</v>
      </c>
      <c r="L60" s="25">
        <f t="shared" si="23"/>
        <v>89869.849000000002</v>
      </c>
      <c r="M60" s="25">
        <f t="shared" si="28"/>
        <v>5837930.4734514244</v>
      </c>
      <c r="N60" s="3">
        <v>100438</v>
      </c>
      <c r="O60" s="25">
        <v>79663</v>
      </c>
      <c r="P60" s="1">
        <v>122417</v>
      </c>
      <c r="R60" s="1">
        <v>0</v>
      </c>
      <c r="T60" s="3">
        <v>119213</v>
      </c>
      <c r="U60" s="25">
        <v>164378</v>
      </c>
      <c r="V60" s="3">
        <v>62954</v>
      </c>
      <c r="W60" s="25">
        <f t="shared" si="0"/>
        <v>649063</v>
      </c>
      <c r="X60" s="25">
        <f t="shared" si="29"/>
        <v>44729503</v>
      </c>
      <c r="Y60" s="3">
        <v>25305.972484999998</v>
      </c>
      <c r="Z60" s="3">
        <v>35208.331692</v>
      </c>
      <c r="AA60" s="3">
        <v>18659.440188</v>
      </c>
      <c r="AC60" s="1">
        <v>0</v>
      </c>
      <c r="AE60" s="3">
        <v>18521.322467999998</v>
      </c>
      <c r="AF60" s="3">
        <v>15133.548133</v>
      </c>
      <c r="AG60" s="3">
        <v>25791.507303999999</v>
      </c>
      <c r="AH60" s="25">
        <f t="shared" si="2"/>
        <v>138620.12226999999</v>
      </c>
      <c r="AI60" s="25">
        <f t="shared" si="24"/>
        <v>2847665.3178029996</v>
      </c>
      <c r="AO60">
        <f t="shared" si="25"/>
        <v>58</v>
      </c>
    </row>
    <row r="61" spans="2:41" x14ac:dyDescent="0.3">
      <c r="B61" s="2">
        <v>45536</v>
      </c>
      <c r="C61" s="25">
        <v>7449.0820000000003</v>
      </c>
      <c r="D61" s="3">
        <v>10688.588</v>
      </c>
      <c r="E61" s="25">
        <v>17798.917000000001</v>
      </c>
      <c r="G61">
        <v>0</v>
      </c>
      <c r="I61" s="25">
        <v>17177.623</v>
      </c>
      <c r="J61" s="25">
        <v>19313.012999999999</v>
      </c>
      <c r="K61" s="25">
        <v>11234.102999999999</v>
      </c>
      <c r="L61" s="25">
        <f t="shared" si="23"/>
        <v>83661.326000000001</v>
      </c>
      <c r="M61" s="25">
        <f t="shared" si="28"/>
        <v>5921591.7994514247</v>
      </c>
      <c r="N61" s="3">
        <v>84468</v>
      </c>
      <c r="O61" s="25">
        <v>60407</v>
      </c>
      <c r="P61" s="1">
        <v>114744</v>
      </c>
      <c r="R61" s="1">
        <v>0</v>
      </c>
      <c r="T61" s="3">
        <v>110749</v>
      </c>
      <c r="U61" s="25">
        <v>150784</v>
      </c>
      <c r="V61" s="3">
        <v>73985</v>
      </c>
      <c r="W61" s="25">
        <f t="shared" si="0"/>
        <v>595137</v>
      </c>
      <c r="X61" s="25">
        <f t="shared" si="29"/>
        <v>45324640</v>
      </c>
      <c r="Y61" s="3">
        <v>22608.623202999999</v>
      </c>
      <c r="Z61" s="3">
        <v>25657.289262999999</v>
      </c>
      <c r="AA61" s="3">
        <v>17153.423054999999</v>
      </c>
      <c r="AC61" s="1">
        <v>0</v>
      </c>
      <c r="AE61" s="3">
        <v>17064.233689000001</v>
      </c>
      <c r="AF61" s="3">
        <v>13505.955454999999</v>
      </c>
      <c r="AG61" s="3">
        <v>23279.354894</v>
      </c>
      <c r="AH61" s="25">
        <f t="shared" si="2"/>
        <v>119268.87955899999</v>
      </c>
      <c r="AI61" s="25">
        <f t="shared" si="24"/>
        <v>2966934.1973619997</v>
      </c>
      <c r="AO61">
        <f t="shared" si="25"/>
        <v>59</v>
      </c>
    </row>
    <row r="62" spans="2:41" x14ac:dyDescent="0.3">
      <c r="B62" s="2">
        <v>45566</v>
      </c>
      <c r="C62" s="25">
        <v>7039.8239999999996</v>
      </c>
      <c r="D62" s="3">
        <v>10239.769</v>
      </c>
      <c r="E62" s="25">
        <v>17161.692999999999</v>
      </c>
      <c r="G62">
        <v>0</v>
      </c>
      <c r="I62" s="25">
        <v>17105.213</v>
      </c>
      <c r="J62" s="25">
        <v>19171.800999999999</v>
      </c>
      <c r="K62" s="25">
        <v>9611.4860000000008</v>
      </c>
      <c r="L62" s="25">
        <f t="shared" si="23"/>
        <v>80329.785999999993</v>
      </c>
      <c r="M62" s="25">
        <f t="shared" si="28"/>
        <v>6001921.5854514251</v>
      </c>
      <c r="N62" s="3">
        <v>90357</v>
      </c>
      <c r="O62" s="25">
        <v>65506</v>
      </c>
      <c r="P62" s="1">
        <v>110709</v>
      </c>
      <c r="R62" s="1">
        <v>0</v>
      </c>
      <c r="T62" s="3">
        <v>125252</v>
      </c>
      <c r="U62" s="25">
        <v>169933</v>
      </c>
      <c r="V62" s="3">
        <v>71850</v>
      </c>
      <c r="W62" s="25">
        <f t="shared" si="0"/>
        <v>633607</v>
      </c>
      <c r="X62" s="25">
        <f t="shared" si="29"/>
        <v>45958247</v>
      </c>
      <c r="Y62" s="3">
        <v>23197.461698999999</v>
      </c>
      <c r="Z62" s="3">
        <v>25409.867396000001</v>
      </c>
      <c r="AA62" s="3">
        <v>17129.892913</v>
      </c>
      <c r="AC62" s="1">
        <v>0</v>
      </c>
      <c r="AE62" s="3">
        <v>17618.427969</v>
      </c>
      <c r="AF62" s="3">
        <v>13935.938763</v>
      </c>
      <c r="AG62" s="3">
        <v>23349.083619000001</v>
      </c>
      <c r="AH62" s="25">
        <f t="shared" si="2"/>
        <v>120640.67235899999</v>
      </c>
      <c r="AI62" s="25">
        <f t="shared" si="24"/>
        <v>3087574.8697209996</v>
      </c>
      <c r="AO62">
        <f t="shared" si="25"/>
        <v>60</v>
      </c>
    </row>
    <row r="63" spans="2:41" x14ac:dyDescent="0.3">
      <c r="B63" s="2">
        <v>45597</v>
      </c>
      <c r="C63" s="25">
        <v>6858.357</v>
      </c>
      <c r="D63" s="3">
        <v>9966.5429999999997</v>
      </c>
      <c r="E63" s="25">
        <v>16421.181</v>
      </c>
      <c r="G63">
        <v>0</v>
      </c>
      <c r="I63" s="25">
        <v>16512.423999999999</v>
      </c>
      <c r="J63" s="25">
        <v>18448.258000000002</v>
      </c>
      <c r="K63" s="25">
        <v>9363.0460000000003</v>
      </c>
      <c r="L63" s="25">
        <f t="shared" si="23"/>
        <v>77569.809000000008</v>
      </c>
      <c r="M63" s="25">
        <f t="shared" si="28"/>
        <v>6079491.3944514254</v>
      </c>
      <c r="N63" s="3">
        <v>84135</v>
      </c>
      <c r="O63" s="25">
        <v>60801</v>
      </c>
      <c r="P63" s="1">
        <v>100600</v>
      </c>
      <c r="R63" s="1">
        <v>0</v>
      </c>
      <c r="T63" s="3">
        <v>115685</v>
      </c>
      <c r="U63" s="25">
        <v>156517</v>
      </c>
      <c r="V63" s="3">
        <v>66895</v>
      </c>
      <c r="W63" s="25">
        <f t="shared" si="0"/>
        <v>584633</v>
      </c>
      <c r="X63" s="25">
        <f t="shared" si="29"/>
        <v>46542880</v>
      </c>
      <c r="Y63" s="3">
        <v>22647.557065000001</v>
      </c>
      <c r="Z63" s="3">
        <v>24855.943584000001</v>
      </c>
      <c r="AA63" s="3">
        <v>16776.796122</v>
      </c>
      <c r="AC63" s="1">
        <v>0</v>
      </c>
      <c r="AE63" s="3">
        <v>16967.767025000001</v>
      </c>
      <c r="AF63" s="3">
        <v>13578.917131</v>
      </c>
      <c r="AG63" s="3">
        <v>22837.295171000002</v>
      </c>
      <c r="AH63" s="25">
        <f t="shared" si="2"/>
        <v>117664.276098</v>
      </c>
      <c r="AI63" s="25">
        <f t="shared" si="24"/>
        <v>3205239.1458189995</v>
      </c>
      <c r="AO63">
        <f t="shared" si="25"/>
        <v>61</v>
      </c>
    </row>
    <row r="64" spans="2:41" x14ac:dyDescent="0.3">
      <c r="B64" s="2">
        <v>45627</v>
      </c>
      <c r="C64" s="25">
        <v>7273.9120000000003</v>
      </c>
      <c r="D64" s="3">
        <v>10389.321</v>
      </c>
      <c r="E64" s="25">
        <v>16271.686</v>
      </c>
      <c r="G64">
        <v>0</v>
      </c>
      <c r="I64" s="25">
        <v>16622.864000000001</v>
      </c>
      <c r="J64" s="25">
        <v>18026.670999999998</v>
      </c>
      <c r="K64" s="25">
        <v>11587.97</v>
      </c>
      <c r="L64" s="25">
        <f t="shared" si="23"/>
        <v>80172.423999999999</v>
      </c>
      <c r="M64" s="25">
        <f t="shared" si="28"/>
        <v>6159663.8184514251</v>
      </c>
      <c r="N64" s="3">
        <v>74696</v>
      </c>
      <c r="O64" s="25">
        <v>52739</v>
      </c>
      <c r="P64" s="1">
        <v>83276</v>
      </c>
      <c r="R64" s="1">
        <v>0</v>
      </c>
      <c r="T64" s="3">
        <v>97486</v>
      </c>
      <c r="U64" s="25">
        <v>127950</v>
      </c>
      <c r="V64" s="3">
        <v>69548</v>
      </c>
      <c r="W64" s="25">
        <f t="shared" si="0"/>
        <v>505695</v>
      </c>
      <c r="X64" s="25">
        <f t="shared" si="29"/>
        <v>47048575</v>
      </c>
      <c r="Y64" s="3">
        <v>21831.568730999999</v>
      </c>
      <c r="Z64" s="3">
        <v>24015.896762</v>
      </c>
      <c r="AA64" s="3">
        <v>16561.565454</v>
      </c>
      <c r="AC64" s="1">
        <v>0</v>
      </c>
      <c r="AE64" s="3">
        <v>15354.879901</v>
      </c>
      <c r="AF64" s="3">
        <v>12932.684214000001</v>
      </c>
      <c r="AG64" s="3">
        <v>22802.896252999999</v>
      </c>
      <c r="AH64" s="25">
        <f t="shared" si="2"/>
        <v>113499.49131500001</v>
      </c>
      <c r="AI64" s="25">
        <f t="shared" si="24"/>
        <v>3318738.6371339997</v>
      </c>
      <c r="AO64">
        <f t="shared" si="25"/>
        <v>62</v>
      </c>
    </row>
    <row r="65" spans="2:41" x14ac:dyDescent="0.3">
      <c r="B65" s="2">
        <v>45658</v>
      </c>
      <c r="C65" s="25">
        <v>6935.13</v>
      </c>
      <c r="D65" s="3">
        <v>9189.6440000000002</v>
      </c>
      <c r="E65" s="25">
        <v>15761.683000000001</v>
      </c>
      <c r="G65">
        <v>0</v>
      </c>
      <c r="I65" s="25">
        <v>17075.982</v>
      </c>
      <c r="J65" s="25">
        <v>17623.088</v>
      </c>
      <c r="K65" s="25">
        <v>10428.099</v>
      </c>
      <c r="L65" s="25">
        <f t="shared" si="23"/>
        <v>77013.626000000004</v>
      </c>
      <c r="M65" s="25">
        <f t="shared" si="28"/>
        <v>6236677.4444514252</v>
      </c>
      <c r="N65" s="3">
        <v>66077</v>
      </c>
      <c r="O65" s="25">
        <v>43671</v>
      </c>
      <c r="P65" s="1">
        <v>74857</v>
      </c>
      <c r="R65" s="1">
        <v>0</v>
      </c>
      <c r="T65" s="3">
        <v>107264</v>
      </c>
      <c r="U65" s="25">
        <v>115964</v>
      </c>
      <c r="V65" s="3">
        <v>58002</v>
      </c>
      <c r="W65" s="25">
        <f t="shared" si="0"/>
        <v>465835</v>
      </c>
      <c r="X65" s="25">
        <f t="shared" si="29"/>
        <v>47514410</v>
      </c>
      <c r="Y65" s="3">
        <v>22607.509908</v>
      </c>
      <c r="Z65" s="3">
        <v>25507.768137999999</v>
      </c>
      <c r="AA65" s="3">
        <v>18689.631226000001</v>
      </c>
      <c r="AC65" s="1">
        <v>0</v>
      </c>
      <c r="AE65" s="3">
        <v>15935.038474999999</v>
      </c>
      <c r="AF65" s="3">
        <v>14776.249752</v>
      </c>
      <c r="AG65" s="3">
        <v>24846.867402</v>
      </c>
      <c r="AH65" s="25">
        <f t="shared" si="2"/>
        <v>122363.06490100001</v>
      </c>
      <c r="AI65" s="25">
        <f t="shared" si="24"/>
        <v>3441101.7020349996</v>
      </c>
      <c r="AO65">
        <f t="shared" si="25"/>
        <v>63</v>
      </c>
    </row>
    <row r="66" spans="2:41" x14ac:dyDescent="0.3">
      <c r="B66" s="2">
        <v>45689</v>
      </c>
      <c r="C66" s="25">
        <v>6670.6930000000002</v>
      </c>
      <c r="D66" s="3">
        <v>8651.6280000000006</v>
      </c>
      <c r="E66" s="25">
        <v>13825.91</v>
      </c>
      <c r="G66">
        <v>0</v>
      </c>
      <c r="I66" s="25">
        <v>14669.397999999999</v>
      </c>
      <c r="J66" s="25">
        <v>15689.317999999999</v>
      </c>
      <c r="K66" s="25">
        <v>9129.3070000000007</v>
      </c>
      <c r="L66" s="25">
        <f t="shared" si="23"/>
        <v>68636.254000000001</v>
      </c>
      <c r="M66" s="25">
        <f t="shared" si="28"/>
        <v>6305313.6984514249</v>
      </c>
      <c r="N66" s="3">
        <v>67473</v>
      </c>
      <c r="O66" s="25">
        <v>43635</v>
      </c>
      <c r="P66" s="1">
        <v>69478</v>
      </c>
      <c r="R66" s="1">
        <v>0</v>
      </c>
      <c r="T66" s="3">
        <v>92770</v>
      </c>
      <c r="U66" s="25">
        <v>109184</v>
      </c>
      <c r="V66" s="3">
        <v>53721</v>
      </c>
      <c r="W66" s="25">
        <f t="shared" si="0"/>
        <v>436261</v>
      </c>
      <c r="X66" s="25">
        <f t="shared" si="29"/>
        <v>47950671</v>
      </c>
      <c r="Y66" s="3">
        <v>22080.091306999999</v>
      </c>
      <c r="Z66" s="3">
        <v>24702.371829</v>
      </c>
      <c r="AA66" s="3">
        <v>18330.666051</v>
      </c>
      <c r="AC66" s="1">
        <v>0</v>
      </c>
      <c r="AE66" s="3">
        <v>16334.428196000001</v>
      </c>
      <c r="AF66" s="3">
        <v>14464.533551</v>
      </c>
      <c r="AG66" s="3">
        <v>24042.628414999999</v>
      </c>
      <c r="AH66" s="25">
        <f t="shared" si="2"/>
        <v>119954.71934900001</v>
      </c>
      <c r="AI66" s="25">
        <f t="shared" si="24"/>
        <v>3561056.4213839998</v>
      </c>
      <c r="AO66">
        <f t="shared" si="25"/>
        <v>64</v>
      </c>
    </row>
    <row r="67" spans="2:41" x14ac:dyDescent="0.3">
      <c r="B67" s="2">
        <v>45717</v>
      </c>
      <c r="C67" s="25">
        <v>7604.7939999999999</v>
      </c>
      <c r="D67" s="3">
        <v>10443.808000000001</v>
      </c>
      <c r="E67" s="25">
        <v>15077.841</v>
      </c>
      <c r="G67">
        <v>0</v>
      </c>
      <c r="I67" s="25">
        <v>15203.808000000001</v>
      </c>
      <c r="J67" s="25">
        <v>17519.331999999999</v>
      </c>
      <c r="K67" s="25">
        <v>10288.425999999999</v>
      </c>
      <c r="L67" s="25">
        <f t="shared" si="23"/>
        <v>76138.008999999991</v>
      </c>
      <c r="M67" s="25">
        <f t="shared" si="28"/>
        <v>6381451.7074514246</v>
      </c>
      <c r="N67" s="3">
        <v>78074</v>
      </c>
      <c r="O67" s="25">
        <v>53519</v>
      </c>
      <c r="P67" s="1">
        <v>77185</v>
      </c>
      <c r="R67" s="1">
        <v>0</v>
      </c>
      <c r="T67" s="3">
        <v>89086</v>
      </c>
      <c r="U67" s="25">
        <v>124392</v>
      </c>
      <c r="V67" s="3">
        <v>61744</v>
      </c>
      <c r="W67" s="25">
        <f t="shared" si="0"/>
        <v>484000</v>
      </c>
      <c r="X67" s="25">
        <f t="shared" si="29"/>
        <v>48434671</v>
      </c>
      <c r="Y67" s="3">
        <v>28338.914043000001</v>
      </c>
      <c r="Z67" s="3">
        <v>30995.398495000001</v>
      </c>
      <c r="AA67" s="3">
        <v>23247.679461</v>
      </c>
      <c r="AC67" s="1">
        <v>0</v>
      </c>
      <c r="AE67" s="3">
        <v>22429.294714</v>
      </c>
      <c r="AF67" s="3">
        <v>18305.286705999999</v>
      </c>
      <c r="AG67" s="3">
        <v>30534.318415000002</v>
      </c>
      <c r="AH67" s="25">
        <f t="shared" si="2"/>
        <v>153850.89183400001</v>
      </c>
      <c r="AI67" s="25">
        <f t="shared" si="24"/>
        <v>3714907.3132179999</v>
      </c>
      <c r="AO67">
        <f t="shared" si="25"/>
        <v>65</v>
      </c>
    </row>
    <row r="68" spans="2:41" x14ac:dyDescent="0.3">
      <c r="B68" s="2">
        <v>45748</v>
      </c>
      <c r="C68" s="25">
        <v>6749.2610000000004</v>
      </c>
      <c r="D68" s="3">
        <v>9225.2999999999993</v>
      </c>
      <c r="E68" s="25">
        <v>13106.16</v>
      </c>
      <c r="G68">
        <v>0</v>
      </c>
      <c r="I68" s="25">
        <v>13334.433999999999</v>
      </c>
      <c r="J68" s="25">
        <v>15352.074000000001</v>
      </c>
      <c r="K68" s="25">
        <v>9088.0470000000005</v>
      </c>
      <c r="L68" s="25">
        <f>SUM(C68:K68)</f>
        <v>66855.275999999998</v>
      </c>
      <c r="M68" s="25">
        <f t="shared" si="28"/>
        <v>6448306.9834514242</v>
      </c>
      <c r="N68" s="3">
        <v>78682</v>
      </c>
      <c r="O68" s="25">
        <v>53675</v>
      </c>
      <c r="P68" s="1">
        <v>76237</v>
      </c>
      <c r="R68" s="1">
        <v>0</v>
      </c>
      <c r="T68" s="3">
        <v>88773</v>
      </c>
      <c r="U68" s="25">
        <v>123795</v>
      </c>
      <c r="V68" s="3">
        <v>61916</v>
      </c>
      <c r="W68" s="25">
        <f>SUM(N68:V68)</f>
        <v>483078</v>
      </c>
      <c r="X68" s="25">
        <f t="shared" si="29"/>
        <v>48917749</v>
      </c>
      <c r="Y68" s="3">
        <v>24280.546386999999</v>
      </c>
      <c r="Z68" s="3">
        <v>26691.105948</v>
      </c>
      <c r="AA68" s="3">
        <v>20288.328560000002</v>
      </c>
      <c r="AC68" s="1">
        <v>0</v>
      </c>
      <c r="AE68" s="3">
        <v>19597.299685000002</v>
      </c>
      <c r="AF68" s="3">
        <v>15893.060351</v>
      </c>
      <c r="AG68" s="3">
        <v>26293.993136000001</v>
      </c>
      <c r="AH68" s="25">
        <f>SUM(Y68:AG68)</f>
        <v>133044.33406700002</v>
      </c>
      <c r="AI68" s="25">
        <f t="shared" si="24"/>
        <v>3847951.647285</v>
      </c>
      <c r="AO68">
        <f t="shared" si="25"/>
        <v>66</v>
      </c>
    </row>
    <row r="69" spans="2:41" x14ac:dyDescent="0.3">
      <c r="B69" s="2">
        <v>45778</v>
      </c>
      <c r="C69" s="25">
        <v>7174.4030000000002</v>
      </c>
      <c r="D69" s="3">
        <v>9472.9040000000005</v>
      </c>
      <c r="E69" s="25">
        <v>14348.94</v>
      </c>
      <c r="G69">
        <v>0</v>
      </c>
      <c r="I69" s="25">
        <v>14653.647999999999</v>
      </c>
      <c r="J69" s="25">
        <v>16410.079000000002</v>
      </c>
      <c r="K69" s="25">
        <v>9371.5959999999995</v>
      </c>
      <c r="L69" s="25">
        <f>SUM(C69:K69)</f>
        <v>71431.570000000007</v>
      </c>
      <c r="M69" s="25">
        <f>M68+L69</f>
        <v>6519738.5534514245</v>
      </c>
      <c r="N69" s="3">
        <v>72705</v>
      </c>
      <c r="O69" s="25">
        <v>47876</v>
      </c>
      <c r="P69" s="1">
        <v>72128</v>
      </c>
      <c r="R69" s="1">
        <v>0</v>
      </c>
      <c r="T69" s="3">
        <v>84344</v>
      </c>
      <c r="U69" s="25">
        <v>114355</v>
      </c>
      <c r="V69" s="3">
        <v>55440</v>
      </c>
      <c r="W69" s="25">
        <f>SUM(N69:V69)</f>
        <v>446848</v>
      </c>
      <c r="X69" s="25">
        <f>X68+W69</f>
        <v>49364597</v>
      </c>
      <c r="Y69" s="3">
        <v>24692.289274999999</v>
      </c>
      <c r="Z69" s="3">
        <v>27753.654444</v>
      </c>
      <c r="AA69" s="3">
        <v>21076.239227999999</v>
      </c>
      <c r="AC69" s="1">
        <v>0</v>
      </c>
      <c r="AE69" s="3">
        <v>20528.718428</v>
      </c>
      <c r="AF69" s="3">
        <v>16614.418642000001</v>
      </c>
      <c r="AG69" s="3">
        <v>27507.031382000001</v>
      </c>
      <c r="AH69" s="25">
        <f>SUM(Y69:AG69)</f>
        <v>138172.35139899998</v>
      </c>
      <c r="AI69" s="25">
        <f>AI68+AH69</f>
        <v>3986123.9986839998</v>
      </c>
      <c r="AO69">
        <f>AO68+1</f>
        <v>67</v>
      </c>
    </row>
    <row r="70" spans="2:41" x14ac:dyDescent="0.3">
      <c r="B70" s="2">
        <v>45809</v>
      </c>
      <c r="C70" s="25">
        <v>6462.5349999999999</v>
      </c>
      <c r="D70" s="3">
        <v>8344.8019999999997</v>
      </c>
      <c r="E70" s="25">
        <v>13741.994000000001</v>
      </c>
      <c r="G70">
        <v>0</v>
      </c>
      <c r="I70" s="25">
        <v>14250.914000000001</v>
      </c>
      <c r="J70" s="25">
        <v>16128.541999999999</v>
      </c>
      <c r="K70" s="25">
        <v>8253.9660000000003</v>
      </c>
      <c r="L70" s="25">
        <f>SUM(C70:K70)</f>
        <v>67182.752999999997</v>
      </c>
      <c r="M70" s="25">
        <f>M69+L70</f>
        <v>6586921.306451424</v>
      </c>
      <c r="N70" s="3">
        <v>53215</v>
      </c>
      <c r="O70" s="25">
        <v>34232</v>
      </c>
      <c r="P70" s="1">
        <v>56352</v>
      </c>
      <c r="R70" s="1">
        <v>0</v>
      </c>
      <c r="T70" s="3">
        <v>66931</v>
      </c>
      <c r="U70" s="25">
        <v>91711</v>
      </c>
      <c r="V70" s="3">
        <v>39671</v>
      </c>
      <c r="W70" s="25">
        <f>SUM(N70:V70)</f>
        <v>342112</v>
      </c>
      <c r="X70" s="25">
        <f>X69+W70</f>
        <v>49706709</v>
      </c>
      <c r="Y70" s="3">
        <v>26240.718529999998</v>
      </c>
      <c r="Z70" s="3">
        <v>29667.621713</v>
      </c>
      <c r="AA70" s="3">
        <v>22212.296618</v>
      </c>
      <c r="AC70" s="1">
        <v>0</v>
      </c>
      <c r="AE70" s="3">
        <v>21595.871053999999</v>
      </c>
      <c r="AF70" s="3">
        <v>17734.487357999998</v>
      </c>
      <c r="AG70" s="3">
        <v>29642.141732</v>
      </c>
      <c r="AH70" s="25">
        <f>SUM(Y70:AG70)</f>
        <v>147093.137005</v>
      </c>
      <c r="AI70" s="25">
        <f>AI69+AH70</f>
        <v>4133217.1356889997</v>
      </c>
      <c r="AO70">
        <f>AO69+1</f>
        <v>68</v>
      </c>
    </row>
    <row r="71" spans="2:41" x14ac:dyDescent="0.3">
      <c r="B71" s="2">
        <v>45839</v>
      </c>
      <c r="C71" s="25">
        <v>6971.2569999999996</v>
      </c>
      <c r="D71" s="3">
        <v>8410.1759999999995</v>
      </c>
      <c r="E71" s="25">
        <v>13682.441000000001</v>
      </c>
      <c r="G71">
        <v>0</v>
      </c>
      <c r="I71" s="25">
        <v>14709.546</v>
      </c>
      <c r="J71" s="25">
        <v>15649.231</v>
      </c>
      <c r="K71" s="25">
        <v>8414.5560000000005</v>
      </c>
      <c r="L71" s="25">
        <f>SUM(C71:K71)</f>
        <v>67837.206999999995</v>
      </c>
      <c r="M71" s="25">
        <f>M70+L71</f>
        <v>6654758.5134514244</v>
      </c>
      <c r="N71" s="3">
        <v>67910</v>
      </c>
      <c r="O71" s="25">
        <v>40749</v>
      </c>
      <c r="P71" s="1">
        <v>66352</v>
      </c>
      <c r="R71" s="1">
        <v>0</v>
      </c>
      <c r="T71" s="3">
        <v>81660</v>
      </c>
      <c r="U71">
        <v>105134</v>
      </c>
      <c r="V71" s="3">
        <v>47784</v>
      </c>
      <c r="W71" s="25">
        <f>SUM(N71:V71)</f>
        <v>409589</v>
      </c>
      <c r="X71" s="25">
        <f>X70+W71</f>
        <v>50116298</v>
      </c>
      <c r="Y71" s="3">
        <v>28348.996593</v>
      </c>
      <c r="Z71" s="3">
        <v>31023.639693000001</v>
      </c>
      <c r="AA71" s="3">
        <v>23541.601815999999</v>
      </c>
      <c r="AC71" s="1">
        <v>0</v>
      </c>
      <c r="AE71" s="3">
        <v>23065.237521999999</v>
      </c>
      <c r="AF71" s="3">
        <v>18014.723105000001</v>
      </c>
      <c r="AG71" s="3">
        <v>30964.760879000001</v>
      </c>
      <c r="AH71" s="25">
        <f>SUM(Y71:AG71)</f>
        <v>154958.959608</v>
      </c>
      <c r="AI71" s="25">
        <f>AI70+AH71</f>
        <v>4288176.0952969994</v>
      </c>
      <c r="AO71">
        <f>AO70+1</f>
        <v>69</v>
      </c>
    </row>
    <row r="72" spans="2:41" x14ac:dyDescent="0.3">
      <c r="B72" s="2"/>
      <c r="C72" s="25"/>
      <c r="L72" s="25"/>
      <c r="N72" s="3"/>
    </row>
  </sheetData>
  <mergeCells count="76">
    <mergeCell ref="AJ29:AM29"/>
    <mergeCell ref="BL1:BO1"/>
    <mergeCell ref="BF1:BF2"/>
    <mergeCell ref="BG1:BG2"/>
    <mergeCell ref="BA1:BA2"/>
    <mergeCell ref="BC1:BC2"/>
    <mergeCell ref="BD1:BD2"/>
    <mergeCell ref="BE1:BE2"/>
    <mergeCell ref="AR29:AU29"/>
    <mergeCell ref="AR22:AU22"/>
    <mergeCell ref="AR11:AU11"/>
    <mergeCell ref="AR12:AU12"/>
    <mergeCell ref="AR13:AU13"/>
    <mergeCell ref="AR14:AU14"/>
    <mergeCell ref="AR15:AU15"/>
    <mergeCell ref="AR16:AU16"/>
    <mergeCell ref="AR30:AU30"/>
    <mergeCell ref="AV1:AV2"/>
    <mergeCell ref="AW1:AW2"/>
    <mergeCell ref="AX1:AX2"/>
    <mergeCell ref="AY1:AY2"/>
    <mergeCell ref="AR23:AU23"/>
    <mergeCell ref="AR24:AU24"/>
    <mergeCell ref="AR25:AU25"/>
    <mergeCell ref="AR26:AU26"/>
    <mergeCell ref="AR27:AU27"/>
    <mergeCell ref="AR28:AU28"/>
    <mergeCell ref="AR17:AU17"/>
    <mergeCell ref="AR18:AU18"/>
    <mergeCell ref="AR19:AU19"/>
    <mergeCell ref="AR20:AU20"/>
    <mergeCell ref="AR21:AU21"/>
    <mergeCell ref="AR10:AU10"/>
    <mergeCell ref="AP1:AQ1"/>
    <mergeCell ref="AR1:AU2"/>
    <mergeCell ref="AR3:AU3"/>
    <mergeCell ref="AR4:AU4"/>
    <mergeCell ref="AR5:AU5"/>
    <mergeCell ref="AR6:AU6"/>
    <mergeCell ref="AR7:AU7"/>
    <mergeCell ref="AR8:AU8"/>
    <mergeCell ref="AR9:AU9"/>
    <mergeCell ref="AP2:AQ2"/>
    <mergeCell ref="AP3:AQ3"/>
    <mergeCell ref="AP4:AQ4"/>
    <mergeCell ref="AP5:AQ5"/>
    <mergeCell ref="AP6:AQ6"/>
    <mergeCell ref="AP30:AQ30"/>
    <mergeCell ref="AP19:AQ19"/>
    <mergeCell ref="AP20:AQ20"/>
    <mergeCell ref="AP21:AQ21"/>
    <mergeCell ref="AP22:AQ22"/>
    <mergeCell ref="AP23:AQ23"/>
    <mergeCell ref="AP24:AQ24"/>
    <mergeCell ref="AP25:AQ25"/>
    <mergeCell ref="AP26:AQ26"/>
    <mergeCell ref="AP27:AQ27"/>
    <mergeCell ref="AP28:AQ28"/>
    <mergeCell ref="AP29:AQ29"/>
    <mergeCell ref="AP18:AQ18"/>
    <mergeCell ref="AP7:AQ7"/>
    <mergeCell ref="AP8:AQ8"/>
    <mergeCell ref="AP9:AQ9"/>
    <mergeCell ref="AP10:AQ10"/>
    <mergeCell ref="AP11:AQ11"/>
    <mergeCell ref="AP12:AQ12"/>
    <mergeCell ref="AP13:AQ13"/>
    <mergeCell ref="AP14:AQ14"/>
    <mergeCell ref="AP15:AQ15"/>
    <mergeCell ref="AP16:AQ16"/>
    <mergeCell ref="AP17:AQ17"/>
    <mergeCell ref="C1:L1"/>
    <mergeCell ref="N1:W1"/>
    <mergeCell ref="Y1:AH1"/>
    <mergeCell ref="AK8:AM9"/>
    <mergeCell ref="AN8:AN9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F33A-4318-495A-8C90-F1B4724B4855}">
  <dimension ref="A1:AH203"/>
  <sheetViews>
    <sheetView tabSelected="1" topLeftCell="AB1" zoomScale="68" workbookViewId="0">
      <selection activeCell="AV24" sqref="AV24"/>
    </sheetView>
  </sheetViews>
  <sheetFormatPr defaultRowHeight="14.4" x14ac:dyDescent="0.3"/>
  <cols>
    <col min="1" max="1" width="8.88671875" style="1"/>
    <col min="2" max="2" width="18.44140625" style="1" customWidth="1"/>
    <col min="3" max="3" width="10.5546875" customWidth="1"/>
    <col min="4" max="4" width="10.33203125" hidden="1" customWidth="1"/>
    <col min="5" max="5" width="19.5546875" customWidth="1"/>
    <col min="6" max="6" width="12.44140625" customWidth="1"/>
    <col min="7" max="7" width="12.33203125" hidden="1" customWidth="1"/>
    <col min="8" max="8" width="24.33203125" customWidth="1"/>
    <col min="9" max="9" width="11.88671875" customWidth="1"/>
    <col min="10" max="10" width="0.109375" customWidth="1"/>
    <col min="11" max="11" width="26.109375" customWidth="1"/>
    <col min="12" max="12" width="13.109375" customWidth="1"/>
    <col min="13" max="13" width="11.33203125" hidden="1" customWidth="1"/>
    <col min="14" max="14" width="24.6640625" customWidth="1"/>
    <col min="15" max="15" width="11.77734375" customWidth="1"/>
    <col min="16" max="16" width="12.77734375" hidden="1" customWidth="1"/>
    <col min="17" max="17" width="26.21875" customWidth="1"/>
    <col min="18" max="18" width="12" customWidth="1"/>
    <col min="19" max="19" width="12.44140625" hidden="1" customWidth="1"/>
    <col min="20" max="20" width="25.21875" customWidth="1"/>
    <col min="21" max="21" width="12.88671875" customWidth="1"/>
    <col min="22" max="22" width="12.109375" hidden="1" customWidth="1"/>
    <col min="23" max="23" width="28.88671875" customWidth="1"/>
    <col min="24" max="24" width="14.21875" customWidth="1"/>
    <col min="26" max="26" width="13.77734375" customWidth="1"/>
    <col min="27" max="27" width="37.109375" customWidth="1"/>
    <col min="28" max="28" width="21.21875" customWidth="1"/>
    <col min="29" max="29" width="29.6640625" customWidth="1"/>
    <col min="32" max="32" width="17" customWidth="1"/>
    <col min="33" max="33" width="22.6640625" customWidth="1"/>
    <col min="34" max="34" width="18.109375" customWidth="1"/>
  </cols>
  <sheetData>
    <row r="1" spans="1:34" ht="15" thickBot="1" x14ac:dyDescent="0.35">
      <c r="A1" s="26" t="s">
        <v>89</v>
      </c>
      <c r="B1" s="103" t="s">
        <v>103</v>
      </c>
      <c r="C1" s="104"/>
      <c r="D1" s="105"/>
      <c r="E1" s="106" t="s">
        <v>104</v>
      </c>
      <c r="F1" s="93"/>
      <c r="G1" s="93"/>
      <c r="H1" s="101" t="s">
        <v>105</v>
      </c>
      <c r="I1" s="101"/>
      <c r="J1" s="101"/>
      <c r="K1" s="101" t="s">
        <v>107</v>
      </c>
      <c r="L1" s="101"/>
      <c r="M1" s="101"/>
      <c r="N1" s="101" t="s">
        <v>106</v>
      </c>
      <c r="O1" s="101"/>
      <c r="P1" s="101"/>
      <c r="Q1" s="101" t="s">
        <v>108</v>
      </c>
      <c r="R1" s="93"/>
      <c r="S1" s="93"/>
      <c r="T1" s="101" t="s">
        <v>109</v>
      </c>
      <c r="U1" s="101"/>
      <c r="V1" s="101"/>
      <c r="W1" s="102" t="s">
        <v>174</v>
      </c>
      <c r="X1" s="102" t="s">
        <v>112</v>
      </c>
      <c r="Y1" s="102" t="s">
        <v>41</v>
      </c>
      <c r="Z1" s="102" t="s">
        <v>149</v>
      </c>
      <c r="AA1" s="102" t="s">
        <v>160</v>
      </c>
      <c r="AB1" s="102" t="s">
        <v>154</v>
      </c>
      <c r="AC1" s="102"/>
      <c r="AD1" s="102"/>
      <c r="AF1" s="91" t="s">
        <v>155</v>
      </c>
      <c r="AG1" s="91"/>
      <c r="AH1" s="91"/>
    </row>
    <row r="2" spans="1:34" ht="15" thickBot="1" x14ac:dyDescent="0.35">
      <c r="A2" s="6" t="s">
        <v>0</v>
      </c>
      <c r="B2" s="121" t="s">
        <v>173</v>
      </c>
      <c r="C2" t="s">
        <v>110</v>
      </c>
      <c r="D2" s="51" t="s">
        <v>111</v>
      </c>
      <c r="E2" s="121" t="s">
        <v>173</v>
      </c>
      <c r="F2" t="s">
        <v>110</v>
      </c>
      <c r="G2" s="51" t="s">
        <v>111</v>
      </c>
      <c r="H2" s="121" t="s">
        <v>173</v>
      </c>
      <c r="I2" t="s">
        <v>110</v>
      </c>
      <c r="J2" s="51" t="s">
        <v>111</v>
      </c>
      <c r="K2" s="121" t="s">
        <v>173</v>
      </c>
      <c r="L2" t="s">
        <v>110</v>
      </c>
      <c r="M2" s="51" t="s">
        <v>111</v>
      </c>
      <c r="N2" s="121" t="s">
        <v>173</v>
      </c>
      <c r="O2" t="s">
        <v>110</v>
      </c>
      <c r="P2" s="51" t="s">
        <v>111</v>
      </c>
      <c r="Q2" s="121" t="s">
        <v>173</v>
      </c>
      <c r="R2" t="s">
        <v>110</v>
      </c>
      <c r="S2" s="51" t="s">
        <v>111</v>
      </c>
      <c r="T2" s="121" t="s">
        <v>173</v>
      </c>
      <c r="U2" t="s">
        <v>110</v>
      </c>
      <c r="V2" s="51" t="s">
        <v>111</v>
      </c>
      <c r="W2" s="102"/>
      <c r="X2" s="102"/>
      <c r="Y2" s="102"/>
      <c r="Z2" s="102"/>
      <c r="AA2" s="102"/>
      <c r="AB2" s="73" t="s">
        <v>151</v>
      </c>
      <c r="AC2" s="73" t="s">
        <v>152</v>
      </c>
      <c r="AD2" s="73" t="s">
        <v>153</v>
      </c>
      <c r="AF2" s="73" t="s">
        <v>156</v>
      </c>
      <c r="AG2" s="73" t="s">
        <v>157</v>
      </c>
      <c r="AH2" s="73" t="s">
        <v>153</v>
      </c>
    </row>
    <row r="3" spans="1:34" x14ac:dyDescent="0.3">
      <c r="A3" s="4">
        <v>43770</v>
      </c>
      <c r="B3" s="5">
        <v>15468.504999999999</v>
      </c>
      <c r="C3" s="5">
        <v>2427.7333333333331</v>
      </c>
      <c r="W3" s="25">
        <f>B3+E3+H3+K3+N3+Q3+T3</f>
        <v>15468.504999999999</v>
      </c>
      <c r="X3" s="32">
        <f>C3+F3+I3+L3+O3+R3+U3</f>
        <v>2427.7333333333331</v>
      </c>
      <c r="Y3">
        <f>_xlfn.DAYS($A$71,A3)</f>
        <v>2069</v>
      </c>
      <c r="Z3">
        <v>0</v>
      </c>
      <c r="AB3">
        <f>AA3</f>
        <v>0</v>
      </c>
      <c r="AC3">
        <f>AB3/(35*10^6)</f>
        <v>0</v>
      </c>
      <c r="AD3">
        <f>AC3*100</f>
        <v>0</v>
      </c>
      <c r="AF3" s="25">
        <f>W3</f>
        <v>15468.504999999999</v>
      </c>
      <c r="AG3" s="113">
        <f>((AF3)/(35*10^6))</f>
        <v>4.4195728571428571E-4</v>
      </c>
      <c r="AH3">
        <f>AG3*100</f>
        <v>4.4195728571428568E-2</v>
      </c>
    </row>
    <row r="4" spans="1:34" x14ac:dyDescent="0.3">
      <c r="A4" s="2">
        <v>43800</v>
      </c>
      <c r="B4" s="3">
        <v>24186.651999999998</v>
      </c>
      <c r="C4" s="3">
        <v>3190.9032258064517</v>
      </c>
      <c r="N4" s="5">
        <v>16757.349999999999</v>
      </c>
      <c r="O4" s="5">
        <v>918.61290322580646</v>
      </c>
      <c r="W4" s="25">
        <f>B4+E4+H4+K4+N4+Q4+T4</f>
        <v>40944.001999999993</v>
      </c>
      <c r="X4" s="32">
        <f t="shared" ref="X4:X67" si="0">C4+F4+I4+L4+O4+R4+U4</f>
        <v>4109.5161290322585</v>
      </c>
      <c r="Y4">
        <f t="shared" ref="Y4:Y67" si="1">_xlfn.DAYS($A$71,A4)</f>
        <v>2039</v>
      </c>
      <c r="Z4">
        <f>($Y$3-Y4)/30</f>
        <v>1</v>
      </c>
      <c r="AB4">
        <f>AB3+AA4</f>
        <v>0</v>
      </c>
      <c r="AC4">
        <f t="shared" ref="AC4:AC67" si="2">AB4/(35*10^6)</f>
        <v>0</v>
      </c>
      <c r="AD4">
        <f t="shared" ref="AD4:AD67" si="3">AC4*100</f>
        <v>0</v>
      </c>
      <c r="AF4" s="25">
        <f>AF3+W4</f>
        <v>56412.506999999991</v>
      </c>
      <c r="AG4" s="113">
        <f t="shared" ref="AG4:AG67" si="4">((AF4)/(35*10^6))</f>
        <v>1.6117859142857141E-3</v>
      </c>
      <c r="AH4">
        <f t="shared" ref="AH4:AH67" si="5">AG4*100</f>
        <v>0.16117859142857141</v>
      </c>
    </row>
    <row r="5" spans="1:34" x14ac:dyDescent="0.3">
      <c r="A5" s="2">
        <v>43831</v>
      </c>
      <c r="B5" s="3">
        <v>34158.847000000002</v>
      </c>
      <c r="C5" s="3">
        <v>1495.8709677419354</v>
      </c>
      <c r="N5" s="3">
        <v>34708.120000000003</v>
      </c>
      <c r="O5" s="3">
        <v>968.09677419354841</v>
      </c>
      <c r="W5" s="25">
        <f t="shared" ref="W4:W67" si="6">B5+E5+H5+K5+N5+Q5+T5</f>
        <v>68866.967000000004</v>
      </c>
      <c r="X5" s="32">
        <f t="shared" si="0"/>
        <v>2463.9677419354839</v>
      </c>
      <c r="Y5">
        <f t="shared" si="1"/>
        <v>2008</v>
      </c>
      <c r="Z5">
        <f t="shared" ref="Z5:Z68" si="7">($Y$3-Y5)/30</f>
        <v>2.0333333333333332</v>
      </c>
      <c r="AB5">
        <f>AB4+AA5</f>
        <v>0</v>
      </c>
      <c r="AC5">
        <f t="shared" si="2"/>
        <v>0</v>
      </c>
      <c r="AD5">
        <f t="shared" si="3"/>
        <v>0</v>
      </c>
      <c r="AF5" s="25">
        <f>AF4+W5</f>
        <v>125279.47399999999</v>
      </c>
      <c r="AG5" s="113">
        <f t="shared" si="4"/>
        <v>3.5794135428571425E-3</v>
      </c>
      <c r="AH5">
        <f t="shared" si="5"/>
        <v>0.35794135428571427</v>
      </c>
    </row>
    <row r="6" spans="1:34" x14ac:dyDescent="0.3">
      <c r="A6" s="2">
        <v>43862</v>
      </c>
      <c r="B6" s="3">
        <v>32855.891000000003</v>
      </c>
      <c r="C6" s="3">
        <v>6075.8275862068967</v>
      </c>
      <c r="E6" s="5">
        <v>6964.4120000000003</v>
      </c>
      <c r="F6" s="5">
        <v>3180.4137931034484</v>
      </c>
      <c r="K6" s="5">
        <v>17195.096000000001</v>
      </c>
      <c r="L6" s="5">
        <v>213.65517241379311</v>
      </c>
      <c r="N6" s="3">
        <v>30075.115000000002</v>
      </c>
      <c r="O6" s="3">
        <v>9194.9655172413786</v>
      </c>
      <c r="W6" s="25">
        <f>B6+E6+H6+K6+N6+Q6+T6</f>
        <v>87090.51400000001</v>
      </c>
      <c r="X6" s="32">
        <f t="shared" si="0"/>
        <v>18664.862068965514</v>
      </c>
      <c r="Y6">
        <f t="shared" si="1"/>
        <v>1977</v>
      </c>
      <c r="Z6">
        <f t="shared" si="7"/>
        <v>3.0666666666666669</v>
      </c>
      <c r="AB6">
        <f t="shared" ref="AB5:AB68" si="8">AB5+AA6</f>
        <v>0</v>
      </c>
      <c r="AC6">
        <f t="shared" si="2"/>
        <v>0</v>
      </c>
      <c r="AD6">
        <f t="shared" si="3"/>
        <v>0</v>
      </c>
      <c r="AF6" s="25">
        <f t="shared" ref="AF5:AF68" si="9">AF5+W6</f>
        <v>212369.98800000001</v>
      </c>
      <c r="AG6" s="113">
        <f t="shared" si="4"/>
        <v>6.0677139428571428E-3</v>
      </c>
      <c r="AH6">
        <f t="shared" si="5"/>
        <v>0.60677139428571425</v>
      </c>
    </row>
    <row r="7" spans="1:34" x14ac:dyDescent="0.3">
      <c r="A7" s="2">
        <v>43891</v>
      </c>
      <c r="B7" s="3">
        <v>38101.913999999997</v>
      </c>
      <c r="C7" s="3">
        <v>9306.322580645161</v>
      </c>
      <c r="E7" s="3">
        <v>31594.366000000002</v>
      </c>
      <c r="F7" s="3">
        <v>16135.193548387097</v>
      </c>
      <c r="K7" s="3">
        <v>30314.215</v>
      </c>
      <c r="L7" s="3">
        <v>396.96774193548384</v>
      </c>
      <c r="N7" s="3">
        <v>34843.927000000003</v>
      </c>
      <c r="O7" s="3">
        <v>12144.645161290322</v>
      </c>
      <c r="W7" s="25">
        <f t="shared" si="6"/>
        <v>134854.42199999999</v>
      </c>
      <c r="X7" s="32">
        <f t="shared" si="0"/>
        <v>37983.129032258061</v>
      </c>
      <c r="Y7">
        <f t="shared" si="1"/>
        <v>1948</v>
      </c>
      <c r="Z7">
        <f t="shared" si="7"/>
        <v>4.0333333333333332</v>
      </c>
      <c r="AB7">
        <f t="shared" si="8"/>
        <v>0</v>
      </c>
      <c r="AC7">
        <f t="shared" si="2"/>
        <v>0</v>
      </c>
      <c r="AD7">
        <f t="shared" si="3"/>
        <v>0</v>
      </c>
      <c r="AF7" s="25">
        <f t="shared" si="9"/>
        <v>347224.41000000003</v>
      </c>
      <c r="AG7" s="113">
        <f t="shared" si="4"/>
        <v>9.9206974285714292E-3</v>
      </c>
      <c r="AH7">
        <f t="shared" si="5"/>
        <v>0.99206974285714289</v>
      </c>
    </row>
    <row r="8" spans="1:34" x14ac:dyDescent="0.3">
      <c r="A8" s="2">
        <v>43922</v>
      </c>
      <c r="B8" s="3">
        <v>36734.659</v>
      </c>
      <c r="C8" s="3">
        <v>9239.7666666666664</v>
      </c>
      <c r="E8" s="3">
        <v>30460.629000000001</v>
      </c>
      <c r="F8" s="3">
        <v>16020.233333333334</v>
      </c>
      <c r="K8" s="3">
        <v>29226.414000000001</v>
      </c>
      <c r="L8" s="3">
        <v>394.1</v>
      </c>
      <c r="N8" s="3">
        <v>33593.584999999999</v>
      </c>
      <c r="O8" s="3">
        <v>12057.7</v>
      </c>
      <c r="W8" s="25">
        <f t="shared" si="6"/>
        <v>130015.28700000001</v>
      </c>
      <c r="X8" s="32">
        <f t="shared" si="0"/>
        <v>37711.800000000003</v>
      </c>
      <c r="Y8">
        <f t="shared" si="1"/>
        <v>1917</v>
      </c>
      <c r="Z8">
        <f t="shared" si="7"/>
        <v>5.0666666666666664</v>
      </c>
      <c r="AB8">
        <f t="shared" si="8"/>
        <v>0</v>
      </c>
      <c r="AC8">
        <f t="shared" si="2"/>
        <v>0</v>
      </c>
      <c r="AD8">
        <f t="shared" si="3"/>
        <v>0</v>
      </c>
      <c r="AF8" s="25">
        <f t="shared" si="9"/>
        <v>477239.69700000004</v>
      </c>
      <c r="AG8" s="113">
        <f t="shared" si="4"/>
        <v>1.3635419914285716E-2</v>
      </c>
      <c r="AH8">
        <f t="shared" si="5"/>
        <v>1.3635419914285716</v>
      </c>
    </row>
    <row r="9" spans="1:34" x14ac:dyDescent="0.3">
      <c r="A9" s="2">
        <v>43952</v>
      </c>
      <c r="B9" s="3">
        <v>36152.794000000002</v>
      </c>
      <c r="C9" s="3">
        <v>10126.064516129032</v>
      </c>
      <c r="E9" s="3">
        <v>38538.296000000002</v>
      </c>
      <c r="F9" s="3">
        <v>12978.322580645161</v>
      </c>
      <c r="K9" s="3">
        <v>27887.142</v>
      </c>
      <c r="L9" s="3">
        <v>4441.2903225806449</v>
      </c>
      <c r="N9" s="3">
        <v>35444.567000000003</v>
      </c>
      <c r="O9" s="3">
        <v>11446.903225806451</v>
      </c>
      <c r="W9" s="25">
        <f t="shared" si="6"/>
        <v>138022.799</v>
      </c>
      <c r="X9" s="32">
        <f t="shared" si="0"/>
        <v>38992.580645161288</v>
      </c>
      <c r="Y9">
        <f t="shared" si="1"/>
        <v>1887</v>
      </c>
      <c r="Z9">
        <f t="shared" si="7"/>
        <v>6.0666666666666664</v>
      </c>
      <c r="AB9">
        <f t="shared" si="8"/>
        <v>0</v>
      </c>
      <c r="AC9">
        <f t="shared" si="2"/>
        <v>0</v>
      </c>
      <c r="AD9">
        <f t="shared" si="3"/>
        <v>0</v>
      </c>
      <c r="AF9" s="25">
        <f t="shared" si="9"/>
        <v>615262.49600000004</v>
      </c>
      <c r="AG9" s="113">
        <f t="shared" si="4"/>
        <v>1.7578928457142859E-2</v>
      </c>
      <c r="AH9">
        <f t="shared" si="5"/>
        <v>1.7578928457142859</v>
      </c>
    </row>
    <row r="10" spans="1:34" x14ac:dyDescent="0.3">
      <c r="A10" s="2">
        <v>43983</v>
      </c>
      <c r="B10" s="3">
        <v>34487.737999999998</v>
      </c>
      <c r="C10" s="3">
        <v>10464.6</v>
      </c>
      <c r="E10" s="3">
        <v>43318.690999999999</v>
      </c>
      <c r="F10" s="3">
        <v>10243.9</v>
      </c>
      <c r="K10" s="3">
        <v>25486.512999999999</v>
      </c>
      <c r="L10" s="3">
        <v>9289.8666666666668</v>
      </c>
      <c r="N10" s="3">
        <v>35553.067000000003</v>
      </c>
      <c r="O10" s="3">
        <v>10563.033333333333</v>
      </c>
      <c r="W10" s="25">
        <f t="shared" si="6"/>
        <v>138846.00900000002</v>
      </c>
      <c r="X10" s="32">
        <f t="shared" si="0"/>
        <v>40561.4</v>
      </c>
      <c r="Y10">
        <f t="shared" si="1"/>
        <v>1856</v>
      </c>
      <c r="Z10">
        <f t="shared" si="7"/>
        <v>7.1</v>
      </c>
      <c r="AB10">
        <f t="shared" si="8"/>
        <v>0</v>
      </c>
      <c r="AC10">
        <f t="shared" si="2"/>
        <v>0</v>
      </c>
      <c r="AD10">
        <f t="shared" si="3"/>
        <v>0</v>
      </c>
      <c r="AF10" s="25">
        <f t="shared" si="9"/>
        <v>754108.50500000012</v>
      </c>
      <c r="AG10" s="113">
        <f t="shared" si="4"/>
        <v>2.154595728571429E-2</v>
      </c>
      <c r="AH10">
        <f t="shared" si="5"/>
        <v>2.154595728571429</v>
      </c>
    </row>
    <row r="11" spans="1:34" x14ac:dyDescent="0.3">
      <c r="A11" s="2">
        <v>44013</v>
      </c>
      <c r="B11" s="3">
        <v>34302.982616819398</v>
      </c>
      <c r="C11" s="3">
        <v>9210.3870967741932</v>
      </c>
      <c r="E11" s="3">
        <v>42852.655683565201</v>
      </c>
      <c r="F11" s="3">
        <v>9152.4193548387102</v>
      </c>
      <c r="K11" s="3">
        <v>18957.063823328397</v>
      </c>
      <c r="L11" s="3">
        <v>9094.2258064516136</v>
      </c>
      <c r="N11" s="3">
        <v>35132.965327712998</v>
      </c>
      <c r="O11" s="3">
        <v>9129.0967741935492</v>
      </c>
      <c r="W11" s="25">
        <f t="shared" si="6"/>
        <v>131245.66745142598</v>
      </c>
      <c r="X11" s="32">
        <f t="shared" si="0"/>
        <v>36586.129032258061</v>
      </c>
      <c r="Y11">
        <f t="shared" si="1"/>
        <v>1826</v>
      </c>
      <c r="Z11">
        <f t="shared" si="7"/>
        <v>8.1</v>
      </c>
      <c r="AB11">
        <f t="shared" si="8"/>
        <v>0</v>
      </c>
      <c r="AC11">
        <f t="shared" si="2"/>
        <v>0</v>
      </c>
      <c r="AD11">
        <f t="shared" si="3"/>
        <v>0</v>
      </c>
      <c r="AF11" s="25">
        <f t="shared" si="9"/>
        <v>885354.17245142604</v>
      </c>
      <c r="AG11" s="113">
        <f t="shared" si="4"/>
        <v>2.5295833498612173E-2</v>
      </c>
      <c r="AH11">
        <f t="shared" si="5"/>
        <v>2.5295833498612175</v>
      </c>
    </row>
    <row r="12" spans="1:34" x14ac:dyDescent="0.3">
      <c r="A12" s="2">
        <v>44044</v>
      </c>
      <c r="B12" s="3">
        <v>35767.324999999997</v>
      </c>
      <c r="C12" s="3">
        <v>9746.7096774193542</v>
      </c>
      <c r="E12" s="3">
        <v>44358.150999999998</v>
      </c>
      <c r="F12" s="3">
        <v>9694.8387096774186</v>
      </c>
      <c r="K12" s="3">
        <v>15832.148999999999</v>
      </c>
      <c r="L12" s="3">
        <v>9708.645161290322</v>
      </c>
      <c r="N12" s="3">
        <v>36477.771999999997</v>
      </c>
      <c r="O12" s="3">
        <v>9626.7419354838712</v>
      </c>
      <c r="W12" s="25">
        <f t="shared" si="6"/>
        <v>132435.397</v>
      </c>
      <c r="X12" s="32">
        <f t="shared" si="0"/>
        <v>38776.93548387097</v>
      </c>
      <c r="Y12">
        <f t="shared" si="1"/>
        <v>1795</v>
      </c>
      <c r="Z12">
        <f t="shared" si="7"/>
        <v>9.1333333333333329</v>
      </c>
      <c r="AB12">
        <f t="shared" si="8"/>
        <v>0</v>
      </c>
      <c r="AC12">
        <f t="shared" si="2"/>
        <v>0</v>
      </c>
      <c r="AD12">
        <f t="shared" si="3"/>
        <v>0</v>
      </c>
      <c r="AF12" s="25">
        <f t="shared" si="9"/>
        <v>1017789.569451426</v>
      </c>
      <c r="AG12" s="113">
        <f t="shared" si="4"/>
        <v>2.9079701984326457E-2</v>
      </c>
      <c r="AH12">
        <f t="shared" si="5"/>
        <v>2.9079701984326456</v>
      </c>
    </row>
    <row r="13" spans="1:34" x14ac:dyDescent="0.3">
      <c r="A13" s="2">
        <v>44075</v>
      </c>
      <c r="B13" s="3">
        <v>33228.538999999997</v>
      </c>
      <c r="C13" s="3">
        <v>9712.3333333333339</v>
      </c>
      <c r="E13" s="3">
        <v>40721.800999999999</v>
      </c>
      <c r="F13" s="3">
        <v>9660.7333333333336</v>
      </c>
      <c r="K13" s="3">
        <v>9811.8459999999995</v>
      </c>
      <c r="L13" s="3">
        <v>9674.7999999999993</v>
      </c>
      <c r="N13" s="3">
        <v>32314.04</v>
      </c>
      <c r="O13" s="3">
        <v>9592.7666666666664</v>
      </c>
      <c r="W13" s="25">
        <f t="shared" si="6"/>
        <v>116076.226</v>
      </c>
      <c r="X13" s="32">
        <f t="shared" si="0"/>
        <v>38640.633333333331</v>
      </c>
      <c r="Y13">
        <f t="shared" si="1"/>
        <v>1764</v>
      </c>
      <c r="Z13">
        <f t="shared" si="7"/>
        <v>10.166666666666666</v>
      </c>
      <c r="AB13">
        <f t="shared" si="8"/>
        <v>0</v>
      </c>
      <c r="AC13">
        <f t="shared" si="2"/>
        <v>0</v>
      </c>
      <c r="AD13">
        <f t="shared" si="3"/>
        <v>0</v>
      </c>
      <c r="AF13" s="25">
        <f t="shared" si="9"/>
        <v>1133865.7954514259</v>
      </c>
      <c r="AG13" s="113">
        <f t="shared" si="4"/>
        <v>3.2396165584326453E-2</v>
      </c>
      <c r="AH13">
        <f t="shared" si="5"/>
        <v>3.2396165584326453</v>
      </c>
    </row>
    <row r="14" spans="1:34" x14ac:dyDescent="0.3">
      <c r="A14" s="2">
        <v>44105</v>
      </c>
      <c r="B14" s="3">
        <v>30783.079000000002</v>
      </c>
      <c r="C14" s="3">
        <v>9999.4838709677424</v>
      </c>
      <c r="E14" s="3">
        <v>37724.870999999999</v>
      </c>
      <c r="F14" s="3">
        <v>9946.322580645161</v>
      </c>
      <c r="K14" s="3">
        <v>9089.7420000000002</v>
      </c>
      <c r="L14" s="3">
        <v>9960.7741935483864</v>
      </c>
      <c r="N14" s="3">
        <v>29935.887999999999</v>
      </c>
      <c r="O14" s="3">
        <v>9876.354838709678</v>
      </c>
      <c r="W14" s="25">
        <f t="shared" si="6"/>
        <v>107533.57999999999</v>
      </c>
      <c r="X14" s="32">
        <f t="shared" si="0"/>
        <v>39782.93548387097</v>
      </c>
      <c r="Y14">
        <f t="shared" si="1"/>
        <v>1734</v>
      </c>
      <c r="Z14">
        <f t="shared" si="7"/>
        <v>11.166666666666666</v>
      </c>
      <c r="AB14">
        <f t="shared" si="8"/>
        <v>0</v>
      </c>
      <c r="AC14">
        <f t="shared" si="2"/>
        <v>0</v>
      </c>
      <c r="AD14">
        <f t="shared" si="3"/>
        <v>0</v>
      </c>
      <c r="AF14" s="25">
        <f t="shared" si="9"/>
        <v>1241399.375451426</v>
      </c>
      <c r="AG14" s="113">
        <f t="shared" si="4"/>
        <v>3.5468553584326455E-2</v>
      </c>
      <c r="AH14">
        <f t="shared" si="5"/>
        <v>3.5468553584326457</v>
      </c>
    </row>
    <row r="15" spans="1:34" x14ac:dyDescent="0.3">
      <c r="A15" s="2">
        <v>44136</v>
      </c>
      <c r="B15" s="3">
        <v>29597.077000000001</v>
      </c>
      <c r="C15" s="3">
        <v>10940.466666666667</v>
      </c>
      <c r="E15" s="3">
        <v>38611.614000000001</v>
      </c>
      <c r="F15" s="3">
        <v>10882.533333333333</v>
      </c>
      <c r="K15" s="3">
        <v>7222.982</v>
      </c>
      <c r="L15" s="3">
        <v>10897.766666666666</v>
      </c>
      <c r="N15" s="3">
        <v>31034.786</v>
      </c>
      <c r="O15" s="3">
        <v>10806.066666666668</v>
      </c>
      <c r="W15" s="25">
        <f t="shared" si="6"/>
        <v>106466.459</v>
      </c>
      <c r="X15" s="32">
        <f t="shared" si="0"/>
        <v>43526.833333333336</v>
      </c>
      <c r="Y15">
        <f t="shared" si="1"/>
        <v>1703</v>
      </c>
      <c r="Z15">
        <f t="shared" si="7"/>
        <v>12.2</v>
      </c>
      <c r="AB15">
        <f t="shared" si="8"/>
        <v>0</v>
      </c>
      <c r="AC15">
        <f t="shared" si="2"/>
        <v>0</v>
      </c>
      <c r="AD15">
        <f t="shared" si="3"/>
        <v>0</v>
      </c>
      <c r="AF15" s="25">
        <f t="shared" si="9"/>
        <v>1347865.8344514261</v>
      </c>
      <c r="AG15" s="113">
        <f t="shared" si="4"/>
        <v>3.851045241289789E-2</v>
      </c>
      <c r="AH15">
        <f t="shared" si="5"/>
        <v>3.8510452412897891</v>
      </c>
    </row>
    <row r="16" spans="1:34" x14ac:dyDescent="0.3">
      <c r="A16" s="2">
        <v>44166</v>
      </c>
      <c r="B16" s="3">
        <v>28657.703000000001</v>
      </c>
      <c r="C16" s="3">
        <v>7149.4193548387093</v>
      </c>
      <c r="E16" s="3">
        <v>26772.396000000001</v>
      </c>
      <c r="F16" s="3">
        <v>6425.4193548387093</v>
      </c>
      <c r="K16" s="3">
        <v>6359.9390000000003</v>
      </c>
      <c r="L16" s="3">
        <v>7396.8387096774195</v>
      </c>
      <c r="N16" s="3">
        <v>30925.904999999999</v>
      </c>
      <c r="O16" s="3">
        <v>7506.4193548387093</v>
      </c>
      <c r="W16" s="25">
        <f t="shared" si="6"/>
        <v>92715.942999999999</v>
      </c>
      <c r="X16" s="32">
        <f t="shared" si="0"/>
        <v>28478.096774193546</v>
      </c>
      <c r="Y16">
        <f t="shared" si="1"/>
        <v>1673</v>
      </c>
      <c r="Z16">
        <f t="shared" si="7"/>
        <v>13.2</v>
      </c>
      <c r="AB16">
        <f t="shared" si="8"/>
        <v>0</v>
      </c>
      <c r="AC16">
        <f t="shared" si="2"/>
        <v>0</v>
      </c>
      <c r="AD16">
        <f t="shared" si="3"/>
        <v>0</v>
      </c>
      <c r="AF16" s="25">
        <f t="shared" si="9"/>
        <v>1440581.777451426</v>
      </c>
      <c r="AG16" s="113">
        <f t="shared" si="4"/>
        <v>4.1159479355755028E-2</v>
      </c>
      <c r="AH16">
        <f t="shared" si="5"/>
        <v>4.1159479355755026</v>
      </c>
    </row>
    <row r="17" spans="1:34" x14ac:dyDescent="0.3">
      <c r="A17" s="2">
        <v>44197</v>
      </c>
      <c r="B17" s="3">
        <v>31356.208999999999</v>
      </c>
      <c r="C17" s="3">
        <v>7554.2258064516127</v>
      </c>
      <c r="E17" s="58">
        <v>7583.1019999999999</v>
      </c>
      <c r="F17" s="3">
        <v>3963.0967741935483</v>
      </c>
      <c r="K17" s="3">
        <v>6498.6880000000001</v>
      </c>
      <c r="L17" s="3">
        <v>7845.5483870967746</v>
      </c>
      <c r="N17" s="3">
        <v>35661.656000000003</v>
      </c>
      <c r="O17" s="3">
        <v>8816.7741935483864</v>
      </c>
      <c r="W17" s="25">
        <f t="shared" si="6"/>
        <v>81099.654999999999</v>
      </c>
      <c r="X17" s="32">
        <f t="shared" si="0"/>
        <v>28179.645161290322</v>
      </c>
      <c r="Y17">
        <f t="shared" si="1"/>
        <v>1642</v>
      </c>
      <c r="Z17">
        <f t="shared" si="7"/>
        <v>14.233333333333333</v>
      </c>
      <c r="AB17">
        <f t="shared" si="8"/>
        <v>0</v>
      </c>
      <c r="AC17">
        <f t="shared" si="2"/>
        <v>0</v>
      </c>
      <c r="AD17">
        <f t="shared" si="3"/>
        <v>0</v>
      </c>
      <c r="AF17" s="25">
        <f t="shared" si="9"/>
        <v>1521681.4324514261</v>
      </c>
      <c r="AG17" s="113">
        <f t="shared" si="4"/>
        <v>4.3476612355755027E-2</v>
      </c>
      <c r="AH17">
        <f t="shared" si="5"/>
        <v>4.3476612355755027</v>
      </c>
    </row>
    <row r="18" spans="1:34" x14ac:dyDescent="0.3">
      <c r="A18" s="2">
        <v>44228</v>
      </c>
      <c r="B18" s="3">
        <v>27755.112000000001</v>
      </c>
      <c r="C18" s="3">
        <v>8410.8571428571431</v>
      </c>
      <c r="E18" s="58">
        <v>2549.6689999999999</v>
      </c>
      <c r="F18" s="3">
        <v>1745.8928571428571</v>
      </c>
      <c r="K18" s="3">
        <v>5316.4170000000004</v>
      </c>
      <c r="L18" s="3">
        <v>8735.1428571428569</v>
      </c>
      <c r="N18" s="3">
        <v>29400.246999999999</v>
      </c>
      <c r="O18" s="3">
        <v>9817.0714285714294</v>
      </c>
      <c r="W18" s="25">
        <f t="shared" si="6"/>
        <v>65021.445000000007</v>
      </c>
      <c r="X18" s="32">
        <f t="shared" si="0"/>
        <v>28708.964285714283</v>
      </c>
      <c r="Y18">
        <f t="shared" si="1"/>
        <v>1611</v>
      </c>
      <c r="Z18">
        <f t="shared" si="7"/>
        <v>15.266666666666667</v>
      </c>
      <c r="AB18">
        <f t="shared" si="8"/>
        <v>0</v>
      </c>
      <c r="AC18">
        <f t="shared" si="2"/>
        <v>0</v>
      </c>
      <c r="AD18">
        <f t="shared" si="3"/>
        <v>0</v>
      </c>
      <c r="AF18" s="25">
        <f t="shared" si="9"/>
        <v>1586702.8774514261</v>
      </c>
      <c r="AG18" s="113">
        <f t="shared" si="4"/>
        <v>4.5334367927183601E-2</v>
      </c>
      <c r="AH18">
        <f t="shared" si="5"/>
        <v>4.5334367927183603</v>
      </c>
    </row>
    <row r="19" spans="1:34" x14ac:dyDescent="0.3">
      <c r="A19" s="2">
        <v>44256</v>
      </c>
      <c r="B19" s="3">
        <v>28688.87</v>
      </c>
      <c r="C19" s="3">
        <v>6668.1935483870966</v>
      </c>
      <c r="E19" s="3">
        <v>38246.894</v>
      </c>
      <c r="F19" s="3">
        <v>4431.9677419354839</v>
      </c>
      <c r="H19" s="5">
        <v>15780.215</v>
      </c>
      <c r="I19" s="25">
        <v>3250.2903225806454</v>
      </c>
      <c r="K19" s="3">
        <v>1683.5809999999999</v>
      </c>
      <c r="L19" s="3">
        <v>2207.9354838709678</v>
      </c>
      <c r="N19" s="3">
        <v>29579.597000000002</v>
      </c>
      <c r="O19" s="3">
        <v>8344.7096774193542</v>
      </c>
      <c r="W19" s="25">
        <f t="shared" si="6"/>
        <v>113979.15700000001</v>
      </c>
      <c r="X19" s="32">
        <f t="shared" si="0"/>
        <v>24903.096774193546</v>
      </c>
      <c r="Y19">
        <f t="shared" si="1"/>
        <v>1583</v>
      </c>
      <c r="Z19">
        <f t="shared" si="7"/>
        <v>16.2</v>
      </c>
      <c r="AB19">
        <f t="shared" si="8"/>
        <v>0</v>
      </c>
      <c r="AC19">
        <f t="shared" si="2"/>
        <v>0</v>
      </c>
      <c r="AD19">
        <f t="shared" si="3"/>
        <v>0</v>
      </c>
      <c r="AF19" s="25">
        <f t="shared" si="9"/>
        <v>1700682.034451426</v>
      </c>
      <c r="AG19" s="113">
        <f t="shared" si="4"/>
        <v>4.8590915270040745E-2</v>
      </c>
      <c r="AH19">
        <f t="shared" si="5"/>
        <v>4.8590915270040744</v>
      </c>
    </row>
    <row r="20" spans="1:34" x14ac:dyDescent="0.3">
      <c r="A20" s="2">
        <v>44287</v>
      </c>
      <c r="B20" s="58">
        <v>1032.6189999999999</v>
      </c>
      <c r="C20" s="3">
        <v>237.53333333333333</v>
      </c>
      <c r="E20" s="3">
        <v>40242.909</v>
      </c>
      <c r="F20" s="3">
        <v>4577.2</v>
      </c>
      <c r="H20" s="3">
        <v>27765.237000000001</v>
      </c>
      <c r="I20" s="25">
        <v>5190.5666666666666</v>
      </c>
      <c r="K20" s="3">
        <v>0</v>
      </c>
      <c r="L20" s="3">
        <v>0</v>
      </c>
      <c r="N20" s="3">
        <v>31057.064999999999</v>
      </c>
      <c r="O20" s="3">
        <v>9129.8333333333339</v>
      </c>
      <c r="W20" s="25">
        <f t="shared" si="6"/>
        <v>100097.83</v>
      </c>
      <c r="X20" s="32">
        <f t="shared" si="0"/>
        <v>19135.133333333331</v>
      </c>
      <c r="Y20">
        <f t="shared" si="1"/>
        <v>1552</v>
      </c>
      <c r="Z20">
        <f t="shared" si="7"/>
        <v>17.233333333333334</v>
      </c>
      <c r="AB20">
        <f t="shared" si="8"/>
        <v>0</v>
      </c>
      <c r="AC20">
        <f t="shared" si="2"/>
        <v>0</v>
      </c>
      <c r="AD20">
        <f t="shared" si="3"/>
        <v>0</v>
      </c>
      <c r="AF20" s="25">
        <f t="shared" si="9"/>
        <v>1800779.8644514261</v>
      </c>
      <c r="AG20" s="113">
        <f t="shared" si="4"/>
        <v>5.1450853270040744E-2</v>
      </c>
      <c r="AH20">
        <f t="shared" si="5"/>
        <v>5.1450853270040744</v>
      </c>
    </row>
    <row r="21" spans="1:34" x14ac:dyDescent="0.3">
      <c r="A21" s="2">
        <v>44317</v>
      </c>
      <c r="B21" s="3">
        <v>29092.686000000002</v>
      </c>
      <c r="C21" s="3">
        <v>8778.1612903225814</v>
      </c>
      <c r="E21" s="3">
        <v>40626.767</v>
      </c>
      <c r="F21" s="3">
        <v>4430.9677419354839</v>
      </c>
      <c r="H21" s="3">
        <v>28641.342000000001</v>
      </c>
      <c r="I21" s="25">
        <v>5241.3870967741932</v>
      </c>
      <c r="K21" s="3">
        <v>0</v>
      </c>
      <c r="L21" s="3">
        <v>0</v>
      </c>
      <c r="N21" s="3">
        <v>26247.487000000001</v>
      </c>
      <c r="O21" s="3">
        <v>7968.0322580645161</v>
      </c>
      <c r="W21" s="25">
        <f t="shared" si="6"/>
        <v>124608.28200000001</v>
      </c>
      <c r="X21" s="32">
        <f t="shared" si="0"/>
        <v>26418.548387096773</v>
      </c>
      <c r="Y21">
        <f t="shared" si="1"/>
        <v>1522</v>
      </c>
      <c r="Z21">
        <f t="shared" si="7"/>
        <v>18.233333333333334</v>
      </c>
      <c r="AB21">
        <f t="shared" si="8"/>
        <v>0</v>
      </c>
      <c r="AC21">
        <f t="shared" si="2"/>
        <v>0</v>
      </c>
      <c r="AD21">
        <f t="shared" si="3"/>
        <v>0</v>
      </c>
      <c r="AF21" s="25">
        <f t="shared" si="9"/>
        <v>1925388.1464514262</v>
      </c>
      <c r="AG21" s="113">
        <f t="shared" si="4"/>
        <v>5.5011089898612177E-2</v>
      </c>
      <c r="AH21">
        <f t="shared" si="5"/>
        <v>5.5011089898612173</v>
      </c>
    </row>
    <row r="22" spans="1:34" x14ac:dyDescent="0.3">
      <c r="A22" s="2">
        <v>44348</v>
      </c>
      <c r="B22" s="3">
        <v>29135.82</v>
      </c>
      <c r="C22" s="3">
        <v>9532.6333333333332</v>
      </c>
      <c r="E22" s="3">
        <v>40964.671999999999</v>
      </c>
      <c r="F22" s="3">
        <v>4761.2666666666664</v>
      </c>
      <c r="H22" s="3">
        <v>28899.748</v>
      </c>
      <c r="I22" s="25">
        <v>5639.7333333333336</v>
      </c>
      <c r="K22" s="3">
        <v>0</v>
      </c>
      <c r="L22" s="3">
        <v>0</v>
      </c>
      <c r="N22" s="3">
        <v>26099.837</v>
      </c>
      <c r="O22" s="3">
        <v>8490.2999999999993</v>
      </c>
      <c r="W22" s="25">
        <f t="shared" si="6"/>
        <v>125100.07699999999</v>
      </c>
      <c r="X22" s="32">
        <f t="shared" si="0"/>
        <v>28423.933333333331</v>
      </c>
      <c r="Y22">
        <f t="shared" si="1"/>
        <v>1491</v>
      </c>
      <c r="Z22">
        <f t="shared" si="7"/>
        <v>19.266666666666666</v>
      </c>
      <c r="AB22">
        <f t="shared" si="8"/>
        <v>0</v>
      </c>
      <c r="AC22">
        <f t="shared" si="2"/>
        <v>0</v>
      </c>
      <c r="AD22">
        <f t="shared" si="3"/>
        <v>0</v>
      </c>
      <c r="AF22" s="25">
        <f t="shared" si="9"/>
        <v>2050488.2234514263</v>
      </c>
      <c r="AG22" s="113">
        <f t="shared" si="4"/>
        <v>5.8585377812897896E-2</v>
      </c>
      <c r="AH22">
        <f t="shared" si="5"/>
        <v>5.8585377812897894</v>
      </c>
    </row>
    <row r="23" spans="1:34" x14ac:dyDescent="0.3">
      <c r="A23" s="2">
        <v>44378</v>
      </c>
      <c r="B23" s="3">
        <v>28882.33</v>
      </c>
      <c r="C23" s="3">
        <v>9465.1612903225814</v>
      </c>
      <c r="E23" s="3">
        <v>40608.267</v>
      </c>
      <c r="F23" s="3">
        <v>4727.677419354839</v>
      </c>
      <c r="H23" s="3">
        <v>28648.315999999999</v>
      </c>
      <c r="I23" s="25">
        <v>5600.0322580645161</v>
      </c>
      <c r="K23" s="3">
        <v>0</v>
      </c>
      <c r="L23" s="3">
        <v>0</v>
      </c>
      <c r="N23" s="3">
        <v>25872.762999999999</v>
      </c>
      <c r="O23" s="3">
        <v>8430.8709677419356</v>
      </c>
      <c r="W23" s="25">
        <f t="shared" si="6"/>
        <v>124011.67600000001</v>
      </c>
      <c r="X23" s="32">
        <f t="shared" si="0"/>
        <v>28223.741935483871</v>
      </c>
      <c r="Y23">
        <f t="shared" si="1"/>
        <v>1461</v>
      </c>
      <c r="Z23">
        <f t="shared" si="7"/>
        <v>20.266666666666666</v>
      </c>
      <c r="AB23">
        <f t="shared" si="8"/>
        <v>0</v>
      </c>
      <c r="AC23">
        <f t="shared" si="2"/>
        <v>0</v>
      </c>
      <c r="AD23">
        <f t="shared" si="3"/>
        <v>0</v>
      </c>
      <c r="AF23" s="25">
        <f t="shared" si="9"/>
        <v>2174499.8994514262</v>
      </c>
      <c r="AG23" s="113">
        <f t="shared" si="4"/>
        <v>6.2128568555755034E-2</v>
      </c>
      <c r="AH23">
        <f t="shared" si="5"/>
        <v>6.2128568555755033</v>
      </c>
    </row>
    <row r="24" spans="1:34" x14ac:dyDescent="0.3">
      <c r="A24" s="2">
        <v>44409</v>
      </c>
      <c r="B24" s="3">
        <v>28749.013999999999</v>
      </c>
      <c r="C24" s="3">
        <v>9499.7419354838712</v>
      </c>
      <c r="E24" s="3">
        <v>41389.373</v>
      </c>
      <c r="F24" s="3">
        <v>4836.9677419354839</v>
      </c>
      <c r="H24" s="3">
        <v>29304.605</v>
      </c>
      <c r="I24" s="25">
        <v>5634.2903225806449</v>
      </c>
      <c r="K24" s="3">
        <v>0</v>
      </c>
      <c r="L24" s="3">
        <v>0</v>
      </c>
      <c r="N24" s="3">
        <v>26938.2</v>
      </c>
      <c r="O24" s="3">
        <v>8689.1612903225814</v>
      </c>
      <c r="W24" s="25">
        <f t="shared" si="6"/>
        <v>126381.192</v>
      </c>
      <c r="X24" s="32">
        <f t="shared" si="0"/>
        <v>28660.161290322583</v>
      </c>
      <c r="Y24">
        <f t="shared" si="1"/>
        <v>1430</v>
      </c>
      <c r="Z24">
        <f t="shared" si="7"/>
        <v>21.3</v>
      </c>
      <c r="AB24">
        <f t="shared" si="8"/>
        <v>0</v>
      </c>
      <c r="AC24">
        <f t="shared" si="2"/>
        <v>0</v>
      </c>
      <c r="AD24">
        <f t="shared" si="3"/>
        <v>0</v>
      </c>
      <c r="AF24" s="25">
        <f t="shared" si="9"/>
        <v>2300881.091451426</v>
      </c>
      <c r="AG24" s="113">
        <f t="shared" si="4"/>
        <v>6.5739459755755028E-2</v>
      </c>
      <c r="AH24">
        <f t="shared" si="5"/>
        <v>6.5739459755755032</v>
      </c>
    </row>
    <row r="25" spans="1:34" x14ac:dyDescent="0.3">
      <c r="A25" s="2">
        <v>44440</v>
      </c>
      <c r="B25" s="3">
        <v>27207.031999999999</v>
      </c>
      <c r="C25" s="3">
        <v>9467.6666666666661</v>
      </c>
      <c r="E25" s="3">
        <v>39400.175999999999</v>
      </c>
      <c r="F25" s="3">
        <v>4842.8666666666668</v>
      </c>
      <c r="H25" s="3">
        <v>27734.237000000001</v>
      </c>
      <c r="I25" s="25">
        <v>5586.4</v>
      </c>
      <c r="K25" s="3">
        <v>0</v>
      </c>
      <c r="L25" s="3">
        <v>0</v>
      </c>
      <c r="N25" s="3">
        <v>25653.666000000001</v>
      </c>
      <c r="O25" s="3">
        <v>8671.9666666666672</v>
      </c>
      <c r="W25" s="25">
        <f t="shared" si="6"/>
        <v>119995.111</v>
      </c>
      <c r="X25" s="32">
        <f t="shared" si="0"/>
        <v>28568.9</v>
      </c>
      <c r="Y25">
        <f t="shared" si="1"/>
        <v>1399</v>
      </c>
      <c r="Z25">
        <f t="shared" si="7"/>
        <v>22.333333333333332</v>
      </c>
      <c r="AB25">
        <f t="shared" si="8"/>
        <v>0</v>
      </c>
      <c r="AC25">
        <f t="shared" si="2"/>
        <v>0</v>
      </c>
      <c r="AD25">
        <f t="shared" si="3"/>
        <v>0</v>
      </c>
      <c r="AF25" s="25">
        <f t="shared" si="9"/>
        <v>2420876.2024514261</v>
      </c>
      <c r="AG25" s="113">
        <f t="shared" si="4"/>
        <v>6.9167891498612175E-2</v>
      </c>
      <c r="AH25">
        <f t="shared" si="5"/>
        <v>6.9167891498612173</v>
      </c>
    </row>
    <row r="26" spans="1:34" x14ac:dyDescent="0.3">
      <c r="A26" s="2">
        <v>44470</v>
      </c>
      <c r="B26" s="3">
        <v>25996.170999999998</v>
      </c>
      <c r="C26" s="3">
        <v>10185.774193548386</v>
      </c>
      <c r="E26" s="3">
        <v>40527.324999999997</v>
      </c>
      <c r="F26" s="3">
        <v>5087.6451612903229</v>
      </c>
      <c r="H26" s="3">
        <v>28120.734</v>
      </c>
      <c r="I26" s="25">
        <v>6026.1290322580644</v>
      </c>
      <c r="K26" s="3">
        <v>0</v>
      </c>
      <c r="L26" s="3">
        <v>0</v>
      </c>
      <c r="N26" s="3">
        <v>25514.120999999999</v>
      </c>
      <c r="O26" s="3">
        <v>9072.5806451612898</v>
      </c>
      <c r="W26" s="25">
        <f t="shared" si="6"/>
        <v>120158.351</v>
      </c>
      <c r="X26" s="32">
        <f t="shared" si="0"/>
        <v>30372.129032258061</v>
      </c>
      <c r="Y26">
        <f t="shared" si="1"/>
        <v>1369</v>
      </c>
      <c r="Z26">
        <f t="shared" si="7"/>
        <v>23.333333333333332</v>
      </c>
      <c r="AB26">
        <f t="shared" si="8"/>
        <v>0</v>
      </c>
      <c r="AC26">
        <f t="shared" si="2"/>
        <v>0</v>
      </c>
      <c r="AD26">
        <f t="shared" si="3"/>
        <v>0</v>
      </c>
      <c r="AF26" s="25">
        <f t="shared" si="9"/>
        <v>2541034.5534514259</v>
      </c>
      <c r="AG26" s="113">
        <f t="shared" si="4"/>
        <v>7.2600987241469309E-2</v>
      </c>
      <c r="AH26">
        <f t="shared" si="5"/>
        <v>7.260098724146931</v>
      </c>
    </row>
    <row r="27" spans="1:34" x14ac:dyDescent="0.3">
      <c r="A27" s="2">
        <v>44501</v>
      </c>
      <c r="B27" s="3">
        <v>25775.866000000002</v>
      </c>
      <c r="C27" s="3">
        <v>7302.6333333333332</v>
      </c>
      <c r="E27" s="3">
        <v>40359.733999999997</v>
      </c>
      <c r="F27" s="3">
        <v>4611.3999999999996</v>
      </c>
      <c r="H27" s="3">
        <v>28040.663</v>
      </c>
      <c r="I27" s="25">
        <v>5462.2666666666664</v>
      </c>
      <c r="K27" s="3">
        <v>0</v>
      </c>
      <c r="L27" s="3">
        <v>0</v>
      </c>
      <c r="N27" s="3">
        <v>25307.219000000001</v>
      </c>
      <c r="O27" s="3">
        <v>7611.8</v>
      </c>
      <c r="W27" s="25">
        <f t="shared" si="6"/>
        <v>119483.482</v>
      </c>
      <c r="X27" s="32">
        <f t="shared" si="0"/>
        <v>24988.1</v>
      </c>
      <c r="Y27">
        <f t="shared" si="1"/>
        <v>1338</v>
      </c>
      <c r="Z27">
        <f t="shared" si="7"/>
        <v>24.366666666666667</v>
      </c>
      <c r="AB27">
        <f t="shared" si="8"/>
        <v>0</v>
      </c>
      <c r="AC27">
        <f t="shared" si="2"/>
        <v>0</v>
      </c>
      <c r="AD27">
        <f t="shared" si="3"/>
        <v>0</v>
      </c>
      <c r="AF27" s="25">
        <f t="shared" si="9"/>
        <v>2660518.0354514257</v>
      </c>
      <c r="AG27" s="113">
        <f t="shared" si="4"/>
        <v>7.6014801012897884E-2</v>
      </c>
      <c r="AH27">
        <f t="shared" si="5"/>
        <v>7.6014801012897886</v>
      </c>
    </row>
    <row r="28" spans="1:34" x14ac:dyDescent="0.3">
      <c r="A28" s="2">
        <v>44531</v>
      </c>
      <c r="B28" s="3">
        <v>26567.91</v>
      </c>
      <c r="C28" s="3">
        <v>6563.7096774193551</v>
      </c>
      <c r="E28" s="3">
        <v>41588.97</v>
      </c>
      <c r="F28" s="3">
        <v>4761.4193548387093</v>
      </c>
      <c r="H28" s="3">
        <v>28660.763999999999</v>
      </c>
      <c r="I28" s="25">
        <v>5636.4193548387093</v>
      </c>
      <c r="K28" s="3">
        <v>0</v>
      </c>
      <c r="L28" s="3">
        <v>0</v>
      </c>
      <c r="N28" s="3">
        <v>25417.873</v>
      </c>
      <c r="O28" s="3">
        <v>7512.5161290322585</v>
      </c>
      <c r="W28" s="25">
        <f t="shared" si="6"/>
        <v>122235.51699999999</v>
      </c>
      <c r="X28" s="32">
        <f t="shared" si="0"/>
        <v>24474.06451612903</v>
      </c>
      <c r="Y28">
        <f t="shared" si="1"/>
        <v>1308</v>
      </c>
      <c r="Z28">
        <f t="shared" si="7"/>
        <v>25.366666666666667</v>
      </c>
      <c r="AB28">
        <f t="shared" si="8"/>
        <v>0</v>
      </c>
      <c r="AC28">
        <f t="shared" si="2"/>
        <v>0</v>
      </c>
      <c r="AD28">
        <f t="shared" si="3"/>
        <v>0</v>
      </c>
      <c r="AF28" s="25">
        <f t="shared" si="9"/>
        <v>2782753.5524514257</v>
      </c>
      <c r="AG28" s="113">
        <f t="shared" si="4"/>
        <v>7.9507244355755013E-2</v>
      </c>
      <c r="AH28">
        <f t="shared" si="5"/>
        <v>7.9507244355755011</v>
      </c>
    </row>
    <row r="29" spans="1:34" x14ac:dyDescent="0.3">
      <c r="A29" s="2">
        <v>44562</v>
      </c>
      <c r="B29" s="3">
        <v>23764.544999999998</v>
      </c>
      <c r="C29" s="3">
        <v>6135.2580645161288</v>
      </c>
      <c r="E29" s="3">
        <v>38546.03</v>
      </c>
      <c r="F29" s="3">
        <v>4586.2580645161288</v>
      </c>
      <c r="H29" s="3">
        <v>22010.829000000002</v>
      </c>
      <c r="I29" s="25">
        <v>5214.8709677419356</v>
      </c>
      <c r="K29" s="3">
        <v>0</v>
      </c>
      <c r="L29" s="3">
        <v>0</v>
      </c>
      <c r="N29" s="3">
        <v>22681.456999999999</v>
      </c>
      <c r="O29" s="3">
        <v>7208.9032258064517</v>
      </c>
      <c r="W29" s="25">
        <f t="shared" si="6"/>
        <v>107002.86099999999</v>
      </c>
      <c r="X29" s="32">
        <f t="shared" si="0"/>
        <v>23145.290322580644</v>
      </c>
      <c r="Y29">
        <f t="shared" si="1"/>
        <v>1277</v>
      </c>
      <c r="Z29">
        <f t="shared" si="7"/>
        <v>26.4</v>
      </c>
      <c r="AB29">
        <f t="shared" si="8"/>
        <v>0</v>
      </c>
      <c r="AC29">
        <f t="shared" si="2"/>
        <v>0</v>
      </c>
      <c r="AD29">
        <f t="shared" si="3"/>
        <v>0</v>
      </c>
      <c r="AF29" s="25">
        <f t="shared" si="9"/>
        <v>2889756.4134514257</v>
      </c>
      <c r="AG29" s="113">
        <f t="shared" si="4"/>
        <v>8.2564468955755019E-2</v>
      </c>
      <c r="AH29">
        <f t="shared" si="5"/>
        <v>8.2564468955755022</v>
      </c>
    </row>
    <row r="30" spans="1:34" x14ac:dyDescent="0.3">
      <c r="A30" s="2">
        <v>44593</v>
      </c>
      <c r="B30" s="3">
        <v>11515.85</v>
      </c>
      <c r="C30" s="3">
        <v>3579.0357142857142</v>
      </c>
      <c r="E30" s="3">
        <v>32026.851999999999</v>
      </c>
      <c r="F30" s="3">
        <v>3917.0714285714284</v>
      </c>
      <c r="H30" s="3">
        <v>20219.286</v>
      </c>
      <c r="I30" s="25">
        <v>4670.3571428571431</v>
      </c>
      <c r="K30" s="3">
        <v>0</v>
      </c>
      <c r="L30" s="3">
        <v>0</v>
      </c>
      <c r="N30" s="3">
        <v>16689.329000000002</v>
      </c>
      <c r="O30" s="3">
        <v>6281.9642857142853</v>
      </c>
      <c r="Q30" s="5">
        <v>13047.413</v>
      </c>
      <c r="R30" s="25">
        <v>3484.1071428571427</v>
      </c>
      <c r="W30" s="25">
        <f t="shared" si="6"/>
        <v>93498.73</v>
      </c>
      <c r="X30" s="32">
        <f t="shared" si="0"/>
        <v>21932.535714285714</v>
      </c>
      <c r="Y30">
        <f t="shared" si="1"/>
        <v>1246</v>
      </c>
      <c r="Z30">
        <f t="shared" si="7"/>
        <v>27.433333333333334</v>
      </c>
      <c r="AB30">
        <f t="shared" si="8"/>
        <v>0</v>
      </c>
      <c r="AC30">
        <f t="shared" si="2"/>
        <v>0</v>
      </c>
      <c r="AD30">
        <f t="shared" si="3"/>
        <v>0</v>
      </c>
      <c r="AF30" s="25">
        <f t="shared" si="9"/>
        <v>2983255.1434514257</v>
      </c>
      <c r="AG30" s="113">
        <f t="shared" si="4"/>
        <v>8.5235861241469313E-2</v>
      </c>
      <c r="AH30">
        <f t="shared" si="5"/>
        <v>8.5235861241469308</v>
      </c>
    </row>
    <row r="31" spans="1:34" x14ac:dyDescent="0.3">
      <c r="A31" s="2">
        <v>44621</v>
      </c>
      <c r="B31" s="58">
        <v>8440.9189999999999</v>
      </c>
      <c r="C31" s="3">
        <v>3967.7096774193546</v>
      </c>
      <c r="E31" s="3">
        <v>33074.504000000001</v>
      </c>
      <c r="F31" s="3">
        <v>4286.1935483870966</v>
      </c>
      <c r="H31" s="3">
        <v>22081.853999999999</v>
      </c>
      <c r="I31" s="25">
        <v>5092.7741935483873</v>
      </c>
      <c r="K31" s="3">
        <v>0</v>
      </c>
      <c r="L31" s="3">
        <v>0</v>
      </c>
      <c r="N31" s="3">
        <v>16357.291999999999</v>
      </c>
      <c r="O31" s="3">
        <v>6757.677419354839</v>
      </c>
      <c r="Q31" s="3">
        <v>19237.486000000001</v>
      </c>
      <c r="R31" s="25">
        <v>4010.0322580645161</v>
      </c>
      <c r="T31" s="5">
        <v>6255.6310000000003</v>
      </c>
      <c r="U31" s="25">
        <v>1074.3225806451612</v>
      </c>
      <c r="W31" s="25">
        <f t="shared" si="6"/>
        <v>105447.686</v>
      </c>
      <c r="X31" s="32">
        <f t="shared" si="0"/>
        <v>25188.709677419352</v>
      </c>
      <c r="Y31">
        <f t="shared" si="1"/>
        <v>1218</v>
      </c>
      <c r="Z31">
        <f t="shared" si="7"/>
        <v>28.366666666666667</v>
      </c>
      <c r="AB31">
        <f t="shared" si="8"/>
        <v>0</v>
      </c>
      <c r="AC31">
        <f t="shared" si="2"/>
        <v>0</v>
      </c>
      <c r="AD31">
        <f t="shared" si="3"/>
        <v>0</v>
      </c>
      <c r="AF31" s="25">
        <f t="shared" si="9"/>
        <v>3088702.8294514259</v>
      </c>
      <c r="AG31" s="113">
        <f t="shared" si="4"/>
        <v>8.8248652270040737E-2</v>
      </c>
      <c r="AH31">
        <f t="shared" si="5"/>
        <v>8.8248652270040733</v>
      </c>
    </row>
    <row r="32" spans="1:34" x14ac:dyDescent="0.3">
      <c r="A32" s="2">
        <v>44652</v>
      </c>
      <c r="B32" s="58">
        <v>4729.6750000000002</v>
      </c>
      <c r="C32" s="3">
        <v>3790.5</v>
      </c>
      <c r="E32" s="3">
        <v>30873.334999999999</v>
      </c>
      <c r="F32" s="3">
        <v>4524.7666666666664</v>
      </c>
      <c r="H32" s="3">
        <v>21111.174999999999</v>
      </c>
      <c r="I32" s="25">
        <v>5343.9666666666662</v>
      </c>
      <c r="K32" s="3">
        <v>0</v>
      </c>
      <c r="L32" s="3">
        <v>0</v>
      </c>
      <c r="N32" s="3">
        <v>15924.043</v>
      </c>
      <c r="O32" s="3">
        <v>7128.0666666666666</v>
      </c>
      <c r="Q32" s="3">
        <v>22150.992999999999</v>
      </c>
      <c r="R32" s="25">
        <v>4291.4333333333334</v>
      </c>
      <c r="T32" s="3">
        <v>19841.439999999999</v>
      </c>
      <c r="U32" s="25">
        <v>4551.5</v>
      </c>
      <c r="W32" s="25">
        <f t="shared" si="6"/>
        <v>114630.66100000001</v>
      </c>
      <c r="X32" s="32">
        <f t="shared" si="0"/>
        <v>29630.233333333334</v>
      </c>
      <c r="Y32">
        <f t="shared" si="1"/>
        <v>1187</v>
      </c>
      <c r="Z32">
        <f t="shared" si="7"/>
        <v>29.4</v>
      </c>
      <c r="AB32">
        <f t="shared" si="8"/>
        <v>0</v>
      </c>
      <c r="AC32">
        <f t="shared" si="2"/>
        <v>0</v>
      </c>
      <c r="AD32">
        <f t="shared" si="3"/>
        <v>0</v>
      </c>
      <c r="AF32" s="25">
        <f t="shared" si="9"/>
        <v>3203333.4904514258</v>
      </c>
      <c r="AG32" s="113">
        <f t="shared" si="4"/>
        <v>9.1523814012897886E-2</v>
      </c>
      <c r="AH32">
        <f t="shared" si="5"/>
        <v>9.1523814012897891</v>
      </c>
    </row>
    <row r="33" spans="1:34" x14ac:dyDescent="0.3">
      <c r="A33" s="2">
        <v>44682</v>
      </c>
      <c r="B33" s="58">
        <v>4806.143</v>
      </c>
      <c r="C33" s="3">
        <v>3734.9032258064517</v>
      </c>
      <c r="E33" s="3">
        <v>28816.246999999999</v>
      </c>
      <c r="F33" s="3">
        <v>4096.0322580645161</v>
      </c>
      <c r="H33" s="3">
        <v>20937.809000000001</v>
      </c>
      <c r="I33" s="25">
        <v>5137.2903225806449</v>
      </c>
      <c r="K33" s="3">
        <v>0</v>
      </c>
      <c r="L33" s="3">
        <v>0</v>
      </c>
      <c r="N33" s="3">
        <v>17814.929</v>
      </c>
      <c r="O33" s="3">
        <v>7737.8064516129034</v>
      </c>
      <c r="Q33" s="3">
        <v>27372.978999999999</v>
      </c>
      <c r="R33" s="25">
        <v>5149.2580645161288</v>
      </c>
      <c r="T33" s="3">
        <v>19961.911</v>
      </c>
      <c r="U33" s="25">
        <v>4440.5483870967746</v>
      </c>
      <c r="W33" s="25">
        <f t="shared" si="6"/>
        <v>119710.01799999998</v>
      </c>
      <c r="X33" s="32">
        <f t="shared" si="0"/>
        <v>30295.838709677417</v>
      </c>
      <c r="Y33">
        <f t="shared" si="1"/>
        <v>1157</v>
      </c>
      <c r="Z33">
        <f t="shared" si="7"/>
        <v>30.4</v>
      </c>
      <c r="AB33">
        <f t="shared" si="8"/>
        <v>0</v>
      </c>
      <c r="AC33">
        <f t="shared" si="2"/>
        <v>0</v>
      </c>
      <c r="AD33">
        <f t="shared" si="3"/>
        <v>0</v>
      </c>
      <c r="AF33" s="25">
        <f t="shared" si="9"/>
        <v>3323043.5084514259</v>
      </c>
      <c r="AG33" s="113">
        <f t="shared" si="4"/>
        <v>9.4944100241469306E-2</v>
      </c>
      <c r="AH33">
        <f t="shared" si="5"/>
        <v>9.49441002414693</v>
      </c>
    </row>
    <row r="34" spans="1:34" x14ac:dyDescent="0.3">
      <c r="A34" s="2">
        <v>44713</v>
      </c>
      <c r="B34" s="3">
        <v>4471.7349999999997</v>
      </c>
      <c r="C34" s="3">
        <v>3596.3666666666668</v>
      </c>
      <c r="E34" s="3">
        <v>26947.527999999998</v>
      </c>
      <c r="F34" s="3">
        <v>3964.9333333333334</v>
      </c>
      <c r="H34" s="3">
        <v>19335.098999999998</v>
      </c>
      <c r="I34" s="25">
        <v>4909.3666666666668</v>
      </c>
      <c r="K34" s="3">
        <v>0</v>
      </c>
      <c r="L34" s="3">
        <v>0</v>
      </c>
      <c r="N34" s="3">
        <v>12254.732</v>
      </c>
      <c r="O34" s="3">
        <v>5538.5</v>
      </c>
      <c r="Q34" s="3">
        <v>26595.523000000001</v>
      </c>
      <c r="R34" s="25">
        <v>5170.5</v>
      </c>
      <c r="T34" s="3">
        <v>15928.692999999999</v>
      </c>
      <c r="U34" s="25">
        <v>3679.0666666666666</v>
      </c>
      <c r="W34" s="25">
        <f t="shared" si="6"/>
        <v>105533.31</v>
      </c>
      <c r="X34" s="32">
        <f t="shared" si="0"/>
        <v>26858.733333333334</v>
      </c>
      <c r="Y34">
        <f t="shared" si="1"/>
        <v>1126</v>
      </c>
      <c r="Z34">
        <f t="shared" si="7"/>
        <v>31.433333333333334</v>
      </c>
      <c r="AB34">
        <f t="shared" si="8"/>
        <v>0</v>
      </c>
      <c r="AC34">
        <f t="shared" si="2"/>
        <v>0</v>
      </c>
      <c r="AD34">
        <f t="shared" si="3"/>
        <v>0</v>
      </c>
      <c r="AF34" s="25">
        <f t="shared" si="9"/>
        <v>3428576.818451426</v>
      </c>
      <c r="AG34" s="113">
        <f t="shared" si="4"/>
        <v>9.7959337670040739E-2</v>
      </c>
      <c r="AH34">
        <f t="shared" si="5"/>
        <v>9.7959337670040743</v>
      </c>
    </row>
    <row r="35" spans="1:34" x14ac:dyDescent="0.3">
      <c r="A35" s="2">
        <v>44743</v>
      </c>
      <c r="B35" s="58">
        <v>4066.82</v>
      </c>
      <c r="C35" s="3">
        <v>3041.3225806451615</v>
      </c>
      <c r="E35" s="3">
        <v>25547.397000000001</v>
      </c>
      <c r="F35" s="3">
        <v>3498.4193548387098</v>
      </c>
      <c r="H35" s="3">
        <v>18158.577000000001</v>
      </c>
      <c r="I35" s="25">
        <v>4292.1290322580644</v>
      </c>
      <c r="K35" s="3">
        <v>0</v>
      </c>
      <c r="L35" s="3">
        <v>0</v>
      </c>
      <c r="N35" s="3">
        <v>6039.366</v>
      </c>
      <c r="O35" s="3">
        <v>2524.516129032258</v>
      </c>
      <c r="Q35" s="3">
        <v>28900.334999999999</v>
      </c>
      <c r="R35" s="25">
        <v>5237.6451612903229</v>
      </c>
      <c r="T35" s="3">
        <v>10570.038</v>
      </c>
      <c r="U35" s="25">
        <v>2262.7741935483873</v>
      </c>
      <c r="W35" s="25">
        <f t="shared" si="6"/>
        <v>93282.532999999996</v>
      </c>
      <c r="X35" s="32">
        <f t="shared" si="0"/>
        <v>20856.806451612902</v>
      </c>
      <c r="Y35">
        <f t="shared" si="1"/>
        <v>1096</v>
      </c>
      <c r="Z35">
        <f t="shared" si="7"/>
        <v>32.43333333333333</v>
      </c>
      <c r="AB35">
        <f t="shared" si="8"/>
        <v>0</v>
      </c>
      <c r="AC35">
        <f t="shared" si="2"/>
        <v>0</v>
      </c>
      <c r="AD35">
        <f t="shared" si="3"/>
        <v>0</v>
      </c>
      <c r="AF35" s="25">
        <f t="shared" si="9"/>
        <v>3521859.3514514258</v>
      </c>
      <c r="AG35" s="113">
        <f t="shared" si="4"/>
        <v>0.10062455289861216</v>
      </c>
      <c r="AH35">
        <f t="shared" si="5"/>
        <v>10.062455289861216</v>
      </c>
    </row>
    <row r="36" spans="1:34" x14ac:dyDescent="0.3">
      <c r="A36" s="2">
        <v>44774</v>
      </c>
      <c r="B36" s="3">
        <v>4395.6049999999996</v>
      </c>
      <c r="C36" s="3">
        <v>3244.1290322580599</v>
      </c>
      <c r="E36" s="3">
        <v>25666.522000000001</v>
      </c>
      <c r="F36" s="3">
        <v>3464.6451612903202</v>
      </c>
      <c r="H36" s="3">
        <v>19137.821</v>
      </c>
      <c r="I36" s="25">
        <v>4459.6774193548299</v>
      </c>
      <c r="K36" s="3">
        <v>0</v>
      </c>
      <c r="L36" s="3">
        <v>0</v>
      </c>
      <c r="N36" s="3">
        <v>6527.6260000000002</v>
      </c>
      <c r="O36" s="3">
        <v>2693.1290322580599</v>
      </c>
      <c r="Q36" s="3">
        <v>29035.098999999998</v>
      </c>
      <c r="R36" s="25">
        <v>5186.7419354838703</v>
      </c>
      <c r="T36" s="3">
        <v>11424.587</v>
      </c>
      <c r="U36" s="25">
        <v>2413.6129032258</v>
      </c>
      <c r="W36" s="25">
        <f t="shared" si="6"/>
        <v>96187.260000000009</v>
      </c>
      <c r="X36" s="32">
        <f t="shared" si="0"/>
        <v>21461.935483870941</v>
      </c>
      <c r="Y36">
        <f t="shared" si="1"/>
        <v>1065</v>
      </c>
      <c r="Z36">
        <f t="shared" si="7"/>
        <v>33.466666666666669</v>
      </c>
      <c r="AB36">
        <f t="shared" si="8"/>
        <v>0</v>
      </c>
      <c r="AC36">
        <f t="shared" si="2"/>
        <v>0</v>
      </c>
      <c r="AD36">
        <f t="shared" si="3"/>
        <v>0</v>
      </c>
      <c r="AF36" s="25">
        <f t="shared" si="9"/>
        <v>3618046.6114514256</v>
      </c>
      <c r="AG36" s="113">
        <f t="shared" si="4"/>
        <v>0.10337276032718359</v>
      </c>
      <c r="AH36">
        <f t="shared" si="5"/>
        <v>10.337276032718359</v>
      </c>
    </row>
    <row r="37" spans="1:34" x14ac:dyDescent="0.3">
      <c r="A37" s="2">
        <v>44805</v>
      </c>
      <c r="B37" s="3">
        <v>4474.2929999999997</v>
      </c>
      <c r="C37" s="3">
        <v>3334.9333333333302</v>
      </c>
      <c r="E37" s="3">
        <v>24665.473000000002</v>
      </c>
      <c r="F37" s="3">
        <v>3479.86666666666</v>
      </c>
      <c r="H37" s="3">
        <v>19284.48</v>
      </c>
      <c r="I37" s="25">
        <v>4698.1333333333296</v>
      </c>
      <c r="K37" s="3">
        <v>0</v>
      </c>
      <c r="L37" s="3">
        <v>0</v>
      </c>
      <c r="N37" s="3">
        <v>7117.2830000000004</v>
      </c>
      <c r="O37" s="3">
        <v>2921.2</v>
      </c>
      <c r="Q37" s="3">
        <v>29154.565999999999</v>
      </c>
      <c r="R37" s="25">
        <v>5444.8333333333303</v>
      </c>
      <c r="T37" s="3">
        <v>10658.277</v>
      </c>
      <c r="U37" s="25">
        <v>2337.9666666666599</v>
      </c>
      <c r="W37" s="25">
        <f t="shared" si="6"/>
        <v>95354.372000000003</v>
      </c>
      <c r="X37" s="32">
        <f t="shared" si="0"/>
        <v>22216.933333333312</v>
      </c>
      <c r="Y37">
        <f t="shared" si="1"/>
        <v>1034</v>
      </c>
      <c r="Z37">
        <f t="shared" si="7"/>
        <v>34.5</v>
      </c>
      <c r="AB37">
        <f t="shared" si="8"/>
        <v>0</v>
      </c>
      <c r="AC37">
        <f t="shared" si="2"/>
        <v>0</v>
      </c>
      <c r="AD37">
        <f t="shared" si="3"/>
        <v>0</v>
      </c>
      <c r="AF37" s="25">
        <f t="shared" si="9"/>
        <v>3713400.9834514256</v>
      </c>
      <c r="AG37" s="113">
        <f t="shared" si="4"/>
        <v>0.10609717095575502</v>
      </c>
      <c r="AH37">
        <f t="shared" si="5"/>
        <v>10.609717095575503</v>
      </c>
    </row>
    <row r="38" spans="1:34" x14ac:dyDescent="0.3">
      <c r="A38" s="2">
        <v>44835</v>
      </c>
      <c r="B38" s="3">
        <v>5123.7190000000001</v>
      </c>
      <c r="C38" s="3">
        <v>3161.83870967741</v>
      </c>
      <c r="E38" s="3">
        <v>21047.561000000002</v>
      </c>
      <c r="F38" s="3">
        <v>2811.2903225806399</v>
      </c>
      <c r="H38" s="3">
        <v>21163.19</v>
      </c>
      <c r="I38" s="25">
        <v>4879.2580645161197</v>
      </c>
      <c r="K38" s="3">
        <v>0</v>
      </c>
      <c r="L38" s="3">
        <v>0</v>
      </c>
      <c r="N38" s="3">
        <v>10665.815000000001</v>
      </c>
      <c r="O38" s="3">
        <v>3472.6129032258</v>
      </c>
      <c r="Q38" s="3">
        <v>31012.708999999999</v>
      </c>
      <c r="R38" s="25">
        <v>5486.3548387096698</v>
      </c>
      <c r="T38" s="3">
        <v>9733.6029999999992</v>
      </c>
      <c r="U38" s="25">
        <v>1932.2903225806399</v>
      </c>
      <c r="W38" s="25">
        <f t="shared" si="6"/>
        <v>98746.597000000009</v>
      </c>
      <c r="X38" s="32">
        <f t="shared" si="0"/>
        <v>21743.645161290278</v>
      </c>
      <c r="Y38">
        <f t="shared" si="1"/>
        <v>1004</v>
      </c>
      <c r="Z38">
        <f t="shared" si="7"/>
        <v>35.5</v>
      </c>
      <c r="AB38">
        <f t="shared" si="8"/>
        <v>0</v>
      </c>
      <c r="AC38">
        <f t="shared" si="2"/>
        <v>0</v>
      </c>
      <c r="AD38">
        <f t="shared" si="3"/>
        <v>0</v>
      </c>
      <c r="AF38" s="25">
        <f t="shared" si="9"/>
        <v>3812147.5804514256</v>
      </c>
      <c r="AG38" s="113">
        <f t="shared" si="4"/>
        <v>0.10891850229861216</v>
      </c>
      <c r="AH38">
        <f t="shared" si="5"/>
        <v>10.891850229861216</v>
      </c>
    </row>
    <row r="39" spans="1:34" x14ac:dyDescent="0.3">
      <c r="A39" s="2">
        <v>44866</v>
      </c>
      <c r="B39" s="3">
        <v>4662.3109999999997</v>
      </c>
      <c r="C39" s="3">
        <v>3090.9</v>
      </c>
      <c r="E39" s="3">
        <v>18535.338</v>
      </c>
      <c r="F39" s="3">
        <v>2674.8</v>
      </c>
      <c r="H39" s="3">
        <v>18551.774000000001</v>
      </c>
      <c r="I39" s="25">
        <v>4720.666666666667</v>
      </c>
      <c r="K39" s="3">
        <v>0</v>
      </c>
      <c r="L39" s="3">
        <v>0</v>
      </c>
      <c r="N39" s="3">
        <v>9452.3829999999998</v>
      </c>
      <c r="O39" s="3">
        <v>3382.5333333333333</v>
      </c>
      <c r="Q39" s="3">
        <v>27061.699000000001</v>
      </c>
      <c r="R39" s="25">
        <v>5077.166666666667</v>
      </c>
      <c r="T39" s="3">
        <v>8882.1769999999997</v>
      </c>
      <c r="U39" s="25">
        <v>1873.4</v>
      </c>
      <c r="W39" s="25">
        <f t="shared" si="6"/>
        <v>87145.682000000001</v>
      </c>
      <c r="X39" s="32">
        <f t="shared" si="0"/>
        <v>20819.466666666671</v>
      </c>
      <c r="Y39">
        <f t="shared" si="1"/>
        <v>973</v>
      </c>
      <c r="Z39">
        <f t="shared" si="7"/>
        <v>36.533333333333331</v>
      </c>
      <c r="AB39">
        <f t="shared" si="8"/>
        <v>0</v>
      </c>
      <c r="AC39">
        <f t="shared" si="2"/>
        <v>0</v>
      </c>
      <c r="AD39">
        <f t="shared" si="3"/>
        <v>0</v>
      </c>
      <c r="AF39" s="25">
        <f t="shared" si="9"/>
        <v>3899293.2624514257</v>
      </c>
      <c r="AG39" s="113">
        <f t="shared" si="4"/>
        <v>0.1114083789271836</v>
      </c>
      <c r="AH39">
        <f t="shared" si="5"/>
        <v>11.140837892718359</v>
      </c>
    </row>
    <row r="40" spans="1:34" x14ac:dyDescent="0.3">
      <c r="A40" s="2">
        <v>44896</v>
      </c>
      <c r="B40" s="3">
        <v>5162.4210000000003</v>
      </c>
      <c r="C40" s="3">
        <v>3224.1935483870966</v>
      </c>
      <c r="E40" s="3">
        <v>18844.597000000002</v>
      </c>
      <c r="F40" s="3">
        <v>2456.7419354838707</v>
      </c>
      <c r="H40" s="3">
        <v>17502.300999999999</v>
      </c>
      <c r="I40" s="25">
        <v>3961.6129032258063</v>
      </c>
      <c r="K40" s="3">
        <v>0</v>
      </c>
      <c r="L40" s="3">
        <v>0</v>
      </c>
      <c r="N40" s="3">
        <v>9795.7520000000004</v>
      </c>
      <c r="O40" s="3">
        <v>3148.5806451612902</v>
      </c>
      <c r="Q40" s="3">
        <v>28192.684000000001</v>
      </c>
      <c r="R40" s="25">
        <v>4807.677419354839</v>
      </c>
      <c r="T40" s="3">
        <v>9125.0560000000005</v>
      </c>
      <c r="U40" s="25">
        <v>1751.0645161290322</v>
      </c>
      <c r="W40" s="25">
        <f t="shared" si="6"/>
        <v>88622.811000000002</v>
      </c>
      <c r="X40" s="32">
        <f t="shared" si="0"/>
        <v>19349.870967741932</v>
      </c>
      <c r="Y40">
        <f t="shared" si="1"/>
        <v>943</v>
      </c>
      <c r="Z40">
        <f t="shared" si="7"/>
        <v>37.533333333333331</v>
      </c>
      <c r="AB40">
        <f t="shared" si="8"/>
        <v>0</v>
      </c>
      <c r="AC40">
        <f t="shared" si="2"/>
        <v>0</v>
      </c>
      <c r="AD40">
        <f t="shared" si="3"/>
        <v>0</v>
      </c>
      <c r="AF40" s="25">
        <f t="shared" si="9"/>
        <v>3987916.0734514259</v>
      </c>
      <c r="AG40" s="113">
        <f t="shared" si="4"/>
        <v>0.11394045924146931</v>
      </c>
      <c r="AH40">
        <f t="shared" si="5"/>
        <v>11.394045924146932</v>
      </c>
    </row>
    <row r="41" spans="1:34" x14ac:dyDescent="0.3">
      <c r="A41" s="2">
        <v>44927</v>
      </c>
      <c r="B41" s="3">
        <v>6508.7280000000001</v>
      </c>
      <c r="C41" s="3">
        <v>3814.8709677419301</v>
      </c>
      <c r="E41" s="3">
        <v>19394.892</v>
      </c>
      <c r="F41" s="3">
        <v>2460.2580645161202</v>
      </c>
      <c r="H41" s="3">
        <v>20106.677</v>
      </c>
      <c r="I41" s="25">
        <v>4400.1290322580599</v>
      </c>
      <c r="K41" s="3">
        <v>0</v>
      </c>
      <c r="L41" s="3">
        <v>0</v>
      </c>
      <c r="N41" s="3">
        <v>10485.906000000001</v>
      </c>
      <c r="O41" s="3">
        <v>3243.77419354838</v>
      </c>
      <c r="Q41" s="3">
        <v>29842.128000000001</v>
      </c>
      <c r="R41" s="25">
        <v>5008.4193548387002</v>
      </c>
      <c r="T41" s="3">
        <v>9390.3379999999997</v>
      </c>
      <c r="U41" s="25">
        <v>1769.96774193548</v>
      </c>
      <c r="W41" s="25">
        <f t="shared" si="6"/>
        <v>95728.669000000009</v>
      </c>
      <c r="X41" s="32">
        <f t="shared" si="0"/>
        <v>20697.419354838672</v>
      </c>
      <c r="Y41">
        <f t="shared" si="1"/>
        <v>912</v>
      </c>
      <c r="Z41">
        <f t="shared" si="7"/>
        <v>38.56666666666667</v>
      </c>
      <c r="AB41">
        <f t="shared" si="8"/>
        <v>0</v>
      </c>
      <c r="AC41">
        <f t="shared" si="2"/>
        <v>0</v>
      </c>
      <c r="AD41">
        <f t="shared" si="3"/>
        <v>0</v>
      </c>
      <c r="AF41" s="25">
        <f t="shared" si="9"/>
        <v>4083644.7424514261</v>
      </c>
      <c r="AG41" s="113">
        <f t="shared" si="4"/>
        <v>0.11667556407004075</v>
      </c>
      <c r="AH41">
        <f t="shared" si="5"/>
        <v>11.667556407004074</v>
      </c>
    </row>
    <row r="42" spans="1:34" x14ac:dyDescent="0.3">
      <c r="A42" s="2">
        <v>44958</v>
      </c>
      <c r="B42" s="3">
        <v>5978.2690000000002</v>
      </c>
      <c r="C42" s="3">
        <v>4035.2142857142799</v>
      </c>
      <c r="E42" s="3">
        <v>16871.383000000002</v>
      </c>
      <c r="F42" s="3">
        <v>2464.75</v>
      </c>
      <c r="H42" s="3">
        <v>17583.12</v>
      </c>
      <c r="I42" s="25">
        <v>4433.7857142857101</v>
      </c>
      <c r="K42" s="3">
        <v>0</v>
      </c>
      <c r="L42" s="3">
        <v>0</v>
      </c>
      <c r="N42" s="3">
        <v>8933.2309999999998</v>
      </c>
      <c r="O42" s="3">
        <v>3180.8214285714198</v>
      </c>
      <c r="Q42" s="3">
        <v>26205.73</v>
      </c>
      <c r="R42" s="25">
        <v>5065.4642857142799</v>
      </c>
      <c r="T42" s="3">
        <v>8469.1659999999993</v>
      </c>
      <c r="U42" s="25">
        <v>1839.07142857142</v>
      </c>
      <c r="W42" s="25">
        <f t="shared" si="6"/>
        <v>84040.89899999999</v>
      </c>
      <c r="X42" s="32">
        <f t="shared" si="0"/>
        <v>21019.107142857109</v>
      </c>
      <c r="Y42">
        <f t="shared" si="1"/>
        <v>881</v>
      </c>
      <c r="Z42">
        <f t="shared" si="7"/>
        <v>39.6</v>
      </c>
      <c r="AB42">
        <f t="shared" si="8"/>
        <v>0</v>
      </c>
      <c r="AC42">
        <f t="shared" si="2"/>
        <v>0</v>
      </c>
      <c r="AD42">
        <f t="shared" si="3"/>
        <v>0</v>
      </c>
      <c r="AF42" s="25">
        <f t="shared" si="9"/>
        <v>4167685.6414514263</v>
      </c>
      <c r="AG42" s="113">
        <f t="shared" si="4"/>
        <v>0.11907673261289789</v>
      </c>
      <c r="AH42">
        <f t="shared" si="5"/>
        <v>11.907673261289789</v>
      </c>
    </row>
    <row r="43" spans="1:34" x14ac:dyDescent="0.3">
      <c r="A43" s="2">
        <v>44986</v>
      </c>
      <c r="B43" s="3">
        <v>6670.57</v>
      </c>
      <c r="C43" s="3">
        <v>3893.4516129032199</v>
      </c>
      <c r="E43" s="3">
        <v>19166.277999999998</v>
      </c>
      <c r="F43" s="3">
        <v>2423.16129032258</v>
      </c>
      <c r="H43" s="3">
        <v>19807.341</v>
      </c>
      <c r="I43" s="25">
        <v>4320.9677419354803</v>
      </c>
      <c r="K43" s="3">
        <v>0</v>
      </c>
      <c r="L43" s="3">
        <v>0</v>
      </c>
      <c r="N43" s="3">
        <v>10519.441000000001</v>
      </c>
      <c r="O43" s="3">
        <v>3246.5483870967701</v>
      </c>
      <c r="Q43" s="3">
        <v>29702.157999999999</v>
      </c>
      <c r="R43" s="25">
        <v>4968.3870967741896</v>
      </c>
      <c r="T43" s="3">
        <v>9490.4619999999995</v>
      </c>
      <c r="U43" s="25">
        <v>1781.1290322580601</v>
      </c>
      <c r="W43" s="25">
        <f t="shared" si="6"/>
        <v>95356.25</v>
      </c>
      <c r="X43" s="32">
        <f t="shared" si="0"/>
        <v>20633.6451612903</v>
      </c>
      <c r="Y43">
        <f t="shared" si="1"/>
        <v>853</v>
      </c>
      <c r="Z43">
        <f t="shared" si="7"/>
        <v>40.533333333333331</v>
      </c>
      <c r="AB43">
        <f t="shared" si="8"/>
        <v>0</v>
      </c>
      <c r="AC43">
        <f t="shared" si="2"/>
        <v>0</v>
      </c>
      <c r="AD43">
        <f t="shared" si="3"/>
        <v>0</v>
      </c>
      <c r="AF43" s="25">
        <f t="shared" si="9"/>
        <v>4263041.8914514259</v>
      </c>
      <c r="AG43" s="113">
        <f t="shared" si="4"/>
        <v>0.12180119689861217</v>
      </c>
      <c r="AH43">
        <f t="shared" si="5"/>
        <v>12.180119689861217</v>
      </c>
    </row>
    <row r="44" spans="1:34" x14ac:dyDescent="0.3">
      <c r="A44" s="2">
        <v>45017</v>
      </c>
      <c r="B44" s="3">
        <v>6109.7539999999999</v>
      </c>
      <c r="C44" s="3">
        <v>3772.6</v>
      </c>
      <c r="E44" s="66">
        <v>18995.989000000001</v>
      </c>
      <c r="F44" s="3">
        <v>2538</v>
      </c>
      <c r="H44" s="3">
        <v>18886.429</v>
      </c>
      <c r="I44" s="25">
        <v>4356.8</v>
      </c>
      <c r="K44" s="3">
        <v>0</v>
      </c>
      <c r="L44" s="3">
        <v>0</v>
      </c>
      <c r="N44" s="3">
        <v>10938.239</v>
      </c>
      <c r="O44" s="3">
        <v>3563.4</v>
      </c>
      <c r="Q44" s="3">
        <v>28401.467000000001</v>
      </c>
      <c r="R44" s="25">
        <v>5021.9666666666599</v>
      </c>
      <c r="T44" s="3">
        <v>8329.7279999999992</v>
      </c>
      <c r="U44" s="25">
        <v>1654.4666666666601</v>
      </c>
      <c r="W44" s="25">
        <f t="shared" si="6"/>
        <v>91661.606000000014</v>
      </c>
      <c r="X44" s="32">
        <f t="shared" si="0"/>
        <v>20907.233333333323</v>
      </c>
      <c r="Y44">
        <f t="shared" si="1"/>
        <v>822</v>
      </c>
      <c r="Z44">
        <f t="shared" si="7"/>
        <v>41.56666666666667</v>
      </c>
      <c r="AB44">
        <f t="shared" si="8"/>
        <v>0</v>
      </c>
      <c r="AC44">
        <f t="shared" si="2"/>
        <v>0</v>
      </c>
      <c r="AD44">
        <f t="shared" si="3"/>
        <v>0</v>
      </c>
      <c r="AF44" s="25">
        <f t="shared" si="9"/>
        <v>4354703.4974514255</v>
      </c>
      <c r="AG44" s="113">
        <f t="shared" si="4"/>
        <v>0.12442009992718359</v>
      </c>
      <c r="AH44">
        <f t="shared" si="5"/>
        <v>12.442009992718358</v>
      </c>
    </row>
    <row r="45" spans="1:34" x14ac:dyDescent="0.3">
      <c r="A45" s="2">
        <v>45047</v>
      </c>
      <c r="B45" s="3">
        <v>5433.9430000000002</v>
      </c>
      <c r="C45" s="3">
        <v>3245.9032258064517</v>
      </c>
      <c r="E45" s="3">
        <v>17915.327000000001</v>
      </c>
      <c r="F45" s="3">
        <v>2316.2903225806454</v>
      </c>
      <c r="H45" s="3">
        <v>19323.748</v>
      </c>
      <c r="I45" s="25">
        <v>4310.8709677419356</v>
      </c>
      <c r="K45" s="3">
        <v>0</v>
      </c>
      <c r="L45" s="3">
        <v>0</v>
      </c>
      <c r="N45" s="3">
        <v>13497.409</v>
      </c>
      <c r="O45" s="3">
        <v>4250.1290322580644</v>
      </c>
      <c r="Q45" s="3">
        <v>26013.011999999999</v>
      </c>
      <c r="R45" s="25">
        <v>4447.677419354839</v>
      </c>
      <c r="T45" s="3">
        <v>7816.8209999999999</v>
      </c>
      <c r="U45" s="25">
        <v>1501.2903225806451</v>
      </c>
      <c r="W45" s="25">
        <f t="shared" si="6"/>
        <v>90000.26</v>
      </c>
      <c r="X45" s="32">
        <f t="shared" si="0"/>
        <v>20072.16129032258</v>
      </c>
      <c r="Y45">
        <f t="shared" si="1"/>
        <v>792</v>
      </c>
      <c r="Z45">
        <f t="shared" si="7"/>
        <v>42.56666666666667</v>
      </c>
      <c r="AB45">
        <f t="shared" si="8"/>
        <v>0</v>
      </c>
      <c r="AC45">
        <f t="shared" si="2"/>
        <v>0</v>
      </c>
      <c r="AD45">
        <f t="shared" si="3"/>
        <v>0</v>
      </c>
      <c r="AF45" s="25">
        <f t="shared" si="9"/>
        <v>4444703.7574514253</v>
      </c>
      <c r="AG45" s="113">
        <f t="shared" si="4"/>
        <v>0.12699153592718357</v>
      </c>
      <c r="AH45">
        <f t="shared" si="5"/>
        <v>12.699153592718357</v>
      </c>
    </row>
    <row r="46" spans="1:34" x14ac:dyDescent="0.3">
      <c r="A46" s="2">
        <v>45078</v>
      </c>
      <c r="B46" s="3">
        <v>5942.0469999999996</v>
      </c>
      <c r="C46" s="3">
        <v>3436.5333333333333</v>
      </c>
      <c r="E46" s="3">
        <v>18413.708999999999</v>
      </c>
      <c r="F46" s="3">
        <v>2328.9333333333334</v>
      </c>
      <c r="H46" s="3">
        <v>21909.667000000001</v>
      </c>
      <c r="I46" s="25">
        <v>4734.3666666666668</v>
      </c>
      <c r="K46" s="3">
        <v>0</v>
      </c>
      <c r="L46" s="3">
        <v>0</v>
      </c>
      <c r="N46" s="108">
        <v>15034.852000000001</v>
      </c>
      <c r="O46" s="3">
        <v>4630.2</v>
      </c>
      <c r="Q46" s="3">
        <v>27150.948</v>
      </c>
      <c r="R46" s="25">
        <v>4539.2333333333336</v>
      </c>
      <c r="T46" s="3">
        <v>8379.8529999999992</v>
      </c>
      <c r="U46" s="25">
        <v>1573.5</v>
      </c>
      <c r="W46" s="25">
        <f t="shared" si="6"/>
        <v>96831.076000000001</v>
      </c>
      <c r="X46" s="32">
        <f t="shared" si="0"/>
        <v>21242.766666666666</v>
      </c>
      <c r="Y46">
        <f t="shared" si="1"/>
        <v>761</v>
      </c>
      <c r="Z46">
        <f t="shared" si="7"/>
        <v>43.6</v>
      </c>
      <c r="AB46">
        <f t="shared" si="8"/>
        <v>0</v>
      </c>
      <c r="AC46">
        <f t="shared" si="2"/>
        <v>0</v>
      </c>
      <c r="AD46">
        <f t="shared" si="3"/>
        <v>0</v>
      </c>
      <c r="AF46" s="25">
        <f t="shared" si="9"/>
        <v>4541534.8334514257</v>
      </c>
      <c r="AG46" s="113">
        <f t="shared" si="4"/>
        <v>0.12975813809861217</v>
      </c>
      <c r="AH46">
        <f t="shared" si="5"/>
        <v>12.975813809861217</v>
      </c>
    </row>
    <row r="47" spans="1:34" x14ac:dyDescent="0.3">
      <c r="A47" s="2">
        <v>45108</v>
      </c>
      <c r="B47" s="3">
        <v>7116.567</v>
      </c>
      <c r="C47" s="3">
        <v>4005.3870967741937</v>
      </c>
      <c r="E47" s="3">
        <v>18162.294000000002</v>
      </c>
      <c r="F47" s="3">
        <v>2229.3870967741937</v>
      </c>
      <c r="H47" s="3">
        <v>25900.103999999999</v>
      </c>
      <c r="I47" s="25">
        <v>5152.0322580645161</v>
      </c>
      <c r="K47" s="1">
        <v>0</v>
      </c>
      <c r="L47" s="1">
        <v>0</v>
      </c>
      <c r="N47" s="3">
        <v>17094.358</v>
      </c>
      <c r="O47" s="3">
        <v>4856.322580645161</v>
      </c>
      <c r="Q47" s="3">
        <v>27576.069</v>
      </c>
      <c r="R47" s="25">
        <v>4081.483870967742</v>
      </c>
      <c r="T47" s="3">
        <v>8283.0840000000007</v>
      </c>
      <c r="U47" s="25">
        <v>1343.1935483870968</v>
      </c>
      <c r="W47" s="25">
        <f t="shared" si="6"/>
        <v>104132.47600000001</v>
      </c>
      <c r="X47" s="32">
        <f t="shared" si="0"/>
        <v>21667.806451612905</v>
      </c>
      <c r="Y47">
        <f t="shared" si="1"/>
        <v>731</v>
      </c>
      <c r="Z47">
        <f t="shared" si="7"/>
        <v>44.6</v>
      </c>
      <c r="AB47">
        <f t="shared" si="8"/>
        <v>0</v>
      </c>
      <c r="AC47">
        <f t="shared" si="2"/>
        <v>0</v>
      </c>
      <c r="AD47">
        <f t="shared" si="3"/>
        <v>0</v>
      </c>
      <c r="AF47" s="25">
        <f t="shared" si="9"/>
        <v>4645667.3094514254</v>
      </c>
      <c r="AG47" s="113">
        <f t="shared" si="4"/>
        <v>0.13273335169861217</v>
      </c>
      <c r="AH47">
        <f t="shared" si="5"/>
        <v>13.273335169861216</v>
      </c>
    </row>
    <row r="48" spans="1:34" x14ac:dyDescent="0.3">
      <c r="A48" s="2">
        <v>45139</v>
      </c>
      <c r="B48" s="3">
        <v>7031.59</v>
      </c>
      <c r="C48" s="3">
        <v>3398.1935483870966</v>
      </c>
      <c r="E48" s="3">
        <v>17342.059000000001</v>
      </c>
      <c r="F48" s="3">
        <v>1924.8064516129032</v>
      </c>
      <c r="H48" s="3">
        <v>21961.391</v>
      </c>
      <c r="I48" s="25">
        <v>3600.7096774193546</v>
      </c>
      <c r="K48" s="1">
        <v>0</v>
      </c>
      <c r="L48" s="1">
        <v>0</v>
      </c>
      <c r="N48" s="58">
        <v>20185.294999999998</v>
      </c>
      <c r="O48" s="3">
        <v>4778.5161290322585</v>
      </c>
      <c r="Q48" s="3">
        <v>26384.449000000001</v>
      </c>
      <c r="R48" s="25">
        <v>3058.8709677419356</v>
      </c>
      <c r="T48" s="3">
        <v>6939.6170000000002</v>
      </c>
      <c r="U48" s="25">
        <v>815.64516129032256</v>
      </c>
      <c r="W48" s="25">
        <f t="shared" si="6"/>
        <v>99844.400999999983</v>
      </c>
      <c r="X48" s="32">
        <f t="shared" si="0"/>
        <v>17576.741935483871</v>
      </c>
      <c r="Y48">
        <f t="shared" si="1"/>
        <v>700</v>
      </c>
      <c r="Z48">
        <f t="shared" si="7"/>
        <v>45.633333333333333</v>
      </c>
      <c r="AB48">
        <f t="shared" si="8"/>
        <v>0</v>
      </c>
      <c r="AC48">
        <f t="shared" si="2"/>
        <v>0</v>
      </c>
      <c r="AD48">
        <f t="shared" si="3"/>
        <v>0</v>
      </c>
      <c r="AF48" s="25">
        <f t="shared" si="9"/>
        <v>4745511.7104514251</v>
      </c>
      <c r="AG48" s="113">
        <f t="shared" si="4"/>
        <v>0.13558604887004072</v>
      </c>
      <c r="AH48">
        <f t="shared" si="5"/>
        <v>13.558604887004073</v>
      </c>
    </row>
    <row r="49" spans="1:34" x14ac:dyDescent="0.3">
      <c r="A49" s="2">
        <v>45170</v>
      </c>
      <c r="B49" s="3">
        <v>7768.451</v>
      </c>
      <c r="C49" s="3">
        <v>3547.9333333333334</v>
      </c>
      <c r="E49" s="58">
        <v>7728.4409999999998</v>
      </c>
      <c r="F49" s="3">
        <v>692.26666666666665</v>
      </c>
      <c r="H49" s="3">
        <v>19115.058000000001</v>
      </c>
      <c r="I49" s="25">
        <v>2867.6333333333332</v>
      </c>
      <c r="K49" s="1">
        <v>0</v>
      </c>
      <c r="L49" s="1">
        <v>0</v>
      </c>
      <c r="N49" s="3">
        <v>19322.771000000001</v>
      </c>
      <c r="O49" s="3">
        <v>4246.6333333333332</v>
      </c>
      <c r="Q49" s="3">
        <v>25309.42</v>
      </c>
      <c r="R49" s="25">
        <v>2726.2666666666669</v>
      </c>
      <c r="T49" s="3">
        <v>6219.75</v>
      </c>
      <c r="U49" s="25">
        <v>672.4666666666667</v>
      </c>
      <c r="W49" s="25">
        <f t="shared" si="6"/>
        <v>85463.891000000003</v>
      </c>
      <c r="X49" s="32">
        <f t="shared" si="0"/>
        <v>14753.2</v>
      </c>
      <c r="Y49">
        <f t="shared" si="1"/>
        <v>669</v>
      </c>
      <c r="Z49">
        <f t="shared" si="7"/>
        <v>46.666666666666664</v>
      </c>
      <c r="AB49">
        <f t="shared" si="8"/>
        <v>0</v>
      </c>
      <c r="AC49">
        <f t="shared" si="2"/>
        <v>0</v>
      </c>
      <c r="AD49">
        <f t="shared" si="3"/>
        <v>0</v>
      </c>
      <c r="AF49" s="25">
        <f t="shared" si="9"/>
        <v>4830975.6014514249</v>
      </c>
      <c r="AG49" s="113">
        <f t="shared" si="4"/>
        <v>0.13802787432718358</v>
      </c>
      <c r="AH49">
        <f t="shared" si="5"/>
        <v>13.802787432718358</v>
      </c>
    </row>
    <row r="50" spans="1:34" x14ac:dyDescent="0.3">
      <c r="A50" s="2">
        <v>45200</v>
      </c>
      <c r="B50" s="3">
        <v>8925.33</v>
      </c>
      <c r="C50" s="3">
        <v>4736.1612903225805</v>
      </c>
      <c r="E50" s="58">
        <v>1149.154</v>
      </c>
      <c r="F50" s="3">
        <v>143.80645161290323</v>
      </c>
      <c r="H50" s="3">
        <v>23083.048999999999</v>
      </c>
      <c r="I50" s="25">
        <v>4019.5483870967741</v>
      </c>
      <c r="K50" s="1">
        <v>0</v>
      </c>
      <c r="L50" s="1">
        <v>0</v>
      </c>
      <c r="N50" s="3">
        <v>19451.498</v>
      </c>
      <c r="O50" s="3">
        <v>4974</v>
      </c>
      <c r="Q50" s="3">
        <v>26142.432000000001</v>
      </c>
      <c r="R50" s="25">
        <v>3271.516129032258</v>
      </c>
      <c r="T50" s="3">
        <v>7943.7160000000003</v>
      </c>
      <c r="U50" s="25">
        <v>994.35483870967744</v>
      </c>
      <c r="W50" s="25">
        <f t="shared" si="6"/>
        <v>86695.178999999989</v>
      </c>
      <c r="X50" s="32">
        <f t="shared" si="0"/>
        <v>18139.387096774193</v>
      </c>
      <c r="Y50">
        <f t="shared" si="1"/>
        <v>639</v>
      </c>
      <c r="Z50">
        <f t="shared" si="7"/>
        <v>47.666666666666664</v>
      </c>
      <c r="AB50">
        <f t="shared" si="8"/>
        <v>0</v>
      </c>
      <c r="AC50">
        <f t="shared" si="2"/>
        <v>0</v>
      </c>
      <c r="AD50">
        <f t="shared" si="3"/>
        <v>0</v>
      </c>
      <c r="AF50" s="25">
        <f t="shared" si="9"/>
        <v>4917670.7804514244</v>
      </c>
      <c r="AG50" s="113">
        <f t="shared" si="4"/>
        <v>0.14050487944146928</v>
      </c>
      <c r="AH50">
        <f t="shared" si="5"/>
        <v>14.050487944146928</v>
      </c>
    </row>
    <row r="51" spans="1:34" s="51" customFormat="1" x14ac:dyDescent="0.3">
      <c r="A51" s="59">
        <v>45231</v>
      </c>
      <c r="B51" s="58">
        <v>8269.5040000000008</v>
      </c>
      <c r="C51" s="58">
        <v>4226.166666666667</v>
      </c>
      <c r="E51" s="58">
        <v>17747.837</v>
      </c>
      <c r="F51" s="58">
        <v>4284.5666666666666</v>
      </c>
      <c r="H51" s="58">
        <v>23058.662</v>
      </c>
      <c r="I51" s="111">
        <v>5214.3</v>
      </c>
      <c r="K51" s="55">
        <v>0</v>
      </c>
      <c r="L51" s="55">
        <v>0</v>
      </c>
      <c r="N51" s="58">
        <v>18158.902999999998</v>
      </c>
      <c r="O51" s="58">
        <v>5300.4666666666662</v>
      </c>
      <c r="Q51" s="58">
        <v>24202.440999999999</v>
      </c>
      <c r="R51" s="111">
        <v>4733.2666666666664</v>
      </c>
      <c r="T51" s="58">
        <v>8141.6809999999996</v>
      </c>
      <c r="U51" s="111">
        <v>1511.7666666666667</v>
      </c>
      <c r="W51" s="111">
        <f t="shared" si="6"/>
        <v>99579.027999999977</v>
      </c>
      <c r="X51" s="112">
        <f t="shared" si="0"/>
        <v>25270.533333333333</v>
      </c>
      <c r="Y51" s="51">
        <f t="shared" si="1"/>
        <v>608</v>
      </c>
      <c r="Z51" s="51">
        <f t="shared" si="7"/>
        <v>48.7</v>
      </c>
      <c r="AB51" s="51">
        <f t="shared" si="8"/>
        <v>0</v>
      </c>
      <c r="AC51" s="51">
        <f t="shared" si="2"/>
        <v>0</v>
      </c>
      <c r="AD51" s="51">
        <f t="shared" si="3"/>
        <v>0</v>
      </c>
      <c r="AF51" s="111">
        <f t="shared" si="9"/>
        <v>5017249.8084514244</v>
      </c>
      <c r="AG51" s="114">
        <f t="shared" si="4"/>
        <v>0.14334999452718356</v>
      </c>
      <c r="AH51" s="51">
        <f t="shared" si="5"/>
        <v>14.334999452718355</v>
      </c>
    </row>
    <row r="52" spans="1:34" x14ac:dyDescent="0.3">
      <c r="A52" s="2">
        <v>45261</v>
      </c>
      <c r="B52" s="3">
        <v>9167.9060000000009</v>
      </c>
      <c r="C52" s="3">
        <v>3042.4516129032259</v>
      </c>
      <c r="E52" s="3">
        <v>18325.684000000001</v>
      </c>
      <c r="F52" s="3">
        <v>6359.9354838709678</v>
      </c>
      <c r="H52" s="3">
        <v>22717.611000000001</v>
      </c>
      <c r="I52" s="25">
        <v>7968.7741935483873</v>
      </c>
      <c r="K52" s="1">
        <v>0</v>
      </c>
      <c r="L52" s="1">
        <v>0</v>
      </c>
      <c r="N52" s="3">
        <v>18187.061000000002</v>
      </c>
      <c r="O52" s="3">
        <v>6737.0322580645161</v>
      </c>
      <c r="Q52" s="3">
        <v>23871.670999999998</v>
      </c>
      <c r="R52" s="25">
        <v>8381.5806451612898</v>
      </c>
      <c r="T52" s="3">
        <v>7446.415</v>
      </c>
      <c r="U52" s="25">
        <v>2789.483870967742</v>
      </c>
      <c r="W52" s="25">
        <f t="shared" si="6"/>
        <v>99716.347999999998</v>
      </c>
      <c r="X52" s="32">
        <f t="shared" si="0"/>
        <v>35279.258064516129</v>
      </c>
      <c r="Y52">
        <f t="shared" si="1"/>
        <v>578</v>
      </c>
      <c r="Z52">
        <f t="shared" si="7"/>
        <v>49.7</v>
      </c>
      <c r="AA52" s="51"/>
      <c r="AB52">
        <f t="shared" si="8"/>
        <v>0</v>
      </c>
      <c r="AC52">
        <f t="shared" si="2"/>
        <v>0</v>
      </c>
      <c r="AD52">
        <f t="shared" si="3"/>
        <v>0</v>
      </c>
      <c r="AF52" s="25">
        <f t="shared" si="9"/>
        <v>5116966.1564514246</v>
      </c>
      <c r="AG52" s="113">
        <f t="shared" si="4"/>
        <v>0.14619903304146928</v>
      </c>
      <c r="AH52">
        <f t="shared" si="5"/>
        <v>14.619903304146927</v>
      </c>
    </row>
    <row r="53" spans="1:34" x14ac:dyDescent="0.3">
      <c r="A53" s="2">
        <v>45292</v>
      </c>
      <c r="B53" s="3">
        <v>10615.89</v>
      </c>
      <c r="C53" s="3">
        <v>2947.7741935483873</v>
      </c>
      <c r="E53" s="3">
        <v>15724.532999999999</v>
      </c>
      <c r="F53" s="3">
        <v>4691.4516129032254</v>
      </c>
      <c r="H53" s="3">
        <v>21282.964</v>
      </c>
      <c r="I53" s="25">
        <v>7450.9354838709678</v>
      </c>
      <c r="K53" s="1">
        <v>0</v>
      </c>
      <c r="L53" s="1">
        <v>0</v>
      </c>
      <c r="N53" s="3">
        <v>17820.918000000001</v>
      </c>
      <c r="O53" s="3">
        <v>6969.9354838709678</v>
      </c>
      <c r="Q53" s="3">
        <v>22238.669000000002</v>
      </c>
      <c r="R53" s="25">
        <v>7911.3548387096771</v>
      </c>
      <c r="T53" s="3">
        <v>6854.17</v>
      </c>
      <c r="U53" s="25">
        <v>2828.6451612903224</v>
      </c>
      <c r="W53" s="25">
        <f t="shared" si="6"/>
        <v>94537.144000000015</v>
      </c>
      <c r="X53" s="32">
        <f t="shared" si="0"/>
        <v>32800.096774193546</v>
      </c>
      <c r="Y53">
        <f t="shared" si="1"/>
        <v>547</v>
      </c>
      <c r="Z53">
        <f t="shared" si="7"/>
        <v>50.733333333333334</v>
      </c>
      <c r="AA53" s="51"/>
      <c r="AB53">
        <f t="shared" si="8"/>
        <v>0</v>
      </c>
      <c r="AC53">
        <f t="shared" si="2"/>
        <v>0</v>
      </c>
      <c r="AD53">
        <f t="shared" si="3"/>
        <v>0</v>
      </c>
      <c r="AF53" s="25">
        <f t="shared" si="9"/>
        <v>5211503.3004514249</v>
      </c>
      <c r="AG53" s="113">
        <f t="shared" si="4"/>
        <v>0.14890009429861215</v>
      </c>
      <c r="AH53">
        <f t="shared" si="5"/>
        <v>14.890009429861214</v>
      </c>
    </row>
    <row r="54" spans="1:34" x14ac:dyDescent="0.3">
      <c r="A54" s="2">
        <v>45323</v>
      </c>
      <c r="B54" s="3">
        <v>10346.300999999999</v>
      </c>
      <c r="C54" s="3">
        <v>2837.1034482758619</v>
      </c>
      <c r="E54" s="3">
        <v>15010.817999999999</v>
      </c>
      <c r="F54" s="3">
        <v>4421.1034482758623</v>
      </c>
      <c r="H54" s="58">
        <v>20801.54</v>
      </c>
      <c r="I54" s="25">
        <v>7171.0689655172409</v>
      </c>
      <c r="K54" s="1">
        <v>0</v>
      </c>
      <c r="L54" s="1">
        <v>0</v>
      </c>
      <c r="N54" s="3">
        <v>17730.506000000001</v>
      </c>
      <c r="O54" s="3">
        <v>6847.5172413793107</v>
      </c>
      <c r="Q54" s="3">
        <v>21214.396000000001</v>
      </c>
      <c r="R54" s="25">
        <v>7477.6551724137935</v>
      </c>
      <c r="T54" s="3">
        <v>7071.4660000000003</v>
      </c>
      <c r="U54" s="25">
        <v>2889.9655172413795</v>
      </c>
      <c r="W54" s="25">
        <f t="shared" si="6"/>
        <v>92175.027000000002</v>
      </c>
      <c r="X54" s="32">
        <f t="shared" si="0"/>
        <v>31644.413793103449</v>
      </c>
      <c r="Y54">
        <f t="shared" si="1"/>
        <v>516</v>
      </c>
      <c r="Z54">
        <f t="shared" si="7"/>
        <v>51.766666666666666</v>
      </c>
      <c r="AA54" s="51"/>
      <c r="AB54">
        <f t="shared" si="8"/>
        <v>0</v>
      </c>
      <c r="AC54">
        <f t="shared" si="2"/>
        <v>0</v>
      </c>
      <c r="AD54">
        <f t="shared" si="3"/>
        <v>0</v>
      </c>
      <c r="AF54" s="25">
        <f t="shared" si="9"/>
        <v>5303678.3274514247</v>
      </c>
      <c r="AG54" s="113">
        <f t="shared" si="4"/>
        <v>0.15153366649861214</v>
      </c>
      <c r="AH54">
        <f t="shared" si="5"/>
        <v>15.153366649861214</v>
      </c>
    </row>
    <row r="55" spans="1:34" x14ac:dyDescent="0.3">
      <c r="A55" s="2">
        <v>45352</v>
      </c>
      <c r="B55" s="3">
        <v>9884.9969999999994</v>
      </c>
      <c r="C55" s="3">
        <v>3239.4516129032259</v>
      </c>
      <c r="E55" s="3">
        <v>15192.608</v>
      </c>
      <c r="F55" s="3">
        <v>3331.516129032258</v>
      </c>
      <c r="H55" s="3">
        <v>21852.15</v>
      </c>
      <c r="I55" s="25">
        <v>5215.322580645161</v>
      </c>
      <c r="K55" s="1">
        <v>0</v>
      </c>
      <c r="L55" s="1">
        <v>0</v>
      </c>
      <c r="N55" s="3">
        <v>18664.423999999999</v>
      </c>
      <c r="O55" s="3">
        <v>5821.3548387096771</v>
      </c>
      <c r="Q55" s="3">
        <v>22545.865000000002</v>
      </c>
      <c r="R55" s="25">
        <v>5303.6129032258068</v>
      </c>
      <c r="T55" s="3">
        <v>7770.9930000000004</v>
      </c>
      <c r="U55" s="25">
        <v>1908.1935483870968</v>
      </c>
      <c r="W55" s="25">
        <f t="shared" si="6"/>
        <v>95911.037000000011</v>
      </c>
      <c r="X55" s="32">
        <f t="shared" si="0"/>
        <v>24819.451612903227</v>
      </c>
      <c r="Y55">
        <f t="shared" si="1"/>
        <v>487</v>
      </c>
      <c r="Z55">
        <f t="shared" si="7"/>
        <v>52.733333333333334</v>
      </c>
      <c r="AA55" s="51"/>
      <c r="AB55">
        <f t="shared" si="8"/>
        <v>0</v>
      </c>
      <c r="AC55">
        <f t="shared" si="2"/>
        <v>0</v>
      </c>
      <c r="AD55">
        <f t="shared" si="3"/>
        <v>0</v>
      </c>
      <c r="AF55" s="25">
        <f t="shared" si="9"/>
        <v>5399589.3644514252</v>
      </c>
      <c r="AG55" s="113">
        <f t="shared" si="4"/>
        <v>0.15427398184146929</v>
      </c>
      <c r="AH55">
        <f t="shared" si="5"/>
        <v>15.427398184146929</v>
      </c>
    </row>
    <row r="56" spans="1:34" x14ac:dyDescent="0.3">
      <c r="A56" s="2">
        <v>45383</v>
      </c>
      <c r="B56" s="3">
        <v>8122.6019999999999</v>
      </c>
      <c r="C56" s="3">
        <v>4727.5</v>
      </c>
      <c r="E56" s="3">
        <v>13680.344999999999</v>
      </c>
      <c r="F56" s="3">
        <v>2358.1666666666665</v>
      </c>
      <c r="H56" s="3">
        <v>20968.560000000001</v>
      </c>
      <c r="I56" s="25">
        <v>4140.833333333333</v>
      </c>
      <c r="K56" s="1">
        <v>0</v>
      </c>
      <c r="L56" s="1">
        <v>0</v>
      </c>
      <c r="N56" s="3">
        <v>18222.264999999999</v>
      </c>
      <c r="O56" s="3">
        <v>5841.9666666666662</v>
      </c>
      <c r="Q56" s="3">
        <v>21957.432000000001</v>
      </c>
      <c r="R56" s="25">
        <v>3824.9666666666667</v>
      </c>
      <c r="T56" s="3">
        <v>7950.6</v>
      </c>
      <c r="U56" s="25">
        <v>899.4</v>
      </c>
      <c r="W56" s="25">
        <f t="shared" si="6"/>
        <v>90901.804000000004</v>
      </c>
      <c r="X56" s="32">
        <f t="shared" si="0"/>
        <v>21792.833333333336</v>
      </c>
      <c r="Y56">
        <f t="shared" si="1"/>
        <v>456</v>
      </c>
      <c r="Z56">
        <f t="shared" si="7"/>
        <v>53.766666666666666</v>
      </c>
      <c r="AA56" s="51"/>
      <c r="AB56">
        <f t="shared" si="8"/>
        <v>0</v>
      </c>
      <c r="AC56">
        <f t="shared" si="2"/>
        <v>0</v>
      </c>
      <c r="AD56">
        <f t="shared" si="3"/>
        <v>0</v>
      </c>
      <c r="AF56" s="25">
        <f t="shared" si="9"/>
        <v>5490491.1684514247</v>
      </c>
      <c r="AG56" s="113">
        <f t="shared" si="4"/>
        <v>0.15687117624146929</v>
      </c>
      <c r="AH56">
        <f t="shared" si="5"/>
        <v>15.687117624146929</v>
      </c>
    </row>
    <row r="57" spans="1:34" x14ac:dyDescent="0.3">
      <c r="A57" s="2">
        <v>45413</v>
      </c>
      <c r="B57" s="3">
        <v>10157.803</v>
      </c>
      <c r="C57" s="3">
        <v>4625.2580645161288</v>
      </c>
      <c r="E57" s="3">
        <v>13725.458000000001</v>
      </c>
      <c r="F57" s="3">
        <v>2437.8064516129034</v>
      </c>
      <c r="H57" s="3">
        <v>20126.666000000001</v>
      </c>
      <c r="I57" s="25">
        <v>4201.322580645161</v>
      </c>
      <c r="K57" s="1">
        <v>0</v>
      </c>
      <c r="L57" s="1">
        <v>0</v>
      </c>
      <c r="N57" s="3">
        <v>18410.935000000001</v>
      </c>
      <c r="O57" s="3">
        <v>5933.3548387096771</v>
      </c>
      <c r="Q57" s="3">
        <v>21238.15</v>
      </c>
      <c r="R57" s="25">
        <v>3644.1935483870966</v>
      </c>
      <c r="T57" s="3">
        <v>5604.3729999999996</v>
      </c>
      <c r="U57" s="25">
        <v>1008.516129032258</v>
      </c>
      <c r="W57" s="25">
        <f t="shared" si="6"/>
        <v>89263.38499999998</v>
      </c>
      <c r="X57" s="32">
        <f t="shared" si="0"/>
        <v>21850.451612903227</v>
      </c>
      <c r="Y57">
        <f t="shared" si="1"/>
        <v>426</v>
      </c>
      <c r="Z57">
        <f t="shared" si="7"/>
        <v>54.766666666666666</v>
      </c>
      <c r="AA57" s="51"/>
      <c r="AB57">
        <f t="shared" si="8"/>
        <v>0</v>
      </c>
      <c r="AC57">
        <f t="shared" si="2"/>
        <v>0</v>
      </c>
      <c r="AD57">
        <f t="shared" si="3"/>
        <v>0</v>
      </c>
      <c r="AF57" s="25">
        <f t="shared" si="9"/>
        <v>5579754.5534514245</v>
      </c>
      <c r="AG57" s="113">
        <f t="shared" si="4"/>
        <v>0.15942155867004071</v>
      </c>
      <c r="AH57">
        <f t="shared" si="5"/>
        <v>15.942155867004072</v>
      </c>
    </row>
    <row r="58" spans="1:34" x14ac:dyDescent="0.3">
      <c r="A58" s="2">
        <v>45444</v>
      </c>
      <c r="B58" s="3">
        <v>10024.050999999999</v>
      </c>
      <c r="C58" s="3">
        <v>4272.4333333333334</v>
      </c>
      <c r="E58" s="3">
        <v>12907.647999999999</v>
      </c>
      <c r="F58" s="3">
        <v>2576</v>
      </c>
      <c r="H58" s="3">
        <v>18187.481</v>
      </c>
      <c r="I58" s="25">
        <v>4206.8666666666668</v>
      </c>
      <c r="K58" s="1">
        <v>0</v>
      </c>
      <c r="L58" s="1">
        <v>0</v>
      </c>
      <c r="N58" s="3">
        <v>17403.195</v>
      </c>
      <c r="O58" s="3">
        <v>6214.8</v>
      </c>
      <c r="Q58" s="3">
        <v>18637.044999999998</v>
      </c>
      <c r="R58" s="25">
        <v>4269.9666666666662</v>
      </c>
      <c r="T58" s="3">
        <v>5719.8230000000003</v>
      </c>
      <c r="U58" s="25">
        <v>1343.1333333333334</v>
      </c>
      <c r="W58" s="25">
        <f t="shared" si="6"/>
        <v>82879.243000000002</v>
      </c>
      <c r="X58" s="32">
        <f t="shared" si="0"/>
        <v>22883.200000000001</v>
      </c>
      <c r="Y58">
        <f t="shared" si="1"/>
        <v>395</v>
      </c>
      <c r="Z58">
        <f t="shared" si="7"/>
        <v>55.8</v>
      </c>
      <c r="AA58" s="51"/>
      <c r="AB58">
        <f t="shared" si="8"/>
        <v>0</v>
      </c>
      <c r="AC58">
        <f t="shared" si="2"/>
        <v>0</v>
      </c>
      <c r="AD58">
        <f t="shared" si="3"/>
        <v>0</v>
      </c>
      <c r="AF58" s="25">
        <f t="shared" si="9"/>
        <v>5662633.7964514242</v>
      </c>
      <c r="AG58" s="113">
        <f t="shared" si="4"/>
        <v>0.16178953704146926</v>
      </c>
      <c r="AH58">
        <f t="shared" si="5"/>
        <v>16.178953704146927</v>
      </c>
    </row>
    <row r="59" spans="1:34" x14ac:dyDescent="0.3">
      <c r="A59" s="2">
        <v>45474</v>
      </c>
      <c r="B59" s="3">
        <v>8768.08</v>
      </c>
      <c r="C59" s="3">
        <v>3422.0645161290322</v>
      </c>
      <c r="E59" s="3">
        <v>13544.209000000001</v>
      </c>
      <c r="F59" s="3">
        <v>2635.8064516129034</v>
      </c>
      <c r="H59" s="3">
        <v>18566.488000000001</v>
      </c>
      <c r="I59" s="25">
        <v>4135.5161290322585</v>
      </c>
      <c r="K59" s="1">
        <v>0</v>
      </c>
      <c r="L59" s="1">
        <v>0</v>
      </c>
      <c r="N59" s="3">
        <v>18083.77</v>
      </c>
      <c r="O59" s="3">
        <v>4610.7741935483873</v>
      </c>
      <c r="Q59" s="3">
        <v>19077.952000000001</v>
      </c>
      <c r="R59" s="25">
        <v>5148.5161290322585</v>
      </c>
      <c r="T59" s="3">
        <v>7386.3289999999997</v>
      </c>
      <c r="U59" s="25">
        <v>1683.0322580645161</v>
      </c>
      <c r="W59" s="25">
        <f t="shared" si="6"/>
        <v>85426.828000000009</v>
      </c>
      <c r="X59" s="32">
        <f t="shared" si="0"/>
        <v>21635.709677419352</v>
      </c>
      <c r="Y59">
        <f t="shared" si="1"/>
        <v>365</v>
      </c>
      <c r="Z59">
        <f t="shared" si="7"/>
        <v>56.8</v>
      </c>
      <c r="AA59" s="51"/>
      <c r="AB59">
        <f t="shared" si="8"/>
        <v>0</v>
      </c>
      <c r="AC59">
        <f t="shared" si="2"/>
        <v>0</v>
      </c>
      <c r="AD59">
        <f t="shared" si="3"/>
        <v>0</v>
      </c>
      <c r="AF59" s="25">
        <f t="shared" si="9"/>
        <v>5748060.624451424</v>
      </c>
      <c r="AG59" s="113">
        <f t="shared" si="4"/>
        <v>0.16423030355575496</v>
      </c>
      <c r="AH59">
        <f t="shared" si="5"/>
        <v>16.423030355575495</v>
      </c>
    </row>
    <row r="60" spans="1:34" x14ac:dyDescent="0.3">
      <c r="A60" s="2">
        <v>45505</v>
      </c>
      <c r="B60" s="3">
        <v>8762.2880000000005</v>
      </c>
      <c r="C60" s="3">
        <v>3239.9354838709678</v>
      </c>
      <c r="E60" s="3">
        <v>13945.527</v>
      </c>
      <c r="F60" s="3">
        <v>2569.7741935483873</v>
      </c>
      <c r="H60" s="3">
        <v>18721.722000000002</v>
      </c>
      <c r="I60" s="25">
        <v>3948.9354838709678</v>
      </c>
      <c r="K60" s="1">
        <v>0</v>
      </c>
      <c r="L60" s="1">
        <v>0</v>
      </c>
      <c r="N60" s="3">
        <v>18236.850999999999</v>
      </c>
      <c r="O60" s="3">
        <v>3845.5806451612902</v>
      </c>
      <c r="Q60" s="58">
        <v>20752.248</v>
      </c>
      <c r="R60" s="25">
        <v>5302.5161290322585</v>
      </c>
      <c r="T60" s="3">
        <v>9451.2129999999997</v>
      </c>
      <c r="U60" s="25">
        <v>2030.7741935483871</v>
      </c>
      <c r="W60" s="25">
        <f t="shared" si="6"/>
        <v>89869.849000000002</v>
      </c>
      <c r="X60" s="32">
        <f t="shared" si="0"/>
        <v>20937.516129032258</v>
      </c>
      <c r="Y60">
        <f t="shared" si="1"/>
        <v>334</v>
      </c>
      <c r="Z60">
        <f t="shared" si="7"/>
        <v>57.833333333333336</v>
      </c>
      <c r="AA60" s="51"/>
      <c r="AB60">
        <f t="shared" si="8"/>
        <v>0</v>
      </c>
      <c r="AC60">
        <f t="shared" si="2"/>
        <v>0</v>
      </c>
      <c r="AD60">
        <f t="shared" si="3"/>
        <v>0</v>
      </c>
      <c r="AF60" s="25">
        <f t="shared" si="9"/>
        <v>5837930.4734514244</v>
      </c>
      <c r="AG60" s="113">
        <f t="shared" si="4"/>
        <v>0.16679801352718354</v>
      </c>
      <c r="AH60">
        <f t="shared" si="5"/>
        <v>16.679801352718354</v>
      </c>
    </row>
    <row r="61" spans="1:34" x14ac:dyDescent="0.3">
      <c r="A61" s="2">
        <v>45536</v>
      </c>
      <c r="B61" s="3">
        <v>7449.0820000000003</v>
      </c>
      <c r="C61" s="3">
        <v>2815.6</v>
      </c>
      <c r="E61" s="3">
        <v>10688.588</v>
      </c>
      <c r="F61" s="3">
        <v>2013.5666666666666</v>
      </c>
      <c r="H61" s="3">
        <v>17798.917000000001</v>
      </c>
      <c r="I61" s="25">
        <v>3824.8</v>
      </c>
      <c r="K61" s="1">
        <v>0</v>
      </c>
      <c r="L61" s="1">
        <v>0</v>
      </c>
      <c r="N61" s="3">
        <v>17177.623</v>
      </c>
      <c r="O61" s="3">
        <v>3691.6333333333332</v>
      </c>
      <c r="Q61" s="3">
        <v>19313.012999999999</v>
      </c>
      <c r="R61" s="25">
        <v>5026.1333333333332</v>
      </c>
      <c r="T61" s="3">
        <v>11234.102999999999</v>
      </c>
      <c r="U61" s="25">
        <v>2466.1666666666665</v>
      </c>
      <c r="W61" s="25">
        <f t="shared" si="6"/>
        <v>83661.326000000001</v>
      </c>
      <c r="X61" s="32">
        <f t="shared" si="0"/>
        <v>19837.900000000001</v>
      </c>
      <c r="Y61">
        <f t="shared" si="1"/>
        <v>303</v>
      </c>
      <c r="Z61">
        <f t="shared" si="7"/>
        <v>58.866666666666667</v>
      </c>
      <c r="AA61" s="51"/>
      <c r="AB61">
        <f t="shared" si="8"/>
        <v>0</v>
      </c>
      <c r="AC61">
        <f t="shared" si="2"/>
        <v>0</v>
      </c>
      <c r="AD61">
        <f t="shared" si="3"/>
        <v>0</v>
      </c>
      <c r="AF61" s="25">
        <f t="shared" si="9"/>
        <v>5921591.7994514247</v>
      </c>
      <c r="AG61" s="113">
        <f t="shared" si="4"/>
        <v>0.16918833712718356</v>
      </c>
      <c r="AH61">
        <f t="shared" si="5"/>
        <v>16.918833712718357</v>
      </c>
    </row>
    <row r="62" spans="1:34" x14ac:dyDescent="0.3">
      <c r="A62" s="2">
        <v>45566</v>
      </c>
      <c r="B62" s="3">
        <v>7039.8239999999996</v>
      </c>
      <c r="C62" s="3">
        <v>2914.7419354838707</v>
      </c>
      <c r="E62" s="3">
        <v>10239.769</v>
      </c>
      <c r="F62" s="3">
        <v>2113.0967741935483</v>
      </c>
      <c r="H62" s="3">
        <v>17161.692999999999</v>
      </c>
      <c r="I62" s="25">
        <v>3571.2580645161293</v>
      </c>
      <c r="K62" s="1">
        <v>0</v>
      </c>
      <c r="L62" s="1">
        <v>0</v>
      </c>
      <c r="N62" s="3">
        <v>17105.213</v>
      </c>
      <c r="O62" s="3">
        <v>4040.3870967741937</v>
      </c>
      <c r="Q62" s="3">
        <v>19171.800999999999</v>
      </c>
      <c r="R62" s="25">
        <v>5481.7096774193551</v>
      </c>
      <c r="T62" s="3">
        <v>9611.4860000000008</v>
      </c>
      <c r="U62" s="25">
        <v>2317.7419354838707</v>
      </c>
      <c r="W62" s="25">
        <f t="shared" si="6"/>
        <v>80329.785999999993</v>
      </c>
      <c r="X62" s="32">
        <f t="shared" si="0"/>
        <v>20438.935483870966</v>
      </c>
      <c r="Y62">
        <f t="shared" si="1"/>
        <v>273</v>
      </c>
      <c r="Z62">
        <f t="shared" si="7"/>
        <v>59.866666666666667</v>
      </c>
      <c r="AA62" s="51"/>
      <c r="AB62">
        <f t="shared" si="8"/>
        <v>0</v>
      </c>
      <c r="AC62">
        <f t="shared" si="2"/>
        <v>0</v>
      </c>
      <c r="AD62">
        <f t="shared" si="3"/>
        <v>0</v>
      </c>
      <c r="AF62" s="25">
        <f t="shared" si="9"/>
        <v>6001921.5854514251</v>
      </c>
      <c r="AG62" s="113">
        <f t="shared" si="4"/>
        <v>0.1714834738700407</v>
      </c>
      <c r="AH62">
        <f t="shared" si="5"/>
        <v>17.148347387004069</v>
      </c>
    </row>
    <row r="63" spans="1:34" x14ac:dyDescent="0.3">
      <c r="A63" s="2">
        <v>45597</v>
      </c>
      <c r="B63" s="3">
        <v>6858.357</v>
      </c>
      <c r="C63" s="3">
        <v>2804.5</v>
      </c>
      <c r="E63" s="3">
        <v>9966.5429999999997</v>
      </c>
      <c r="F63" s="3">
        <v>2026.7</v>
      </c>
      <c r="H63" s="3">
        <v>16421.181</v>
      </c>
      <c r="I63" s="25">
        <v>3353.3333333333335</v>
      </c>
      <c r="K63" s="1">
        <v>0</v>
      </c>
      <c r="L63" s="1">
        <v>0</v>
      </c>
      <c r="N63" s="3">
        <v>16512.423999999999</v>
      </c>
      <c r="O63" s="3">
        <v>3856.1666666666665</v>
      </c>
      <c r="Q63" s="3">
        <v>18448.258000000002</v>
      </c>
      <c r="R63" s="25">
        <v>5217.2333333333336</v>
      </c>
      <c r="T63" s="3">
        <v>9363.0460000000003</v>
      </c>
      <c r="U63" s="25">
        <v>2229.8333333333335</v>
      </c>
      <c r="W63" s="25">
        <f t="shared" si="6"/>
        <v>77569.809000000008</v>
      </c>
      <c r="X63" s="32">
        <f t="shared" si="0"/>
        <v>19487.766666666666</v>
      </c>
      <c r="Y63">
        <f t="shared" si="1"/>
        <v>242</v>
      </c>
      <c r="Z63">
        <f t="shared" si="7"/>
        <v>60.9</v>
      </c>
      <c r="AA63" s="51"/>
      <c r="AB63">
        <f t="shared" si="8"/>
        <v>0</v>
      </c>
      <c r="AC63">
        <f t="shared" si="2"/>
        <v>0</v>
      </c>
      <c r="AD63">
        <f t="shared" si="3"/>
        <v>0</v>
      </c>
      <c r="AF63" s="25">
        <f t="shared" si="9"/>
        <v>6079491.3944514254</v>
      </c>
      <c r="AG63" s="113">
        <f t="shared" si="4"/>
        <v>0.17369975412718358</v>
      </c>
      <c r="AH63">
        <f t="shared" si="5"/>
        <v>17.369975412718357</v>
      </c>
    </row>
    <row r="64" spans="1:34" x14ac:dyDescent="0.3">
      <c r="A64" s="2">
        <v>45627</v>
      </c>
      <c r="B64" s="3">
        <v>7273.9120000000003</v>
      </c>
      <c r="C64" s="3">
        <v>2409.5483870967741</v>
      </c>
      <c r="E64" s="3">
        <v>10389.321</v>
      </c>
      <c r="F64" s="3">
        <v>1701.258064516129</v>
      </c>
      <c r="H64" s="3">
        <v>16271.686</v>
      </c>
      <c r="I64" s="25">
        <v>2686.3225806451615</v>
      </c>
      <c r="K64" s="1">
        <v>0</v>
      </c>
      <c r="L64" s="1">
        <v>0</v>
      </c>
      <c r="N64" s="3">
        <v>16622.864000000001</v>
      </c>
      <c r="O64" s="3">
        <v>3144.7096774193546</v>
      </c>
      <c r="Q64" s="3">
        <v>18026.670999999998</v>
      </c>
      <c r="R64" s="25">
        <v>4127.4193548387093</v>
      </c>
      <c r="T64" s="58">
        <v>11587.97</v>
      </c>
      <c r="U64" s="25">
        <v>2243.483870967742</v>
      </c>
      <c r="W64" s="25">
        <f t="shared" si="6"/>
        <v>80172.423999999999</v>
      </c>
      <c r="X64" s="32">
        <f t="shared" si="0"/>
        <v>16312.741935483871</v>
      </c>
      <c r="Y64">
        <f t="shared" si="1"/>
        <v>212</v>
      </c>
      <c r="Z64">
        <f t="shared" si="7"/>
        <v>61.9</v>
      </c>
      <c r="AA64" s="51"/>
      <c r="AB64">
        <f t="shared" si="8"/>
        <v>0</v>
      </c>
      <c r="AC64">
        <f t="shared" si="2"/>
        <v>0</v>
      </c>
      <c r="AD64">
        <f t="shared" si="3"/>
        <v>0</v>
      </c>
      <c r="AF64" s="25">
        <f t="shared" si="9"/>
        <v>6159663.8184514251</v>
      </c>
      <c r="AG64" s="113">
        <f t="shared" si="4"/>
        <v>0.17599039481289785</v>
      </c>
      <c r="AH64">
        <f t="shared" si="5"/>
        <v>17.599039481289786</v>
      </c>
    </row>
    <row r="65" spans="1:34" x14ac:dyDescent="0.3">
      <c r="A65" s="2">
        <v>45658</v>
      </c>
      <c r="B65" s="3">
        <v>6935.13</v>
      </c>
      <c r="C65" s="3">
        <v>2131.516129032258</v>
      </c>
      <c r="E65" s="3">
        <v>9189.6440000000002</v>
      </c>
      <c r="F65" s="3">
        <v>1408.741935483871</v>
      </c>
      <c r="H65" s="3">
        <v>15761.683000000001</v>
      </c>
      <c r="I65" s="25">
        <v>2414.7419354838707</v>
      </c>
      <c r="K65" s="1">
        <v>0</v>
      </c>
      <c r="L65" s="1">
        <v>0</v>
      </c>
      <c r="N65" s="3">
        <v>17075.982</v>
      </c>
      <c r="O65" s="3">
        <v>3460.1290322580644</v>
      </c>
      <c r="Q65" s="3">
        <v>17623.088</v>
      </c>
      <c r="R65" s="25">
        <v>3740.7741935483873</v>
      </c>
      <c r="T65" s="3">
        <v>10428.099</v>
      </c>
      <c r="U65" s="25">
        <v>1871.0322580645161</v>
      </c>
      <c r="W65" s="25">
        <f t="shared" si="6"/>
        <v>77013.626000000004</v>
      </c>
      <c r="X65" s="32">
        <f t="shared" si="0"/>
        <v>15026.935483870966</v>
      </c>
      <c r="Y65">
        <f t="shared" si="1"/>
        <v>181</v>
      </c>
      <c r="Z65">
        <f t="shared" si="7"/>
        <v>62.93333333333333</v>
      </c>
      <c r="AA65" s="51"/>
      <c r="AB65">
        <f t="shared" si="8"/>
        <v>0</v>
      </c>
      <c r="AC65">
        <f t="shared" si="2"/>
        <v>0</v>
      </c>
      <c r="AD65">
        <f t="shared" si="3"/>
        <v>0</v>
      </c>
      <c r="AF65" s="25">
        <f t="shared" si="9"/>
        <v>6236677.4444514252</v>
      </c>
      <c r="AG65" s="113">
        <f t="shared" si="4"/>
        <v>0.17819078412718359</v>
      </c>
      <c r="AH65">
        <f t="shared" si="5"/>
        <v>17.819078412718358</v>
      </c>
    </row>
    <row r="66" spans="1:34" x14ac:dyDescent="0.3">
      <c r="A66" s="2">
        <v>45689</v>
      </c>
      <c r="B66" s="3">
        <v>6670.6930000000002</v>
      </c>
      <c r="C66" s="3">
        <v>2409.75</v>
      </c>
      <c r="E66" s="3">
        <v>8651.6280000000006</v>
      </c>
      <c r="F66" s="3">
        <v>1558.3928571428571</v>
      </c>
      <c r="H66" s="3">
        <v>13825.91</v>
      </c>
      <c r="I66" s="25">
        <v>2481.3571428571427</v>
      </c>
      <c r="K66" s="1">
        <v>0</v>
      </c>
      <c r="L66" s="1">
        <v>0</v>
      </c>
      <c r="N66" s="3">
        <v>14669.397999999999</v>
      </c>
      <c r="O66" s="3">
        <v>3313.2142857142858</v>
      </c>
      <c r="Q66" s="3">
        <v>15689.317999999999</v>
      </c>
      <c r="R66" s="25">
        <v>3899.4285714285716</v>
      </c>
      <c r="T66" s="3">
        <v>9129.3070000000007</v>
      </c>
      <c r="U66" s="25">
        <v>1918.6071428571429</v>
      </c>
      <c r="W66" s="25">
        <f t="shared" si="6"/>
        <v>68636.254000000001</v>
      </c>
      <c r="X66" s="32">
        <f t="shared" si="0"/>
        <v>15580.750000000002</v>
      </c>
      <c r="Y66">
        <f t="shared" si="1"/>
        <v>150</v>
      </c>
      <c r="Z66">
        <f t="shared" si="7"/>
        <v>63.966666666666669</v>
      </c>
      <c r="AA66" s="51"/>
      <c r="AB66">
        <f t="shared" si="8"/>
        <v>0</v>
      </c>
      <c r="AC66">
        <f t="shared" si="2"/>
        <v>0</v>
      </c>
      <c r="AD66">
        <f t="shared" si="3"/>
        <v>0</v>
      </c>
      <c r="AF66" s="25">
        <f t="shared" si="9"/>
        <v>6305313.6984514249</v>
      </c>
      <c r="AG66" s="113">
        <f t="shared" si="4"/>
        <v>0.18015181995575499</v>
      </c>
      <c r="AH66">
        <f t="shared" si="5"/>
        <v>18.015181995575499</v>
      </c>
    </row>
    <row r="67" spans="1:34" x14ac:dyDescent="0.3">
      <c r="A67" s="2">
        <v>45717</v>
      </c>
      <c r="B67" s="3">
        <v>7604.7939999999999</v>
      </c>
      <c r="C67" s="3">
        <v>2518.516129032258</v>
      </c>
      <c r="E67" s="3">
        <v>10443.808000000001</v>
      </c>
      <c r="F67" s="3">
        <v>1726.4193548387098</v>
      </c>
      <c r="H67" s="3">
        <v>15077.841</v>
      </c>
      <c r="I67" s="25">
        <v>2489.8387096774195</v>
      </c>
      <c r="K67" s="1">
        <v>0</v>
      </c>
      <c r="L67" s="1">
        <v>0</v>
      </c>
      <c r="N67" s="3">
        <v>15203.808000000001</v>
      </c>
      <c r="O67" s="3">
        <v>2873.7419354838707</v>
      </c>
      <c r="Q67" s="3">
        <v>17519.331999999999</v>
      </c>
      <c r="R67" s="25">
        <v>4012.6451612903224</v>
      </c>
      <c r="T67" s="3">
        <v>10288.425999999999</v>
      </c>
      <c r="U67" s="25">
        <v>1991.741935483871</v>
      </c>
      <c r="W67" s="25">
        <f t="shared" si="6"/>
        <v>76138.008999999991</v>
      </c>
      <c r="X67" s="32">
        <f t="shared" si="0"/>
        <v>15612.903225806451</v>
      </c>
      <c r="Y67">
        <f t="shared" si="1"/>
        <v>122</v>
      </c>
      <c r="Z67">
        <f t="shared" si="7"/>
        <v>64.900000000000006</v>
      </c>
      <c r="AA67" s="51"/>
      <c r="AB67">
        <f t="shared" si="8"/>
        <v>0</v>
      </c>
      <c r="AC67">
        <f t="shared" si="2"/>
        <v>0</v>
      </c>
      <c r="AD67">
        <f t="shared" si="3"/>
        <v>0</v>
      </c>
      <c r="AF67" s="25">
        <f t="shared" si="9"/>
        <v>6381451.7074514246</v>
      </c>
      <c r="AG67" s="113">
        <f t="shared" si="4"/>
        <v>0.18232719164146927</v>
      </c>
      <c r="AH67">
        <f t="shared" si="5"/>
        <v>18.232719164146928</v>
      </c>
    </row>
    <row r="68" spans="1:34" x14ac:dyDescent="0.3">
      <c r="A68" s="2">
        <v>45748</v>
      </c>
      <c r="B68" s="3">
        <v>6749.2610000000004</v>
      </c>
      <c r="C68" s="3">
        <v>2622.7333333333331</v>
      </c>
      <c r="E68" s="3">
        <v>9225.2999999999993</v>
      </c>
      <c r="F68" s="3">
        <v>1789.1666666666667</v>
      </c>
      <c r="H68" s="3">
        <v>13106.16</v>
      </c>
      <c r="I68" s="25">
        <v>2541.2333333333331</v>
      </c>
      <c r="K68" s="1">
        <v>0</v>
      </c>
      <c r="L68" s="1">
        <v>0</v>
      </c>
      <c r="N68" s="3">
        <v>13334.433999999999</v>
      </c>
      <c r="O68" s="3">
        <v>2959.1</v>
      </c>
      <c r="Q68" s="3">
        <v>15352.074000000001</v>
      </c>
      <c r="R68" s="25">
        <v>4126.5</v>
      </c>
      <c r="T68" s="3">
        <v>9088.0470000000005</v>
      </c>
      <c r="U68" s="25">
        <v>2063.8666666666668</v>
      </c>
      <c r="W68" s="25">
        <f t="shared" ref="W68:X71" si="10">B68+E68+H68+K68+N68+Q68+T68</f>
        <v>66855.275999999998</v>
      </c>
      <c r="X68" s="32">
        <f t="shared" si="10"/>
        <v>16102.6</v>
      </c>
      <c r="Y68">
        <f t="shared" ref="Y68:Y71" si="11">_xlfn.DAYS($A$71,A68)</f>
        <v>91</v>
      </c>
      <c r="Z68">
        <f t="shared" si="7"/>
        <v>65.933333333333337</v>
      </c>
      <c r="AA68" s="51"/>
      <c r="AB68">
        <f t="shared" si="8"/>
        <v>0</v>
      </c>
      <c r="AC68">
        <f t="shared" ref="AC68:AC131" si="12">AB68/(35*10^6)</f>
        <v>0</v>
      </c>
      <c r="AD68">
        <f t="shared" ref="AD68:AD131" si="13">AC68*100</f>
        <v>0</v>
      </c>
      <c r="AF68" s="25">
        <f t="shared" si="9"/>
        <v>6448306.9834514242</v>
      </c>
      <c r="AG68" s="113">
        <f t="shared" ref="AG68:AG71" si="14">((AF68)/(35*10^6))</f>
        <v>0.1842373423843264</v>
      </c>
      <c r="AH68">
        <f t="shared" ref="AH68:AH71" si="15">AG68*100</f>
        <v>18.42373423843264</v>
      </c>
    </row>
    <row r="69" spans="1:34" x14ac:dyDescent="0.3">
      <c r="A69" s="2">
        <v>45778</v>
      </c>
      <c r="B69" s="3">
        <v>7174.4030000000002</v>
      </c>
      <c r="C69" s="3">
        <v>2345.3225806451615</v>
      </c>
      <c r="E69" s="3">
        <v>9472.9040000000005</v>
      </c>
      <c r="F69" s="3">
        <v>1544.3870967741937</v>
      </c>
      <c r="H69" s="3">
        <v>14348.94</v>
      </c>
      <c r="I69" s="25">
        <v>2326.7096774193546</v>
      </c>
      <c r="K69" s="1">
        <v>0</v>
      </c>
      <c r="L69" s="1">
        <v>0</v>
      </c>
      <c r="N69" s="3">
        <v>14653.647999999999</v>
      </c>
      <c r="O69" s="3">
        <v>2720.7741935483873</v>
      </c>
      <c r="Q69" s="3">
        <v>16410.079000000002</v>
      </c>
      <c r="R69" s="25">
        <v>3688.8709677419356</v>
      </c>
      <c r="T69" s="3">
        <v>9371.5959999999995</v>
      </c>
      <c r="U69" s="25">
        <v>1788.3870967741937</v>
      </c>
      <c r="W69" s="25">
        <f t="shared" si="10"/>
        <v>71431.570000000007</v>
      </c>
      <c r="X69" s="32">
        <f t="shared" si="10"/>
        <v>14414.451612903227</v>
      </c>
      <c r="Y69">
        <f t="shared" si="11"/>
        <v>61</v>
      </c>
      <c r="Z69">
        <f t="shared" ref="Z69:Z71" si="16">($Y$3-Y69)/30</f>
        <v>66.933333333333337</v>
      </c>
      <c r="AA69" s="51"/>
      <c r="AB69">
        <f t="shared" ref="AB69:AB132" si="17">AB68+AA69</f>
        <v>0</v>
      </c>
      <c r="AC69">
        <f t="shared" si="12"/>
        <v>0</v>
      </c>
      <c r="AD69">
        <f t="shared" si="13"/>
        <v>0</v>
      </c>
      <c r="AF69" s="25">
        <f t="shared" ref="AF69:AF71" si="18">AF68+W69</f>
        <v>6519738.5534514245</v>
      </c>
      <c r="AG69" s="113">
        <f t="shared" si="14"/>
        <v>0.18627824438432641</v>
      </c>
      <c r="AH69">
        <f t="shared" si="15"/>
        <v>18.62782443843264</v>
      </c>
    </row>
    <row r="70" spans="1:34" x14ac:dyDescent="0.3">
      <c r="A70" s="2">
        <v>45809</v>
      </c>
      <c r="B70" s="3">
        <v>6462.5349999999999</v>
      </c>
      <c r="C70" s="3">
        <v>1773.8333333333333</v>
      </c>
      <c r="E70" s="3">
        <v>8344.8019999999997</v>
      </c>
      <c r="F70" s="3">
        <v>1141.0666666666666</v>
      </c>
      <c r="H70" s="3">
        <v>13741.994000000001</v>
      </c>
      <c r="I70" s="25">
        <v>1878.4</v>
      </c>
      <c r="K70" s="1">
        <v>0</v>
      </c>
      <c r="L70" s="1">
        <v>0</v>
      </c>
      <c r="N70" s="3">
        <v>14250.914000000001</v>
      </c>
      <c r="O70" s="3">
        <v>2231.0333333333333</v>
      </c>
      <c r="Q70" s="3">
        <v>16128.541999999999</v>
      </c>
      <c r="R70" s="25">
        <v>3057.0333333333333</v>
      </c>
      <c r="T70" s="3">
        <v>8253.9660000000003</v>
      </c>
      <c r="U70" s="25">
        <v>1322.3666666666666</v>
      </c>
      <c r="W70" s="25">
        <f t="shared" si="10"/>
        <v>67182.752999999997</v>
      </c>
      <c r="X70" s="32">
        <f t="shared" si="10"/>
        <v>11403.733333333332</v>
      </c>
      <c r="Y70">
        <f t="shared" si="11"/>
        <v>30</v>
      </c>
      <c r="Z70">
        <f t="shared" si="16"/>
        <v>67.966666666666669</v>
      </c>
      <c r="AA70" s="51"/>
      <c r="AB70">
        <f t="shared" si="17"/>
        <v>0</v>
      </c>
      <c r="AC70">
        <f t="shared" si="12"/>
        <v>0</v>
      </c>
      <c r="AD70">
        <f t="shared" si="13"/>
        <v>0</v>
      </c>
      <c r="AF70" s="25">
        <f t="shared" si="18"/>
        <v>6586921.306451424</v>
      </c>
      <c r="AG70" s="113">
        <f t="shared" si="14"/>
        <v>0.18819775161289784</v>
      </c>
      <c r="AH70">
        <f t="shared" si="15"/>
        <v>18.819775161289783</v>
      </c>
    </row>
    <row r="71" spans="1:34" x14ac:dyDescent="0.3">
      <c r="A71" s="2">
        <v>45839</v>
      </c>
      <c r="B71" s="3">
        <v>6971.2569999999996</v>
      </c>
      <c r="C71" s="3">
        <v>2190.6451612903224</v>
      </c>
      <c r="E71" s="70">
        <v>8410.1759999999995</v>
      </c>
      <c r="F71" s="3">
        <v>1314.483870967742</v>
      </c>
      <c r="H71" s="3">
        <v>13682.441000000001</v>
      </c>
      <c r="I71" s="25">
        <v>2140.3870967741937</v>
      </c>
      <c r="K71" s="1">
        <v>0</v>
      </c>
      <c r="L71" s="1">
        <v>0</v>
      </c>
      <c r="N71" s="3">
        <v>14709.546</v>
      </c>
      <c r="O71" s="3">
        <v>2634.1935483870966</v>
      </c>
      <c r="Q71" s="3">
        <v>15649.231</v>
      </c>
      <c r="R71" s="25">
        <v>3391.4193548387098</v>
      </c>
      <c r="T71" s="3">
        <v>8414.5560000000005</v>
      </c>
      <c r="U71" s="25">
        <v>1541.4193548387098</v>
      </c>
      <c r="W71" s="25">
        <f t="shared" si="10"/>
        <v>67837.206999999995</v>
      </c>
      <c r="X71" s="32">
        <f t="shared" si="10"/>
        <v>13212.548387096775</v>
      </c>
      <c r="Y71">
        <f t="shared" si="11"/>
        <v>0</v>
      </c>
      <c r="Z71">
        <f t="shared" si="16"/>
        <v>68.966666666666669</v>
      </c>
      <c r="AA71" s="51"/>
      <c r="AB71">
        <f t="shared" si="17"/>
        <v>0</v>
      </c>
      <c r="AC71">
        <f t="shared" si="12"/>
        <v>0</v>
      </c>
      <c r="AD71">
        <f t="shared" si="13"/>
        <v>0</v>
      </c>
      <c r="AF71" s="155">
        <f>AF70+W71</f>
        <v>6654758.5134514244</v>
      </c>
      <c r="AG71" s="113">
        <f t="shared" si="14"/>
        <v>0.19013595752718357</v>
      </c>
      <c r="AH71" s="154">
        <f t="shared" si="15"/>
        <v>19.013595752718356</v>
      </c>
    </row>
    <row r="72" spans="1:34" x14ac:dyDescent="0.3">
      <c r="A72" s="2">
        <v>45870</v>
      </c>
      <c r="C72" s="1"/>
      <c r="E72" s="1"/>
      <c r="F72" s="1"/>
      <c r="H72" s="1"/>
      <c r="N72" s="1"/>
      <c r="Z72">
        <v>69</v>
      </c>
      <c r="AA72">
        <f t="shared" ref="AA68:AA131" si="19">267251*EXP(-0.02*Z72)</f>
        <v>67234.619883772975</v>
      </c>
      <c r="AB72">
        <f t="shared" si="17"/>
        <v>67234.619883772975</v>
      </c>
      <c r="AC72">
        <f t="shared" si="12"/>
        <v>1.9209891395363706E-3</v>
      </c>
      <c r="AD72">
        <f t="shared" si="13"/>
        <v>0.19209891395363707</v>
      </c>
    </row>
    <row r="73" spans="1:34" x14ac:dyDescent="0.3">
      <c r="A73" s="2">
        <v>45901</v>
      </c>
      <c r="Z73">
        <f>Z72+1</f>
        <v>70</v>
      </c>
      <c r="AA73">
        <f t="shared" si="19"/>
        <v>65903.285210358255</v>
      </c>
      <c r="AB73">
        <f t="shared" si="17"/>
        <v>133137.90509413125</v>
      </c>
      <c r="AC73">
        <f t="shared" si="12"/>
        <v>3.8039401455466069E-3</v>
      </c>
      <c r="AD73">
        <f t="shared" si="13"/>
        <v>0.38039401455466071</v>
      </c>
    </row>
    <row r="74" spans="1:34" x14ac:dyDescent="0.3">
      <c r="A74" s="2">
        <v>45931</v>
      </c>
      <c r="Z74">
        <f t="shared" ref="Z74:Z137" si="20">Z73+1</f>
        <v>71</v>
      </c>
      <c r="AA74">
        <f t="shared" si="19"/>
        <v>64598.312729749887</v>
      </c>
      <c r="AB74">
        <f t="shared" si="17"/>
        <v>197736.21782388113</v>
      </c>
      <c r="AC74">
        <f t="shared" si="12"/>
        <v>5.649606223539461E-3</v>
      </c>
      <c r="AD74">
        <f t="shared" si="13"/>
        <v>0.56496062235394606</v>
      </c>
    </row>
    <row r="75" spans="1:34" x14ac:dyDescent="0.3">
      <c r="A75" s="2">
        <v>45962</v>
      </c>
      <c r="Z75">
        <f t="shared" si="20"/>
        <v>72</v>
      </c>
      <c r="AA75">
        <f t="shared" si="19"/>
        <v>63319.180435555725</v>
      </c>
      <c r="AB75">
        <f t="shared" si="17"/>
        <v>261055.39825943686</v>
      </c>
      <c r="AC75">
        <f t="shared" si="12"/>
        <v>7.458725664555339E-3</v>
      </c>
      <c r="AD75">
        <f t="shared" si="13"/>
        <v>0.7458725664555339</v>
      </c>
    </row>
    <row r="76" spans="1:34" x14ac:dyDescent="0.3">
      <c r="A76" s="2">
        <v>45992</v>
      </c>
      <c r="Z76">
        <f t="shared" si="20"/>
        <v>73</v>
      </c>
      <c r="AA76">
        <f t="shared" si="19"/>
        <v>62065.376657802779</v>
      </c>
      <c r="AB76">
        <f t="shared" si="17"/>
        <v>323120.77491723961</v>
      </c>
      <c r="AC76">
        <f t="shared" si="12"/>
        <v>9.2320221404925597E-3</v>
      </c>
      <c r="AD76">
        <f t="shared" si="13"/>
        <v>0.92320221404925595</v>
      </c>
    </row>
    <row r="77" spans="1:34" x14ac:dyDescent="0.3">
      <c r="A77" s="2">
        <v>46023</v>
      </c>
      <c r="Z77">
        <f t="shared" si="20"/>
        <v>74</v>
      </c>
      <c r="AA77">
        <f t="shared" si="19"/>
        <v>60836.399858262339</v>
      </c>
      <c r="AB77">
        <f t="shared" si="17"/>
        <v>383957.17477550195</v>
      </c>
      <c r="AC77">
        <f t="shared" si="12"/>
        <v>1.097020499358577E-2</v>
      </c>
      <c r="AD77">
        <f t="shared" si="13"/>
        <v>1.097020499358577</v>
      </c>
    </row>
    <row r="78" spans="1:34" x14ac:dyDescent="0.3">
      <c r="A78" s="2">
        <v>46054</v>
      </c>
      <c r="Z78">
        <f t="shared" si="20"/>
        <v>75</v>
      </c>
      <c r="AA78">
        <f t="shared" si="19"/>
        <v>59631.75842982802</v>
      </c>
      <c r="AB78">
        <f t="shared" si="17"/>
        <v>443588.93320532999</v>
      </c>
      <c r="AC78">
        <f t="shared" si="12"/>
        <v>1.2673969520152286E-2</v>
      </c>
      <c r="AD78">
        <f t="shared" si="13"/>
        <v>1.2673969520152286</v>
      </c>
    </row>
    <row r="79" spans="1:34" x14ac:dyDescent="0.3">
      <c r="A79" s="2">
        <v>46082</v>
      </c>
      <c r="Z79">
        <f t="shared" si="20"/>
        <v>76</v>
      </c>
      <c r="AA79">
        <f t="shared" si="19"/>
        <v>58450.970499866344</v>
      </c>
      <c r="AB79">
        <f t="shared" si="17"/>
        <v>502039.90370519634</v>
      </c>
      <c r="AC79">
        <f t="shared" si="12"/>
        <v>1.4343997248719896E-2</v>
      </c>
      <c r="AD79">
        <f t="shared" si="13"/>
        <v>1.4343997248719895</v>
      </c>
    </row>
    <row r="80" spans="1:34" x14ac:dyDescent="0.3">
      <c r="A80" s="2">
        <v>46113</v>
      </c>
      <c r="Z80">
        <f t="shared" si="20"/>
        <v>77</v>
      </c>
      <c r="AA80">
        <f t="shared" si="19"/>
        <v>57293.563737461285</v>
      </c>
      <c r="AB80">
        <f t="shared" si="17"/>
        <v>559333.46744265757</v>
      </c>
      <c r="AC80">
        <f t="shared" si="12"/>
        <v>1.5980956212647359E-2</v>
      </c>
      <c r="AD80">
        <f t="shared" si="13"/>
        <v>1.5980956212647359</v>
      </c>
    </row>
    <row r="81" spans="1:30" x14ac:dyDescent="0.3">
      <c r="A81" s="2">
        <v>46143</v>
      </c>
      <c r="Z81">
        <f t="shared" si="20"/>
        <v>78</v>
      </c>
      <c r="AA81">
        <f t="shared" si="19"/>
        <v>56159.075164475573</v>
      </c>
      <c r="AB81">
        <f t="shared" si="17"/>
        <v>615492.54260713316</v>
      </c>
      <c r="AC81">
        <f t="shared" si="12"/>
        <v>1.7585501217346661E-2</v>
      </c>
      <c r="AD81">
        <f t="shared" si="13"/>
        <v>1.7585501217346662</v>
      </c>
    </row>
    <row r="82" spans="1:30" x14ac:dyDescent="0.3">
      <c r="A82" s="2">
        <v>46174</v>
      </c>
      <c r="Z82">
        <f t="shared" si="20"/>
        <v>79</v>
      </c>
      <c r="AA82">
        <f t="shared" si="19"/>
        <v>55047.050970353303</v>
      </c>
      <c r="AB82">
        <f t="shared" si="17"/>
        <v>670539.59357748646</v>
      </c>
      <c r="AC82">
        <f t="shared" si="12"/>
        <v>1.91582741022139E-2</v>
      </c>
      <c r="AD82">
        <f t="shared" si="13"/>
        <v>1.9158274102213899</v>
      </c>
    </row>
    <row r="83" spans="1:30" x14ac:dyDescent="0.3">
      <c r="A83" s="2">
        <v>46204</v>
      </c>
      <c r="Z83">
        <f t="shared" si="20"/>
        <v>80</v>
      </c>
      <c r="AA83">
        <f t="shared" si="19"/>
        <v>53957.046330589648</v>
      </c>
      <c r="AB83">
        <f t="shared" si="17"/>
        <v>724496.63990807615</v>
      </c>
      <c r="AC83">
        <f t="shared" si="12"/>
        <v>2.0699903997373603E-2</v>
      </c>
      <c r="AD83">
        <f t="shared" si="13"/>
        <v>2.0699903997373603</v>
      </c>
    </row>
    <row r="84" spans="1:30" x14ac:dyDescent="0.3">
      <c r="A84" s="2">
        <v>46235</v>
      </c>
      <c r="Z84">
        <f t="shared" si="20"/>
        <v>81</v>
      </c>
      <c r="AA84">
        <f t="shared" si="19"/>
        <v>52888.625228795099</v>
      </c>
      <c r="AB84">
        <f t="shared" si="17"/>
        <v>777385.26513687125</v>
      </c>
      <c r="AC84">
        <f t="shared" si="12"/>
        <v>2.2211007575339177E-2</v>
      </c>
      <c r="AD84">
        <f t="shared" si="13"/>
        <v>2.2211007575339177</v>
      </c>
    </row>
    <row r="85" spans="1:30" x14ac:dyDescent="0.3">
      <c r="A85" s="2">
        <v>46266</v>
      </c>
      <c r="Z85">
        <f t="shared" si="20"/>
        <v>82</v>
      </c>
      <c r="AA85">
        <f t="shared" si="19"/>
        <v>51841.360282283145</v>
      </c>
      <c r="AB85">
        <f t="shared" si="17"/>
        <v>829226.62541915441</v>
      </c>
      <c r="AC85">
        <f t="shared" si="12"/>
        <v>2.3692189297690125E-2</v>
      </c>
      <c r="AD85">
        <f t="shared" si="13"/>
        <v>2.3692189297690125</v>
      </c>
    </row>
    <row r="86" spans="1:30" x14ac:dyDescent="0.3">
      <c r="A86" s="2">
        <v>46296</v>
      </c>
      <c r="Z86">
        <f t="shared" si="20"/>
        <v>83</v>
      </c>
      <c r="AA86">
        <f t="shared" si="19"/>
        <v>50814.832571111452</v>
      </c>
      <c r="AB86">
        <f t="shared" si="17"/>
        <v>880041.45799026592</v>
      </c>
      <c r="AC86">
        <f t="shared" si="12"/>
        <v>2.5144041656864742E-2</v>
      </c>
      <c r="AD86">
        <f t="shared" si="13"/>
        <v>2.5144041656864742</v>
      </c>
    </row>
    <row r="87" spans="1:30" x14ac:dyDescent="0.3">
      <c r="A87" s="2">
        <v>46327</v>
      </c>
      <c r="Z87">
        <f t="shared" si="20"/>
        <v>84</v>
      </c>
      <c r="AA87">
        <f t="shared" si="19"/>
        <v>49808.631470508357</v>
      </c>
      <c r="AB87">
        <f t="shared" si="17"/>
        <v>929850.08946077432</v>
      </c>
      <c r="AC87">
        <f t="shared" si="12"/>
        <v>2.6567145413164982E-2</v>
      </c>
      <c r="AD87">
        <f t="shared" si="13"/>
        <v>2.6567145413164983</v>
      </c>
    </row>
    <row r="88" spans="1:30" x14ac:dyDescent="0.3">
      <c r="A88" s="2">
        <v>46357</v>
      </c>
      <c r="Z88">
        <f t="shared" si="20"/>
        <v>85</v>
      </c>
      <c r="AA88">
        <f t="shared" si="19"/>
        <v>48822.354486617391</v>
      </c>
      <c r="AB88">
        <f t="shared" si="17"/>
        <v>978672.4439473917</v>
      </c>
      <c r="AC88">
        <f t="shared" si="12"/>
        <v>2.7962069827068333E-2</v>
      </c>
      <c r="AD88">
        <f t="shared" si="13"/>
        <v>2.7962069827068334</v>
      </c>
    </row>
    <row r="89" spans="1:30" x14ac:dyDescent="0.3">
      <c r="A89" s="2">
        <v>46388</v>
      </c>
      <c r="Z89">
        <f t="shared" si="20"/>
        <v>86</v>
      </c>
      <c r="AA89">
        <f t="shared" si="19"/>
        <v>47855.607095494473</v>
      </c>
      <c r="AB89">
        <f t="shared" si="17"/>
        <v>1026528.0510428862</v>
      </c>
      <c r="AC89">
        <f t="shared" si="12"/>
        <v>2.9329372886939608E-2</v>
      </c>
      <c r="AD89">
        <f t="shared" si="13"/>
        <v>2.9329372886939606</v>
      </c>
    </row>
    <row r="90" spans="1:30" x14ac:dyDescent="0.3">
      <c r="A90" s="2">
        <v>46419</v>
      </c>
      <c r="Z90">
        <f t="shared" si="20"/>
        <v>87</v>
      </c>
      <c r="AA90">
        <f t="shared" si="19"/>
        <v>46908.002585293027</v>
      </c>
      <c r="AB90">
        <f t="shared" si="17"/>
        <v>1073436.0536281792</v>
      </c>
      <c r="AC90">
        <f t="shared" si="12"/>
        <v>3.0669601532233692E-2</v>
      </c>
      <c r="AD90">
        <f t="shared" si="13"/>
        <v>3.066960153223369</v>
      </c>
    </row>
    <row r="91" spans="1:30" x14ac:dyDescent="0.3">
      <c r="A91" s="2">
        <v>46447</v>
      </c>
      <c r="Z91">
        <f t="shared" si="20"/>
        <v>88</v>
      </c>
      <c r="AA91">
        <f t="shared" si="19"/>
        <v>45979.16190157408</v>
      </c>
      <c r="AB91">
        <f t="shared" si="17"/>
        <v>1119415.2155297534</v>
      </c>
      <c r="AC91">
        <f t="shared" si="12"/>
        <v>3.198329187227867E-2</v>
      </c>
      <c r="AD91">
        <f t="shared" si="13"/>
        <v>3.1983291872278672</v>
      </c>
    </row>
    <row r="92" spans="1:30" x14ac:dyDescent="0.3">
      <c r="A92" s="2">
        <v>46478</v>
      </c>
      <c r="Z92">
        <f t="shared" si="20"/>
        <v>89</v>
      </c>
      <c r="AA92">
        <f t="shared" si="19"/>
        <v>45068.713495679418</v>
      </c>
      <c r="AB92">
        <f t="shared" si="17"/>
        <v>1164483.9290254328</v>
      </c>
      <c r="AC92">
        <f t="shared" si="12"/>
        <v>3.3270969400726651E-2</v>
      </c>
      <c r="AD92">
        <f t="shared" si="13"/>
        <v>3.3270969400726651</v>
      </c>
    </row>
    <row r="93" spans="1:30" x14ac:dyDescent="0.3">
      <c r="A93" s="2">
        <v>46508</v>
      </c>
      <c r="Z93">
        <f t="shared" si="20"/>
        <v>90</v>
      </c>
      <c r="AA93">
        <f t="shared" si="19"/>
        <v>44176.293176107225</v>
      </c>
      <c r="AB93">
        <f t="shared" si="17"/>
        <v>1208660.2222015401</v>
      </c>
      <c r="AC93">
        <f t="shared" si="12"/>
        <v>3.4533149205758291E-2</v>
      </c>
      <c r="AD93">
        <f t="shared" si="13"/>
        <v>3.4533149205758291</v>
      </c>
    </row>
    <row r="94" spans="1:30" x14ac:dyDescent="0.3">
      <c r="A94" s="2">
        <v>46539</v>
      </c>
      <c r="Z94">
        <f t="shared" si="20"/>
        <v>91</v>
      </c>
      <c r="AA94">
        <f t="shared" si="19"/>
        <v>43301.543962830561</v>
      </c>
      <c r="AB94">
        <f t="shared" si="17"/>
        <v>1251961.7661643708</v>
      </c>
      <c r="AC94">
        <f t="shared" si="12"/>
        <v>3.5770336176124878E-2</v>
      </c>
      <c r="AD94">
        <f t="shared" si="13"/>
        <v>3.5770336176124879</v>
      </c>
    </row>
    <row r="95" spans="1:30" x14ac:dyDescent="0.3">
      <c r="A95" s="2">
        <v>46569</v>
      </c>
      <c r="Z95">
        <f t="shared" si="20"/>
        <v>92</v>
      </c>
      <c r="AA95">
        <f t="shared" si="19"/>
        <v>42444.115944500656</v>
      </c>
      <c r="AB95">
        <f t="shared" si="17"/>
        <v>1294405.8821088714</v>
      </c>
      <c r="AC95">
        <f t="shared" si="12"/>
        <v>3.6983025203110607E-2</v>
      </c>
      <c r="AD95">
        <f t="shared" si="13"/>
        <v>3.6983025203110609</v>
      </c>
    </row>
    <row r="96" spans="1:30" x14ac:dyDescent="0.3">
      <c r="A96" s="2">
        <v>46600</v>
      </c>
      <c r="Z96">
        <f t="shared" si="20"/>
        <v>93</v>
      </c>
      <c r="AA96">
        <f t="shared" si="19"/>
        <v>41603.666138477645</v>
      </c>
      <c r="AB96">
        <f t="shared" si="17"/>
        <v>1336009.548247349</v>
      </c>
      <c r="AC96">
        <f t="shared" si="12"/>
        <v>3.8171701378495689E-2</v>
      </c>
      <c r="AD96">
        <f t="shared" si="13"/>
        <v>3.817170137849569</v>
      </c>
    </row>
    <row r="97" spans="1:30" x14ac:dyDescent="0.3">
      <c r="A97" s="2">
        <v>46631</v>
      </c>
      <c r="Z97">
        <f t="shared" si="20"/>
        <v>94</v>
      </c>
      <c r="AA97">
        <f t="shared" si="19"/>
        <v>40779.858353632968</v>
      </c>
      <c r="AB97">
        <f t="shared" si="17"/>
        <v>1376789.406600982</v>
      </c>
      <c r="AC97">
        <f t="shared" si="12"/>
        <v>3.9336840188599481E-2</v>
      </c>
      <c r="AD97">
        <f t="shared" si="13"/>
        <v>3.9336840188599482</v>
      </c>
    </row>
    <row r="98" spans="1:30" x14ac:dyDescent="0.3">
      <c r="A98" s="2">
        <v>46661</v>
      </c>
      <c r="Z98">
        <f t="shared" si="20"/>
        <v>95</v>
      </c>
      <c r="AA98">
        <f t="shared" si="19"/>
        <v>39972.363055868438</v>
      </c>
      <c r="AB98">
        <f t="shared" si="17"/>
        <v>1416761.7696568505</v>
      </c>
      <c r="AC98">
        <f t="shared" si="12"/>
        <v>4.047890770448144E-2</v>
      </c>
      <c r="AD98">
        <f t="shared" si="13"/>
        <v>4.0478907704481442</v>
      </c>
    </row>
    <row r="99" spans="1:30" x14ac:dyDescent="0.3">
      <c r="A99" s="2">
        <v>46692</v>
      </c>
      <c r="Z99">
        <f t="shared" si="20"/>
        <v>96</v>
      </c>
      <c r="AA99">
        <f t="shared" si="19"/>
        <v>39180.857236298209</v>
      </c>
      <c r="AB99">
        <f t="shared" si="17"/>
        <v>1455942.6268931488</v>
      </c>
      <c r="AC99">
        <f t="shared" si="12"/>
        <v>4.1598360768375676E-2</v>
      </c>
      <c r="AD99">
        <f t="shared" si="13"/>
        <v>4.1598360768375677</v>
      </c>
    </row>
    <row r="100" spans="1:30" x14ac:dyDescent="0.3">
      <c r="A100" s="2">
        <v>46722</v>
      </c>
      <c r="Z100">
        <f t="shared" si="20"/>
        <v>97</v>
      </c>
      <c r="AA100">
        <f t="shared" si="19"/>
        <v>38405.024282040882</v>
      </c>
      <c r="AB100">
        <f t="shared" si="17"/>
        <v>1494347.6511751895</v>
      </c>
      <c r="AC100">
        <f t="shared" si="12"/>
        <v>4.2695647176433989E-2</v>
      </c>
      <c r="AD100">
        <f t="shared" si="13"/>
        <v>4.2695647176433988</v>
      </c>
    </row>
    <row r="101" spans="1:30" x14ac:dyDescent="0.3">
      <c r="A101" s="2">
        <v>46753</v>
      </c>
      <c r="Z101">
        <f t="shared" si="20"/>
        <v>98</v>
      </c>
      <c r="AA101">
        <f t="shared" si="19"/>
        <v>37644.553849570199</v>
      </c>
      <c r="AB101">
        <f t="shared" si="17"/>
        <v>1531992.2050247598</v>
      </c>
      <c r="AC101">
        <f t="shared" si="12"/>
        <v>4.3771205857850277E-2</v>
      </c>
      <c r="AD101">
        <f t="shared" si="13"/>
        <v>4.3771205857850282</v>
      </c>
    </row>
    <row r="102" spans="1:30" x14ac:dyDescent="0.3">
      <c r="A102" s="2">
        <v>46784</v>
      </c>
      <c r="Z102">
        <f t="shared" si="20"/>
        <v>99</v>
      </c>
      <c r="AA102">
        <f t="shared" si="19"/>
        <v>36899.141740573417</v>
      </c>
      <c r="AB102">
        <f t="shared" si="17"/>
        <v>1568891.3467653331</v>
      </c>
      <c r="AC102">
        <f t="shared" si="12"/>
        <v>4.4825467050438085E-2</v>
      </c>
      <c r="AD102">
        <f t="shared" si="13"/>
        <v>4.4825467050438084</v>
      </c>
    </row>
    <row r="103" spans="1:30" x14ac:dyDescent="0.3">
      <c r="A103" s="2">
        <v>46813</v>
      </c>
      <c r="Z103">
        <f t="shared" si="20"/>
        <v>100</v>
      </c>
      <c r="AA103">
        <f t="shared" si="19"/>
        <v>36168.489780267984</v>
      </c>
      <c r="AB103">
        <f t="shared" si="17"/>
        <v>1605059.836545601</v>
      </c>
      <c r="AC103">
        <f t="shared" si="12"/>
        <v>4.5858852472731457E-2</v>
      </c>
      <c r="AD103">
        <f t="shared" si="13"/>
        <v>4.5858852472731453</v>
      </c>
    </row>
    <row r="104" spans="1:30" x14ac:dyDescent="0.3">
      <c r="A104" s="2">
        <v>46844</v>
      </c>
      <c r="Z104">
        <f t="shared" si="20"/>
        <v>101</v>
      </c>
      <c r="AA104">
        <f t="shared" si="19"/>
        <v>35452.30569812761</v>
      </c>
      <c r="AB104">
        <f t="shared" si="17"/>
        <v>1640512.1422437287</v>
      </c>
      <c r="AC104">
        <f t="shared" si="12"/>
        <v>4.6871775492677965E-2</v>
      </c>
      <c r="AD104">
        <f t="shared" si="13"/>
        <v>4.6871775492677967</v>
      </c>
    </row>
    <row r="105" spans="1:30" x14ac:dyDescent="0.3">
      <c r="A105" s="2">
        <v>46874</v>
      </c>
      <c r="Z105">
        <f t="shared" si="20"/>
        <v>102</v>
      </c>
      <c r="AA105">
        <f t="shared" si="19"/>
        <v>34750.303010970201</v>
      </c>
      <c r="AB105">
        <f t="shared" si="17"/>
        <v>1675262.4452546989</v>
      </c>
      <c r="AC105">
        <f t="shared" si="12"/>
        <v>4.7864641292991394E-2</v>
      </c>
      <c r="AD105">
        <f t="shared" si="13"/>
        <v>4.786464129299139</v>
      </c>
    </row>
    <row r="106" spans="1:30" x14ac:dyDescent="0.3">
      <c r="A106" s="2">
        <v>46905</v>
      </c>
      <c r="Z106">
        <f t="shared" si="20"/>
        <v>103</v>
      </c>
      <c r="AA106">
        <f t="shared" si="19"/>
        <v>34062.200908360741</v>
      </c>
      <c r="AB106">
        <f t="shared" si="17"/>
        <v>1709324.6461630596</v>
      </c>
      <c r="AC106">
        <f t="shared" si="12"/>
        <v>4.8837847033230276E-2</v>
      </c>
      <c r="AD106">
        <f t="shared" si="13"/>
        <v>4.8837847033230277</v>
      </c>
    </row>
    <row r="107" spans="1:30" x14ac:dyDescent="0.3">
      <c r="A107" s="2">
        <v>46935</v>
      </c>
      <c r="Z107">
        <f t="shared" si="20"/>
        <v>104</v>
      </c>
      <c r="AA107">
        <f t="shared" si="19"/>
        <v>33387.724140283346</v>
      </c>
      <c r="AB107">
        <f t="shared" si="17"/>
        <v>1742712.3703033431</v>
      </c>
      <c r="AC107">
        <f t="shared" si="12"/>
        <v>4.9791782008666942E-2</v>
      </c>
      <c r="AD107">
        <f t="shared" si="13"/>
        <v>4.979178200866694</v>
      </c>
    </row>
    <row r="108" spans="1:30" x14ac:dyDescent="0.3">
      <c r="A108" s="2">
        <v>46966</v>
      </c>
      <c r="Z108">
        <f t="shared" si="20"/>
        <v>105</v>
      </c>
      <c r="AA108">
        <f t="shared" si="19"/>
        <v>32726.602907037668</v>
      </c>
      <c r="AB108">
        <f t="shared" si="17"/>
        <v>1775438.9732103806</v>
      </c>
      <c r="AC108">
        <f t="shared" si="12"/>
        <v>5.0726827806010878E-2</v>
      </c>
      <c r="AD108">
        <f t="shared" si="13"/>
        <v>5.0726827806010881</v>
      </c>
    </row>
    <row r="109" spans="1:30" x14ac:dyDescent="0.3">
      <c r="A109" s="2">
        <v>46997</v>
      </c>
      <c r="Z109">
        <f t="shared" si="20"/>
        <v>106</v>
      </c>
      <c r="AA109">
        <f t="shared" si="19"/>
        <v>32078.572751315322</v>
      </c>
      <c r="AB109">
        <f t="shared" si="17"/>
        <v>1807517.545961696</v>
      </c>
      <c r="AC109">
        <f t="shared" si="12"/>
        <v>5.1643358456048456E-2</v>
      </c>
      <c r="AD109">
        <f t="shared" si="13"/>
        <v>5.164335845604846</v>
      </c>
    </row>
    <row r="110" spans="1:30" x14ac:dyDescent="0.3">
      <c r="A110" s="2">
        <v>47027</v>
      </c>
      <c r="Z110">
        <f t="shared" si="20"/>
        <v>107</v>
      </c>
      <c r="AA110">
        <f t="shared" si="19"/>
        <v>31443.374452413507</v>
      </c>
      <c r="AB110">
        <f t="shared" si="17"/>
        <v>1838960.9204141095</v>
      </c>
      <c r="AC110">
        <f t="shared" si="12"/>
        <v>5.254174058326027E-2</v>
      </c>
      <c r="AD110">
        <f t="shared" si="13"/>
        <v>5.2541740583260266</v>
      </c>
    </row>
    <row r="111" spans="1:30" x14ac:dyDescent="0.3">
      <c r="A111" s="2">
        <v>47058</v>
      </c>
      <c r="Z111">
        <f t="shared" si="20"/>
        <v>108</v>
      </c>
      <c r="AA111">
        <f t="shared" si="19"/>
        <v>30820.753922543245</v>
      </c>
      <c r="AB111">
        <f t="shared" si="17"/>
        <v>1869781.6743366527</v>
      </c>
      <c r="AC111">
        <f t="shared" si="12"/>
        <v>5.342233355247579E-2</v>
      </c>
      <c r="AD111">
        <f t="shared" si="13"/>
        <v>5.3422333552475791</v>
      </c>
    </row>
    <row r="112" spans="1:30" x14ac:dyDescent="0.3">
      <c r="A112" s="2">
        <v>47088</v>
      </c>
      <c r="Z112">
        <f t="shared" si="20"/>
        <v>109</v>
      </c>
      <c r="AA112">
        <f t="shared" si="19"/>
        <v>30210.462105190862</v>
      </c>
      <c r="AB112">
        <f t="shared" si="17"/>
        <v>1899992.1364418436</v>
      </c>
      <c r="AC112">
        <f t="shared" si="12"/>
        <v>5.4285489612624103E-2</v>
      </c>
      <c r="AD112">
        <f t="shared" si="13"/>
        <v>5.4285489612624103</v>
      </c>
    </row>
    <row r="113" spans="1:30" x14ac:dyDescent="0.3">
      <c r="A113" s="2">
        <v>47119</v>
      </c>
      <c r="Z113">
        <f t="shared" si="20"/>
        <v>110</v>
      </c>
      <c r="AA113">
        <f t="shared" si="19"/>
        <v>29612.25487549209</v>
      </c>
      <c r="AB113">
        <f t="shared" si="17"/>
        <v>1929604.3913173357</v>
      </c>
      <c r="AC113">
        <f t="shared" si="12"/>
        <v>5.5131554037638163E-2</v>
      </c>
      <c r="AD113">
        <f t="shared" si="13"/>
        <v>5.5131554037638164</v>
      </c>
    </row>
    <row r="114" spans="1:30" x14ac:dyDescent="0.3">
      <c r="A114" s="2">
        <v>47150</v>
      </c>
      <c r="Z114">
        <f t="shared" si="20"/>
        <v>111</v>
      </c>
      <c r="AA114">
        <f t="shared" si="19"/>
        <v>29025.892942578841</v>
      </c>
      <c r="AB114">
        <f t="shared" si="17"/>
        <v>1958630.2842599144</v>
      </c>
      <c r="AC114">
        <f t="shared" si="12"/>
        <v>5.5960865264568983E-2</v>
      </c>
      <c r="AD114">
        <f t="shared" si="13"/>
        <v>5.5960865264568982</v>
      </c>
    </row>
    <row r="115" spans="1:30" x14ac:dyDescent="0.3">
      <c r="A115" s="2">
        <v>47178</v>
      </c>
      <c r="Z115">
        <f t="shared" si="20"/>
        <v>112</v>
      </c>
      <c r="AA115">
        <f t="shared" si="19"/>
        <v>28451.141753859691</v>
      </c>
      <c r="AB115">
        <f t="shared" si="17"/>
        <v>1987081.426013774</v>
      </c>
      <c r="AC115">
        <f t="shared" si="12"/>
        <v>5.6773755028964971E-2</v>
      </c>
      <c r="AD115">
        <f t="shared" si="13"/>
        <v>5.6773755028964974</v>
      </c>
    </row>
    <row r="116" spans="1:30" x14ac:dyDescent="0.3">
      <c r="A116" s="2">
        <v>47209</v>
      </c>
      <c r="Z116">
        <f t="shared" si="20"/>
        <v>113</v>
      </c>
      <c r="AA116">
        <f t="shared" si="19"/>
        <v>27887.7714011957</v>
      </c>
      <c r="AB116">
        <f t="shared" si="17"/>
        <v>2014969.1974149698</v>
      </c>
      <c r="AC116">
        <f t="shared" si="12"/>
        <v>5.7570548497570567E-2</v>
      </c>
      <c r="AD116">
        <f t="shared" si="13"/>
        <v>5.7570548497570568</v>
      </c>
    </row>
    <row r="117" spans="1:30" x14ac:dyDescent="0.3">
      <c r="A117" s="2">
        <v>47239</v>
      </c>
      <c r="Z117">
        <f t="shared" si="20"/>
        <v>114</v>
      </c>
      <c r="AA117">
        <f t="shared" si="19"/>
        <v>27335.556528934096</v>
      </c>
      <c r="AB117">
        <f t="shared" si="17"/>
        <v>2042304.7539439038</v>
      </c>
      <c r="AC117">
        <f t="shared" si="12"/>
        <v>5.8351564398397254E-2</v>
      </c>
      <c r="AD117">
        <f t="shared" si="13"/>
        <v>5.8351564398397251</v>
      </c>
    </row>
    <row r="118" spans="1:30" x14ac:dyDescent="0.3">
      <c r="A118" s="2">
        <v>47270</v>
      </c>
      <c r="Z118">
        <f t="shared" si="20"/>
        <v>115</v>
      </c>
      <c r="AA118">
        <f t="shared" si="19"/>
        <v>26794.276243763012</v>
      </c>
      <c r="AB118">
        <f t="shared" si="17"/>
        <v>2069099.0301876669</v>
      </c>
      <c r="AC118">
        <f t="shared" si="12"/>
        <v>5.9117115148219053E-2</v>
      </c>
      <c r="AD118">
        <f t="shared" si="13"/>
        <v>5.9117115148219055</v>
      </c>
    </row>
    <row r="119" spans="1:30" x14ac:dyDescent="0.3">
      <c r="A119" s="2">
        <v>47300</v>
      </c>
      <c r="Z119">
        <f t="shared" si="20"/>
        <v>116</v>
      </c>
      <c r="AA119">
        <f t="shared" si="19"/>
        <v>26263.714026351226</v>
      </c>
      <c r="AB119">
        <f t="shared" si="17"/>
        <v>2095362.7442140181</v>
      </c>
      <c r="AC119">
        <f t="shared" si="12"/>
        <v>5.9867506977543374E-2</v>
      </c>
      <c r="AD119">
        <f t="shared" si="13"/>
        <v>5.9867506977543377</v>
      </c>
    </row>
    <row r="120" spans="1:30" x14ac:dyDescent="0.3">
      <c r="A120" s="2">
        <v>47331</v>
      </c>
      <c r="Z120">
        <f t="shared" si="20"/>
        <v>117</v>
      </c>
      <c r="AA120">
        <f t="shared" si="19"/>
        <v>25743.657644737494</v>
      </c>
      <c r="AB120">
        <f t="shared" si="17"/>
        <v>2121106.4018587554</v>
      </c>
      <c r="AC120">
        <f t="shared" si="12"/>
        <v>6.06030400531073E-2</v>
      </c>
      <c r="AD120">
        <f t="shared" si="13"/>
        <v>6.06030400531073</v>
      </c>
    </row>
    <row r="121" spans="1:30" x14ac:dyDescent="0.3">
      <c r="A121" s="2">
        <v>47362</v>
      </c>
      <c r="Z121">
        <f t="shared" si="20"/>
        <v>118</v>
      </c>
      <c r="AA121">
        <f t="shared" si="19"/>
        <v>25233.899069435</v>
      </c>
      <c r="AB121">
        <f t="shared" si="17"/>
        <v>2146340.3009281904</v>
      </c>
      <c r="AC121">
        <f t="shared" si="12"/>
        <v>6.1324008597948294E-2</v>
      </c>
      <c r="AD121">
        <f t="shared" si="13"/>
        <v>6.1324008597948296</v>
      </c>
    </row>
    <row r="122" spans="1:30" x14ac:dyDescent="0.3">
      <c r="A122" s="2">
        <v>47392</v>
      </c>
      <c r="Z122">
        <f t="shared" si="20"/>
        <v>119</v>
      </c>
      <c r="AA122">
        <f t="shared" si="19"/>
        <v>24734.234390216756</v>
      </c>
      <c r="AB122">
        <f t="shared" si="17"/>
        <v>2171074.5353184072</v>
      </c>
      <c r="AC122">
        <f t="shared" si="12"/>
        <v>6.2030701009097348E-2</v>
      </c>
      <c r="AD122">
        <f t="shared" si="13"/>
        <v>6.2030701009097351</v>
      </c>
    </row>
    <row r="123" spans="1:30" x14ac:dyDescent="0.3">
      <c r="A123" s="2">
        <v>47423</v>
      </c>
      <c r="Z123">
        <f t="shared" si="20"/>
        <v>120</v>
      </c>
      <c r="AA123">
        <f t="shared" si="19"/>
        <v>24244.463734548783</v>
      </c>
      <c r="AB123">
        <f t="shared" si="17"/>
        <v>2195318.9990529562</v>
      </c>
      <c r="AC123">
        <f t="shared" si="12"/>
        <v>6.2723399972941601E-2</v>
      </c>
      <c r="AD123">
        <f t="shared" si="13"/>
        <v>6.2723399972941598</v>
      </c>
    </row>
    <row r="124" spans="1:30" x14ac:dyDescent="0.3">
      <c r="A124" s="2">
        <v>47453</v>
      </c>
      <c r="Z124">
        <f t="shared" si="20"/>
        <v>121</v>
      </c>
      <c r="AA124">
        <f t="shared" si="19"/>
        <v>23764.391187638459</v>
      </c>
      <c r="AB124">
        <f t="shared" si="17"/>
        <v>2219083.3902405947</v>
      </c>
      <c r="AC124">
        <f t="shared" si="12"/>
        <v>6.3402382578302705E-2</v>
      </c>
      <c r="AD124">
        <f t="shared" si="13"/>
        <v>6.3402382578302703</v>
      </c>
    </row>
    <row r="125" spans="1:30" x14ac:dyDescent="0.3">
      <c r="A125" s="2">
        <v>47484</v>
      </c>
      <c r="Z125">
        <f t="shared" si="20"/>
        <v>122</v>
      </c>
      <c r="AA125">
        <f t="shared" si="19"/>
        <v>23293.824714065962</v>
      </c>
      <c r="AB125">
        <f t="shared" si="17"/>
        <v>2242377.2149546607</v>
      </c>
      <c r="AC125">
        <f t="shared" si="12"/>
        <v>6.4067920427276021E-2</v>
      </c>
      <c r="AD125">
        <f t="shared" si="13"/>
        <v>6.4067920427276022</v>
      </c>
    </row>
    <row r="126" spans="1:30" x14ac:dyDescent="0.3">
      <c r="A126" s="2">
        <v>47515</v>
      </c>
      <c r="Z126">
        <f t="shared" si="20"/>
        <v>123</v>
      </c>
      <c r="AA126">
        <f t="shared" si="19"/>
        <v>22832.576080967567</v>
      </c>
      <c r="AB126">
        <f t="shared" si="17"/>
        <v>2265209.7910356284</v>
      </c>
      <c r="AC126">
        <f t="shared" si="12"/>
        <v>6.4720279743875092E-2</v>
      </c>
      <c r="AD126">
        <f t="shared" si="13"/>
        <v>6.4720279743875091</v>
      </c>
    </row>
    <row r="127" spans="1:30" x14ac:dyDescent="0.3">
      <c r="A127" s="2">
        <v>47543</v>
      </c>
      <c r="Z127">
        <f t="shared" si="20"/>
        <v>124</v>
      </c>
      <c r="AA127">
        <f t="shared" si="19"/>
        <v>22380.460782739963</v>
      </c>
      <c r="AB127">
        <f t="shared" si="17"/>
        <v>2287590.2518183682</v>
      </c>
      <c r="AC127">
        <f t="shared" si="12"/>
        <v>6.535972148052481E-2</v>
      </c>
      <c r="AD127">
        <f t="shared" si="13"/>
        <v>6.5359721480524806</v>
      </c>
    </row>
    <row r="128" spans="1:30" x14ac:dyDescent="0.3">
      <c r="A128" s="2">
        <v>47574</v>
      </c>
      <c r="Z128">
        <f t="shared" si="20"/>
        <v>125</v>
      </c>
      <c r="AA128">
        <f t="shared" si="19"/>
        <v>21937.29796723558</v>
      </c>
      <c r="AB128">
        <f t="shared" si="17"/>
        <v>2309527.5497856038</v>
      </c>
      <c r="AC128">
        <f t="shared" si="12"/>
        <v>6.5986501422445817E-2</v>
      </c>
      <c r="AD128">
        <f t="shared" si="13"/>
        <v>6.5986501422445816</v>
      </c>
    </row>
    <row r="129" spans="1:30" x14ac:dyDescent="0.3">
      <c r="A129" s="2">
        <v>47604</v>
      </c>
      <c r="Z129">
        <f t="shared" si="20"/>
        <v>126</v>
      </c>
      <c r="AA129">
        <f t="shared" si="19"/>
        <v>21502.910363419294</v>
      </c>
      <c r="AB129">
        <f t="shared" si="17"/>
        <v>2331030.4601490232</v>
      </c>
      <c r="AC129">
        <f t="shared" si="12"/>
        <v>6.6600870289972094E-2</v>
      </c>
      <c r="AD129">
        <f t="shared" si="13"/>
        <v>6.6600870289972098</v>
      </c>
    </row>
    <row r="130" spans="1:30" x14ac:dyDescent="0.3">
      <c r="A130" s="2">
        <v>47635</v>
      </c>
      <c r="Z130">
        <f t="shared" si="20"/>
        <v>127</v>
      </c>
      <c r="AA130">
        <f t="shared" si="19"/>
        <v>21077.12421045767</v>
      </c>
      <c r="AB130">
        <f t="shared" si="17"/>
        <v>2352107.584359481</v>
      </c>
      <c r="AC130">
        <f t="shared" si="12"/>
        <v>6.7203073838842317E-2</v>
      </c>
      <c r="AD130">
        <f t="shared" si="13"/>
        <v>6.720307383884232</v>
      </c>
    </row>
    <row r="131" spans="1:30" x14ac:dyDescent="0.3">
      <c r="A131" s="2">
        <v>47665</v>
      </c>
      <c r="Z131">
        <f t="shared" si="20"/>
        <v>128</v>
      </c>
      <c r="AA131">
        <f t="shared" si="19"/>
        <v>20659.7691882123</v>
      </c>
      <c r="AB131">
        <f t="shared" si="17"/>
        <v>2372767.3535476932</v>
      </c>
      <c r="AC131">
        <f t="shared" si="12"/>
        <v>6.7793352958505526E-2</v>
      </c>
      <c r="AD131">
        <f t="shared" si="13"/>
        <v>6.7793352958505526</v>
      </c>
    </row>
    <row r="132" spans="1:30" x14ac:dyDescent="0.3">
      <c r="A132" s="2">
        <v>47696</v>
      </c>
      <c r="Z132">
        <f t="shared" si="20"/>
        <v>129</v>
      </c>
      <c r="AA132">
        <f t="shared" ref="AA132:AA195" si="21">267251*EXP(-0.02*Z132)</f>
        <v>20250.678349109479</v>
      </c>
      <c r="AB132">
        <f t="shared" si="17"/>
        <v>2393018.0318968026</v>
      </c>
      <c r="AC132">
        <f t="shared" ref="AC132:AC195" si="22">AB132/(35*10^6)</f>
        <v>6.8371943768480076E-2</v>
      </c>
      <c r="AD132">
        <f t="shared" ref="AD132:AD195" si="23">AC132*100</f>
        <v>6.8371943768480072</v>
      </c>
    </row>
    <row r="133" spans="1:30" x14ac:dyDescent="0.3">
      <c r="A133" s="2">
        <v>47727</v>
      </c>
      <c r="Z133">
        <f t="shared" si="20"/>
        <v>130</v>
      </c>
      <c r="AA133">
        <f t="shared" si="21"/>
        <v>19849.688051358942</v>
      </c>
      <c r="AB133">
        <f t="shared" ref="AB133:AB196" si="24">AB132+AA133</f>
        <v>2412867.7199481614</v>
      </c>
      <c r="AC133">
        <f t="shared" si="22"/>
        <v>6.8939077712804608E-2</v>
      </c>
      <c r="AD133">
        <f t="shared" si="23"/>
        <v>6.8939077712804604</v>
      </c>
    </row>
    <row r="134" spans="1:30" x14ac:dyDescent="0.3">
      <c r="A134" s="2">
        <v>47757</v>
      </c>
      <c r="Z134">
        <f t="shared" si="20"/>
        <v>131</v>
      </c>
      <c r="AA134">
        <f t="shared" si="21"/>
        <v>19456.63789349499</v>
      </c>
      <c r="AB134">
        <f t="shared" si="24"/>
        <v>2432324.3578416565</v>
      </c>
      <c r="AC134">
        <f t="shared" si="22"/>
        <v>6.9494981652618762E-2</v>
      </c>
      <c r="AD134">
        <f t="shared" si="23"/>
        <v>6.9494981652618764</v>
      </c>
    </row>
    <row r="135" spans="1:30" x14ac:dyDescent="0.3">
      <c r="A135" s="2">
        <v>47788</v>
      </c>
      <c r="Z135">
        <f t="shared" si="20"/>
        <v>132</v>
      </c>
      <c r="AA135">
        <f t="shared" si="21"/>
        <v>19071.370650213728</v>
      </c>
      <c r="AB135">
        <f t="shared" si="24"/>
        <v>2451395.7284918702</v>
      </c>
      <c r="AC135">
        <f t="shared" si="22"/>
        <v>7.0039877956910579E-2</v>
      </c>
      <c r="AD135">
        <f t="shared" si="23"/>
        <v>7.0039877956910583</v>
      </c>
    </row>
    <row r="136" spans="1:30" x14ac:dyDescent="0.3">
      <c r="A136" s="2">
        <v>47818</v>
      </c>
      <c r="Z136">
        <f t="shared" si="20"/>
        <v>133</v>
      </c>
      <c r="AA136">
        <f t="shared" si="21"/>
        <v>18693.732209480888</v>
      </c>
      <c r="AB136">
        <f t="shared" si="24"/>
        <v>2470089.4607013511</v>
      </c>
      <c r="AC136">
        <f t="shared" si="22"/>
        <v>7.0573984591467173E-2</v>
      </c>
      <c r="AD136">
        <f t="shared" si="23"/>
        <v>7.0573984591467172</v>
      </c>
    </row>
    <row r="137" spans="1:30" x14ac:dyDescent="0.3">
      <c r="A137" s="2">
        <v>47849</v>
      </c>
      <c r="Z137">
        <f t="shared" si="20"/>
        <v>134</v>
      </c>
      <c r="AA137">
        <f t="shared" si="21"/>
        <v>18323.571510884925</v>
      </c>
      <c r="AB137">
        <f t="shared" si="24"/>
        <v>2488413.032212236</v>
      </c>
      <c r="AC137">
        <f t="shared" si="22"/>
        <v>7.1097515206063888E-2</v>
      </c>
      <c r="AD137">
        <f t="shared" si="23"/>
        <v>7.1097515206063893</v>
      </c>
    </row>
    <row r="138" spans="1:30" x14ac:dyDescent="0.3">
      <c r="A138" s="2">
        <v>47880</v>
      </c>
      <c r="Z138">
        <f t="shared" ref="Z138:Z201" si="25">Z137+1</f>
        <v>135</v>
      </c>
      <c r="AA138">
        <f t="shared" si="21"/>
        <v>17960.740485210863</v>
      </c>
      <c r="AB138">
        <f t="shared" si="24"/>
        <v>2506373.7726974469</v>
      </c>
      <c r="AC138">
        <f t="shared" si="22"/>
        <v>7.1610679219927059E-2</v>
      </c>
      <c r="AD138">
        <f t="shared" si="23"/>
        <v>7.1610679219927063</v>
      </c>
    </row>
    <row r="139" spans="1:30" x14ac:dyDescent="0.3">
      <c r="A139" s="2">
        <v>47908</v>
      </c>
      <c r="Z139">
        <f t="shared" si="25"/>
        <v>136</v>
      </c>
      <c r="AA139">
        <f t="shared" si="21"/>
        <v>17605.093995210613</v>
      </c>
      <c r="AB139">
        <f t="shared" si="24"/>
        <v>2523978.8666926576</v>
      </c>
      <c r="AC139">
        <f t="shared" si="22"/>
        <v>7.2113681905504504E-2</v>
      </c>
      <c r="AD139">
        <f t="shared" si="23"/>
        <v>7.2113681905504503</v>
      </c>
    </row>
    <row r="140" spans="1:30" x14ac:dyDescent="0.3">
      <c r="A140" s="2">
        <v>47939</v>
      </c>
      <c r="Z140">
        <f t="shared" si="25"/>
        <v>137</v>
      </c>
      <c r="AA140">
        <f t="shared" si="21"/>
        <v>17256.489777546169</v>
      </c>
      <c r="AB140">
        <f t="shared" si="24"/>
        <v>2541235.356470204</v>
      </c>
      <c r="AC140">
        <f t="shared" si="22"/>
        <v>7.2606724470577255E-2</v>
      </c>
      <c r="AD140">
        <f t="shared" si="23"/>
        <v>7.2606724470577255</v>
      </c>
    </row>
    <row r="141" spans="1:30" x14ac:dyDescent="0.3">
      <c r="A141" s="2">
        <v>47969</v>
      </c>
      <c r="Z141">
        <f t="shared" si="25"/>
        <v>138</v>
      </c>
      <c r="AA141">
        <f t="shared" si="21"/>
        <v>16914.788385882337</v>
      </c>
      <c r="AB141">
        <f t="shared" si="24"/>
        <v>2558150.1448560865</v>
      </c>
      <c r="AC141">
        <f t="shared" si="22"/>
        <v>7.3090004138745321E-2</v>
      </c>
      <c r="AD141">
        <f t="shared" si="23"/>
        <v>7.3090004138745321</v>
      </c>
    </row>
    <row r="142" spans="1:30" x14ac:dyDescent="0.3">
      <c r="A142" s="2">
        <v>48000</v>
      </c>
      <c r="Z142">
        <f t="shared" si="25"/>
        <v>139</v>
      </c>
      <c r="AA142">
        <f t="shared" si="21"/>
        <v>16579.853135106379</v>
      </c>
      <c r="AB142">
        <f t="shared" si="24"/>
        <v>2574729.9979911926</v>
      </c>
      <c r="AC142">
        <f t="shared" si="22"/>
        <v>7.3563714228319796E-2</v>
      </c>
      <c r="AD142">
        <f t="shared" si="23"/>
        <v>7.3563714228319794</v>
      </c>
    </row>
    <row r="143" spans="1:30" x14ac:dyDescent="0.3">
      <c r="A143" s="2">
        <v>48030</v>
      </c>
      <c r="Z143">
        <f t="shared" si="25"/>
        <v>140</v>
      </c>
      <c r="AA143">
        <f t="shared" si="21"/>
        <v>16251.550046652123</v>
      </c>
      <c r="AB143">
        <f t="shared" si="24"/>
        <v>2590981.5480378447</v>
      </c>
      <c r="AC143">
        <f t="shared" si="22"/>
        <v>7.4028044229652701E-2</v>
      </c>
      <c r="AD143">
        <f t="shared" si="23"/>
        <v>7.4028044229652696</v>
      </c>
    </row>
    <row r="144" spans="1:30" x14ac:dyDescent="0.3">
      <c r="A144" s="2">
        <v>48061</v>
      </c>
      <c r="Z144">
        <f t="shared" si="25"/>
        <v>141</v>
      </c>
      <c r="AA144">
        <f t="shared" si="21"/>
        <v>15929.747794906754</v>
      </c>
      <c r="AB144">
        <f t="shared" si="24"/>
        <v>2606911.2958327513</v>
      </c>
      <c r="AC144">
        <f t="shared" si="22"/>
        <v>7.4483179880935751E-2</v>
      </c>
      <c r="AD144">
        <f t="shared" si="23"/>
        <v>7.4483179880935753</v>
      </c>
    </row>
    <row r="145" spans="1:30" x14ac:dyDescent="0.3">
      <c r="A145" s="2">
        <v>48092</v>
      </c>
      <c r="Z145">
        <f t="shared" si="25"/>
        <v>142</v>
      </c>
      <c r="AA145">
        <f t="shared" si="21"/>
        <v>15614.317654678811</v>
      </c>
      <c r="AB145">
        <f t="shared" si="24"/>
        <v>2622525.6134874299</v>
      </c>
      <c r="AC145">
        <f t="shared" si="22"/>
        <v>7.4929303242497997E-2</v>
      </c>
      <c r="AD145">
        <f t="shared" si="23"/>
        <v>7.4929303242497998</v>
      </c>
    </row>
    <row r="146" spans="1:30" x14ac:dyDescent="0.3">
      <c r="A146" s="2">
        <v>48122</v>
      </c>
      <c r="Z146">
        <f t="shared" si="25"/>
        <v>143</v>
      </c>
      <c r="AA146">
        <f t="shared" si="21"/>
        <v>15305.133449706416</v>
      </c>
      <c r="AB146">
        <f t="shared" si="24"/>
        <v>2637830.7469371362</v>
      </c>
      <c r="AC146">
        <f t="shared" si="22"/>
        <v>7.5366592769632465E-2</v>
      </c>
      <c r="AD146">
        <f t="shared" si="23"/>
        <v>7.5366592769632463</v>
      </c>
    </row>
    <row r="147" spans="1:30" x14ac:dyDescent="0.3">
      <c r="A147" s="2">
        <v>48153</v>
      </c>
      <c r="Z147">
        <f t="shared" si="25"/>
        <v>144</v>
      </c>
      <c r="AA147">
        <f t="shared" si="21"/>
        <v>15002.071502185072</v>
      </c>
      <c r="AB147">
        <f t="shared" si="24"/>
        <v>2652832.8184393211</v>
      </c>
      <c r="AC147">
        <f t="shared" si="22"/>
        <v>7.5795223383980606E-2</v>
      </c>
      <c r="AD147">
        <f t="shared" si="23"/>
        <v>7.5795223383980606</v>
      </c>
    </row>
    <row r="148" spans="1:30" x14ac:dyDescent="0.3">
      <c r="A148" s="2">
        <v>48183</v>
      </c>
      <c r="Z148">
        <f t="shared" si="25"/>
        <v>145</v>
      </c>
      <c r="AA148">
        <f t="shared" si="21"/>
        <v>14705.010583294888</v>
      </c>
      <c r="AB148">
        <f t="shared" si="24"/>
        <v>2667537.8290226161</v>
      </c>
      <c r="AC148">
        <f t="shared" si="22"/>
        <v>7.6215366543503318E-2</v>
      </c>
      <c r="AD148">
        <f t="shared" si="23"/>
        <v>7.621536654350332</v>
      </c>
    </row>
    <row r="149" spans="1:30" x14ac:dyDescent="0.3">
      <c r="A149" s="2">
        <v>48214</v>
      </c>
      <c r="Z149">
        <f t="shared" si="25"/>
        <v>146</v>
      </c>
      <c r="AA149">
        <f t="shared" si="21"/>
        <v>14413.831864707447</v>
      </c>
      <c r="AB149">
        <f t="shared" si="24"/>
        <v>2681951.6608873238</v>
      </c>
      <c r="AC149">
        <f t="shared" si="22"/>
        <v>7.6627190311066393E-2</v>
      </c>
      <c r="AD149">
        <f t="shared" si="23"/>
        <v>7.6627190311066391</v>
      </c>
    </row>
    <row r="150" spans="1:30" x14ac:dyDescent="0.3">
      <c r="A150" s="2">
        <v>48245</v>
      </c>
      <c r="Z150">
        <f t="shared" si="25"/>
        <v>147</v>
      </c>
      <c r="AA150">
        <f t="shared" si="21"/>
        <v>14128.418871052874</v>
      </c>
      <c r="AB150">
        <f t="shared" si="24"/>
        <v>2696080.0797583768</v>
      </c>
      <c r="AC150">
        <f t="shared" si="22"/>
        <v>7.7030859421667902E-2</v>
      </c>
      <c r="AD150">
        <f t="shared" si="23"/>
        <v>7.7030859421667905</v>
      </c>
    </row>
    <row r="151" spans="1:30" x14ac:dyDescent="0.3">
      <c r="A151" s="2">
        <v>48274</v>
      </c>
      <c r="Z151">
        <f t="shared" si="25"/>
        <v>148</v>
      </c>
      <c r="AA151">
        <f t="shared" si="21"/>
        <v>13848.657433328151</v>
      </c>
      <c r="AB151">
        <f t="shared" si="24"/>
        <v>2709928.737191705</v>
      </c>
      <c r="AC151">
        <f t="shared" si="22"/>
        <v>7.7426535348334435E-2</v>
      </c>
      <c r="AD151">
        <f t="shared" si="23"/>
        <v>7.742653534833444</v>
      </c>
    </row>
    <row r="152" spans="1:30" x14ac:dyDescent="0.3">
      <c r="A152" s="2">
        <v>48305</v>
      </c>
      <c r="Z152">
        <f t="shared" si="25"/>
        <v>149</v>
      </c>
      <c r="AA152">
        <f t="shared" si="21"/>
        <v>13574.435643227989</v>
      </c>
      <c r="AB152">
        <f t="shared" si="24"/>
        <v>2723503.1728349328</v>
      </c>
      <c r="AC152">
        <f t="shared" si="22"/>
        <v>7.7814376366712359E-2</v>
      </c>
      <c r="AD152">
        <f t="shared" si="23"/>
        <v>7.7814376366712361</v>
      </c>
    </row>
    <row r="153" spans="1:30" x14ac:dyDescent="0.3">
      <c r="A153" s="2">
        <v>48335</v>
      </c>
      <c r="Z153">
        <f t="shared" si="25"/>
        <v>150</v>
      </c>
      <c r="AA153">
        <f t="shared" si="21"/>
        <v>13305.643808380008</v>
      </c>
      <c r="AB153">
        <f t="shared" si="24"/>
        <v>2736808.816643313</v>
      </c>
      <c r="AC153">
        <f t="shared" si="22"/>
        <v>7.8194537618380369E-2</v>
      </c>
      <c r="AD153">
        <f t="shared" si="23"/>
        <v>7.8194537618380373</v>
      </c>
    </row>
    <row r="154" spans="1:30" x14ac:dyDescent="0.3">
      <c r="A154" s="2">
        <v>48366</v>
      </c>
      <c r="Z154">
        <f t="shared" si="25"/>
        <v>151</v>
      </c>
      <c r="AA154">
        <f t="shared" si="21"/>
        <v>13042.174408466326</v>
      </c>
      <c r="AB154">
        <f t="shared" si="24"/>
        <v>2749850.9910517796</v>
      </c>
      <c r="AC154">
        <f t="shared" si="22"/>
        <v>7.8567171172907985E-2</v>
      </c>
      <c r="AD154">
        <f t="shared" si="23"/>
        <v>7.8567171172907981</v>
      </c>
    </row>
    <row r="155" spans="1:30" x14ac:dyDescent="0.3">
      <c r="A155" s="2">
        <v>48396</v>
      </c>
      <c r="Z155">
        <f t="shared" si="25"/>
        <v>152</v>
      </c>
      <c r="AA155">
        <f t="shared" si="21"/>
        <v>12783.922052214008</v>
      </c>
      <c r="AB155">
        <f t="shared" si="24"/>
        <v>2762634.9131039935</v>
      </c>
      <c r="AC155">
        <f t="shared" si="22"/>
        <v>7.8932426088685531E-2</v>
      </c>
      <c r="AD155">
        <f t="shared" si="23"/>
        <v>7.8932426088685528</v>
      </c>
    </row>
    <row r="156" spans="1:30" x14ac:dyDescent="0.3">
      <c r="A156" s="2">
        <v>48427</v>
      </c>
      <c r="Z156">
        <f t="shared" si="25"/>
        <v>153</v>
      </c>
      <c r="AA156">
        <f t="shared" si="21"/>
        <v>12530.783435237143</v>
      </c>
      <c r="AB156">
        <f t="shared" si="24"/>
        <v>2775165.6965392306</v>
      </c>
      <c r="AC156">
        <f t="shared" si="22"/>
        <v>7.9290448472549444E-2</v>
      </c>
      <c r="AD156">
        <f t="shared" si="23"/>
        <v>7.9290448472549446</v>
      </c>
    </row>
    <row r="157" spans="1:30" x14ac:dyDescent="0.3">
      <c r="A157" s="2">
        <v>48458</v>
      </c>
      <c r="Z157">
        <f t="shared" si="25"/>
        <v>154</v>
      </c>
      <c r="AA157">
        <f t="shared" si="21"/>
        <v>12282.657298713713</v>
      </c>
      <c r="AB157">
        <f t="shared" si="24"/>
        <v>2787448.3538379446</v>
      </c>
      <c r="AC157">
        <f t="shared" si="22"/>
        <v>7.9641381538226988E-2</v>
      </c>
      <c r="AD157">
        <f t="shared" si="23"/>
        <v>7.9641381538226987</v>
      </c>
    </row>
    <row r="158" spans="1:30" x14ac:dyDescent="0.3">
      <c r="A158" s="2">
        <v>48488</v>
      </c>
      <c r="Z158">
        <f t="shared" si="25"/>
        <v>155</v>
      </c>
      <c r="AA158">
        <f t="shared" si="21"/>
        <v>12039.444388880716</v>
      </c>
      <c r="AB158">
        <f t="shared" si="24"/>
        <v>2799487.7982268254</v>
      </c>
      <c r="AC158">
        <f t="shared" si="22"/>
        <v>7.9985365663623589E-2</v>
      </c>
      <c r="AD158">
        <f t="shared" si="23"/>
        <v>7.9985365663623593</v>
      </c>
    </row>
    <row r="159" spans="1:30" x14ac:dyDescent="0.3">
      <c r="A159" s="2">
        <v>48519</v>
      </c>
      <c r="Z159">
        <f t="shared" si="25"/>
        <v>156</v>
      </c>
      <c r="AA159">
        <f t="shared" si="21"/>
        <v>11801.047417331336</v>
      </c>
      <c r="AB159">
        <f t="shared" si="24"/>
        <v>2811288.8456441569</v>
      </c>
      <c r="AC159">
        <f t="shared" si="22"/>
        <v>8.0322538446975913E-2</v>
      </c>
      <c r="AD159">
        <f t="shared" si="23"/>
        <v>8.0322538446975908</v>
      </c>
    </row>
    <row r="160" spans="1:30" x14ac:dyDescent="0.3">
      <c r="A160" s="2">
        <v>48549</v>
      </c>
      <c r="Z160">
        <f t="shared" si="25"/>
        <v>157</v>
      </c>
      <c r="AA160">
        <f t="shared" si="21"/>
        <v>11567.371022098288</v>
      </c>
      <c r="AB160">
        <f t="shared" si="24"/>
        <v>2822856.2166662551</v>
      </c>
      <c r="AC160">
        <f t="shared" si="22"/>
        <v>8.0653034761893005E-2</v>
      </c>
      <c r="AD160">
        <f t="shared" si="23"/>
        <v>8.0653034761892997</v>
      </c>
    </row>
    <row r="161" spans="1:30" x14ac:dyDescent="0.3">
      <c r="A161" s="2">
        <v>48580</v>
      </c>
      <c r="Z161">
        <f t="shared" si="25"/>
        <v>158</v>
      </c>
      <c r="AA161">
        <f t="shared" si="21"/>
        <v>11338.321729507748</v>
      </c>
      <c r="AB161">
        <f t="shared" si="24"/>
        <v>2834194.5383957629</v>
      </c>
      <c r="AC161">
        <f t="shared" si="22"/>
        <v>8.0976986811307508E-2</v>
      </c>
      <c r="AD161">
        <f t="shared" si="23"/>
        <v>8.0976986811307512</v>
      </c>
    </row>
    <row r="162" spans="1:30" x14ac:dyDescent="0.3">
      <c r="A162" s="2">
        <v>48611</v>
      </c>
      <c r="Z162">
        <f t="shared" si="25"/>
        <v>159</v>
      </c>
      <c r="AA162">
        <f t="shared" si="21"/>
        <v>11113.807916788648</v>
      </c>
      <c r="AB162">
        <f t="shared" si="24"/>
        <v>2845308.3463125518</v>
      </c>
      <c r="AC162">
        <f t="shared" si="22"/>
        <v>8.1294524180358624E-2</v>
      </c>
      <c r="AD162">
        <f t="shared" si="23"/>
        <v>8.1294524180358625</v>
      </c>
    </row>
    <row r="163" spans="1:30" x14ac:dyDescent="0.3">
      <c r="A163" s="2">
        <v>48639</v>
      </c>
      <c r="Z163">
        <f t="shared" si="25"/>
        <v>160</v>
      </c>
      <c r="AA163">
        <f t="shared" si="21"/>
        <v>10893.739775422348</v>
      </c>
      <c r="AB163">
        <f t="shared" si="24"/>
        <v>2856202.0860879743</v>
      </c>
      <c r="AC163">
        <f t="shared" si="22"/>
        <v>8.1605773888227831E-2</v>
      </c>
      <c r="AD163">
        <f t="shared" si="23"/>
        <v>8.1605773888227837</v>
      </c>
    </row>
    <row r="164" spans="1:30" x14ac:dyDescent="0.3">
      <c r="A164" s="2">
        <v>48670</v>
      </c>
      <c r="Z164">
        <f t="shared" si="25"/>
        <v>161</v>
      </c>
      <c r="AA164">
        <f t="shared" si="21"/>
        <v>10678.029275218014</v>
      </c>
      <c r="AB164">
        <f t="shared" si="24"/>
        <v>2866880.1153631923</v>
      </c>
      <c r="AC164">
        <f t="shared" si="22"/>
        <v>8.1910860438948352E-2</v>
      </c>
      <c r="AD164">
        <f t="shared" si="23"/>
        <v>8.1910860438948347</v>
      </c>
    </row>
    <row r="165" spans="1:30" x14ac:dyDescent="0.3">
      <c r="A165" s="2">
        <v>48700</v>
      </c>
      <c r="Z165">
        <f t="shared" si="25"/>
        <v>162</v>
      </c>
      <c r="AA165">
        <f t="shared" si="21"/>
        <v>10466.590129099392</v>
      </c>
      <c r="AB165">
        <f t="shared" si="24"/>
        <v>2877346.7054922916</v>
      </c>
      <c r="AC165">
        <f t="shared" si="22"/>
        <v>8.2209905871208327E-2</v>
      </c>
      <c r="AD165">
        <f t="shared" si="23"/>
        <v>8.2209905871208324</v>
      </c>
    </row>
    <row r="166" spans="1:30" x14ac:dyDescent="0.3">
      <c r="A166" s="2">
        <v>48731</v>
      </c>
      <c r="Z166">
        <f t="shared" si="25"/>
        <v>163</v>
      </c>
      <c r="AA166">
        <f t="shared" si="21"/>
        <v>10259.337758588805</v>
      </c>
      <c r="AB166">
        <f t="shared" si="24"/>
        <v>2887606.0432508802</v>
      </c>
      <c r="AC166">
        <f t="shared" si="22"/>
        <v>8.2503029807168005E-2</v>
      </c>
      <c r="AD166">
        <f t="shared" si="23"/>
        <v>8.2503029807167998</v>
      </c>
    </row>
    <row r="167" spans="1:30" x14ac:dyDescent="0.3">
      <c r="A167" s="2">
        <v>48761</v>
      </c>
      <c r="Z167">
        <f t="shared" si="25"/>
        <v>164</v>
      </c>
      <c r="AA167">
        <f t="shared" si="21"/>
        <v>10056.189259974646</v>
      </c>
      <c r="AB167">
        <f t="shared" si="24"/>
        <v>2897662.232510855</v>
      </c>
      <c r="AC167">
        <f t="shared" si="22"/>
        <v>8.279034950031014E-2</v>
      </c>
      <c r="AD167">
        <f t="shared" si="23"/>
        <v>8.2790349500310132</v>
      </c>
    </row>
    <row r="168" spans="1:30" x14ac:dyDescent="0.3">
      <c r="A168" s="2">
        <v>48792</v>
      </c>
      <c r="Z168">
        <f t="shared" si="25"/>
        <v>165</v>
      </c>
      <c r="AA168">
        <f t="shared" si="21"/>
        <v>9857.0633711487899</v>
      </c>
      <c r="AB168">
        <f t="shared" si="24"/>
        <v>2907519.2958820038</v>
      </c>
      <c r="AC168">
        <f t="shared" si="22"/>
        <v>8.3071979882342967E-2</v>
      </c>
      <c r="AD168">
        <f t="shared" si="23"/>
        <v>8.3071979882342966</v>
      </c>
    </row>
    <row r="169" spans="1:30" x14ac:dyDescent="0.3">
      <c r="A169" s="2">
        <v>48823</v>
      </c>
      <c r="Z169">
        <f t="shared" si="25"/>
        <v>166</v>
      </c>
      <c r="AA169">
        <f t="shared" si="21"/>
        <v>9661.8804391006579</v>
      </c>
      <c r="AB169">
        <f t="shared" si="24"/>
        <v>2917181.1763211046</v>
      </c>
      <c r="AC169">
        <f t="shared" si="22"/>
        <v>8.3348033609174421E-2</v>
      </c>
      <c r="AD169">
        <f t="shared" si="23"/>
        <v>8.3348033609174426</v>
      </c>
    </row>
    <row r="170" spans="1:30" x14ac:dyDescent="0.3">
      <c r="A170" s="2">
        <v>48853</v>
      </c>
      <c r="Z170">
        <f t="shared" si="25"/>
        <v>167</v>
      </c>
      <c r="AA170">
        <f t="shared" si="21"/>
        <v>9470.5623880549574</v>
      </c>
      <c r="AB170">
        <f t="shared" si="24"/>
        <v>2926651.7387091597</v>
      </c>
      <c r="AC170">
        <f t="shared" si="22"/>
        <v>8.3618621105975996E-2</v>
      </c>
      <c r="AD170">
        <f t="shared" si="23"/>
        <v>8.361862110597599</v>
      </c>
    </row>
    <row r="171" spans="1:30" x14ac:dyDescent="0.3">
      <c r="A171" s="2">
        <v>48884</v>
      </c>
      <c r="Z171">
        <f t="shared" si="25"/>
        <v>168</v>
      </c>
      <c r="AA171">
        <f t="shared" si="21"/>
        <v>9283.032688240326</v>
      </c>
      <c r="AB171">
        <f t="shared" si="24"/>
        <v>2935934.7713974002</v>
      </c>
      <c r="AC171">
        <f t="shared" si="22"/>
        <v>8.3883850611354296E-2</v>
      </c>
      <c r="AD171">
        <f t="shared" si="23"/>
        <v>8.3883850611354305</v>
      </c>
    </row>
    <row r="172" spans="1:30" x14ac:dyDescent="0.3">
      <c r="A172" s="2">
        <v>48914</v>
      </c>
      <c r="Z172">
        <f t="shared" si="25"/>
        <v>169</v>
      </c>
      <c r="AA172">
        <f t="shared" si="21"/>
        <v>9099.2163252764094</v>
      </c>
      <c r="AB172">
        <f t="shared" si="24"/>
        <v>2945033.9877226767</v>
      </c>
      <c r="AC172">
        <f t="shared" si="22"/>
        <v>8.4143828220647907E-2</v>
      </c>
      <c r="AD172">
        <f t="shared" si="23"/>
        <v>8.4143828220647912</v>
      </c>
    </row>
    <row r="173" spans="1:30" x14ac:dyDescent="0.3">
      <c r="A173" s="2">
        <v>48945</v>
      </c>
      <c r="Z173">
        <f t="shared" si="25"/>
        <v>170</v>
      </c>
      <c r="AA173">
        <f t="shared" si="21"/>
        <v>8919.0397701671045</v>
      </c>
      <c r="AB173">
        <f t="shared" si="24"/>
        <v>2953953.027492844</v>
      </c>
      <c r="AC173">
        <f t="shared" si="22"/>
        <v>8.4398657928366969E-2</v>
      </c>
      <c r="AD173">
        <f t="shared" si="23"/>
        <v>8.4398657928366969</v>
      </c>
    </row>
    <row r="174" spans="1:30" x14ac:dyDescent="0.3">
      <c r="A174" s="2">
        <v>48976</v>
      </c>
      <c r="Z174">
        <f t="shared" si="25"/>
        <v>171</v>
      </c>
      <c r="AA174">
        <f t="shared" si="21"/>
        <v>8742.4309498879848</v>
      </c>
      <c r="AB174">
        <f t="shared" si="24"/>
        <v>2962695.4584427322</v>
      </c>
      <c r="AC174">
        <f t="shared" si="22"/>
        <v>8.4648441669792351E-2</v>
      </c>
      <c r="AD174">
        <f t="shared" si="23"/>
        <v>8.4648441669792351</v>
      </c>
    </row>
    <row r="175" spans="1:30" x14ac:dyDescent="0.3">
      <c r="A175" s="2">
        <v>49004</v>
      </c>
      <c r="Z175">
        <f t="shared" si="25"/>
        <v>172</v>
      </c>
      <c r="AA175">
        <f t="shared" si="21"/>
        <v>8569.3192185561184</v>
      </c>
      <c r="AB175">
        <f t="shared" si="24"/>
        <v>2971264.7776612882</v>
      </c>
      <c r="AC175">
        <f t="shared" si="22"/>
        <v>8.4893279361751089E-2</v>
      </c>
      <c r="AD175">
        <f t="shared" si="23"/>
        <v>8.4893279361751084</v>
      </c>
    </row>
    <row r="176" spans="1:30" x14ac:dyDescent="0.3">
      <c r="A176" s="2">
        <v>49035</v>
      </c>
      <c r="Z176">
        <f t="shared" si="25"/>
        <v>173</v>
      </c>
      <c r="AA176">
        <f t="shared" si="21"/>
        <v>8399.6353291707892</v>
      </c>
      <c r="AB176">
        <f t="shared" si="24"/>
        <v>2979664.4129904588</v>
      </c>
      <c r="AC176">
        <f t="shared" si="22"/>
        <v>8.5133268942584536E-2</v>
      </c>
      <c r="AD176">
        <f t="shared" si="23"/>
        <v>8.5133268942584532</v>
      </c>
    </row>
    <row r="177" spans="1:30" x14ac:dyDescent="0.3">
      <c r="A177" s="2">
        <v>49065</v>
      </c>
      <c r="Z177">
        <f t="shared" si="25"/>
        <v>174</v>
      </c>
      <c r="AA177">
        <f t="shared" si="21"/>
        <v>8233.311405913757</v>
      </c>
      <c r="AB177">
        <f t="shared" si="24"/>
        <v>2987897.7243963727</v>
      </c>
      <c r="AC177">
        <f t="shared" si="22"/>
        <v>8.5368506411324929E-2</v>
      </c>
      <c r="AD177">
        <f t="shared" si="23"/>
        <v>8.5368506411324923</v>
      </c>
    </row>
    <row r="178" spans="1:30" x14ac:dyDescent="0.3">
      <c r="A178" s="2">
        <v>49096</v>
      </c>
      <c r="Z178">
        <f t="shared" si="25"/>
        <v>175</v>
      </c>
      <c r="AA178">
        <f t="shared" si="21"/>
        <v>8070.2809169980419</v>
      </c>
      <c r="AB178" s="116">
        <f t="shared" si="24"/>
        <v>2995968.0053133708</v>
      </c>
      <c r="AC178">
        <f t="shared" si="22"/>
        <v>8.5599085866096311E-2</v>
      </c>
      <c r="AD178" s="116">
        <f t="shared" si="23"/>
        <v>8.5599085866096303</v>
      </c>
    </row>
    <row r="179" spans="1:30" x14ac:dyDescent="0.3">
      <c r="A179" s="2">
        <v>49126</v>
      </c>
    </row>
    <row r="180" spans="1:30" x14ac:dyDescent="0.3">
      <c r="A180" s="2">
        <v>49157</v>
      </c>
    </row>
    <row r="181" spans="1:30" x14ac:dyDescent="0.3">
      <c r="A181" s="2">
        <v>49188</v>
      </c>
    </row>
    <row r="182" spans="1:30" x14ac:dyDescent="0.3">
      <c r="A182" s="2">
        <v>49218</v>
      </c>
    </row>
    <row r="183" spans="1:30" x14ac:dyDescent="0.3">
      <c r="A183" s="2">
        <v>49249</v>
      </c>
    </row>
    <row r="184" spans="1:30" x14ac:dyDescent="0.3">
      <c r="A184" s="2">
        <v>49279</v>
      </c>
    </row>
    <row r="185" spans="1:30" x14ac:dyDescent="0.3">
      <c r="A185" s="2">
        <v>49310</v>
      </c>
    </row>
    <row r="186" spans="1:30" x14ac:dyDescent="0.3">
      <c r="A186" s="2">
        <v>49341</v>
      </c>
    </row>
    <row r="187" spans="1:30" x14ac:dyDescent="0.3">
      <c r="A187" s="2">
        <v>49369</v>
      </c>
    </row>
    <row r="188" spans="1:30" x14ac:dyDescent="0.3">
      <c r="A188" s="2">
        <v>49400</v>
      </c>
    </row>
    <row r="189" spans="1:30" x14ac:dyDescent="0.3">
      <c r="A189" s="2">
        <v>49430</v>
      </c>
    </row>
    <row r="190" spans="1:30" x14ac:dyDescent="0.3">
      <c r="A190" s="2">
        <v>49461</v>
      </c>
    </row>
    <row r="191" spans="1:30" x14ac:dyDescent="0.3">
      <c r="A191" s="2">
        <v>49491</v>
      </c>
    </row>
    <row r="192" spans="1:30" x14ac:dyDescent="0.3">
      <c r="A192" s="2">
        <v>49522</v>
      </c>
    </row>
    <row r="193" spans="1:1" x14ac:dyDescent="0.3">
      <c r="A193" s="2">
        <v>49553</v>
      </c>
    </row>
    <row r="194" spans="1:1" x14ac:dyDescent="0.3">
      <c r="A194" s="2">
        <v>49583</v>
      </c>
    </row>
    <row r="195" spans="1:1" x14ac:dyDescent="0.3">
      <c r="A195" s="2">
        <v>49614</v>
      </c>
    </row>
    <row r="196" spans="1:1" x14ac:dyDescent="0.3">
      <c r="A196" s="2">
        <v>49644</v>
      </c>
    </row>
    <row r="197" spans="1:1" x14ac:dyDescent="0.3">
      <c r="A197" s="2">
        <v>49675</v>
      </c>
    </row>
    <row r="198" spans="1:1" x14ac:dyDescent="0.3">
      <c r="A198" s="2">
        <v>49706</v>
      </c>
    </row>
    <row r="199" spans="1:1" x14ac:dyDescent="0.3">
      <c r="A199" s="2">
        <v>49735</v>
      </c>
    </row>
    <row r="200" spans="1:1" x14ac:dyDescent="0.3">
      <c r="A200" s="2">
        <v>49766</v>
      </c>
    </row>
    <row r="201" spans="1:1" x14ac:dyDescent="0.3">
      <c r="A201" s="2">
        <v>49796</v>
      </c>
    </row>
    <row r="202" spans="1:1" x14ac:dyDescent="0.3">
      <c r="A202" s="2">
        <v>49827</v>
      </c>
    </row>
    <row r="203" spans="1:1" x14ac:dyDescent="0.3">
      <c r="A203" s="2">
        <v>49857</v>
      </c>
    </row>
  </sheetData>
  <mergeCells count="14">
    <mergeCell ref="AB1:AD1"/>
    <mergeCell ref="AF1:AH1"/>
    <mergeCell ref="Y1:Y2"/>
    <mergeCell ref="Z1:Z2"/>
    <mergeCell ref="AA1:AA2"/>
    <mergeCell ref="Q1:S1"/>
    <mergeCell ref="T1:V1"/>
    <mergeCell ref="W1:W2"/>
    <mergeCell ref="X1:X2"/>
    <mergeCell ref="B1:D1"/>
    <mergeCell ref="E1:G1"/>
    <mergeCell ref="H1:J1"/>
    <mergeCell ref="K1:M1"/>
    <mergeCell ref="N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Structure-A_Prod_Data</vt:lpstr>
      <vt:lpstr>PVT_Press</vt:lpstr>
      <vt:lpstr>Well_A-1</vt:lpstr>
      <vt:lpstr>Well_A-2</vt:lpstr>
      <vt:lpstr>Well_A-3</vt:lpstr>
      <vt:lpstr>Well_A-5</vt:lpstr>
      <vt:lpstr>Well_A-7</vt:lpstr>
      <vt:lpstr>Well_A-8</vt:lpstr>
      <vt:lpstr>Well_A-9</vt:lpstr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Dhanshreshthi</dc:creator>
  <cp:lastModifiedBy>abhilash guttikonda</cp:lastModifiedBy>
  <dcterms:created xsi:type="dcterms:W3CDTF">2015-06-05T18:17:20Z</dcterms:created>
  <dcterms:modified xsi:type="dcterms:W3CDTF">2025-12-17T10:15:48Z</dcterms:modified>
</cp:coreProperties>
</file>