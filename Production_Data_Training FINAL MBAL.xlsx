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hil\OneDrive - Indian Institute of Technology Indian School of Mines Dhanbad\Desktop\PETROLEUM\ONGC Training\IRS ONGC\"/>
    </mc:Choice>
  </mc:AlternateContent>
  <xr:revisionPtr revIDLastSave="0" documentId="13_ncr:1_{B19F9047-5096-4EEA-A172-4F0413121D0A}" xr6:coauthVersionLast="47" xr6:coauthVersionMax="47" xr10:uidLastSave="{00000000-0000-0000-0000-000000000000}"/>
  <bookViews>
    <workbookView minimized="1" xWindow="3228" yWindow="4056" windowWidth="17280" windowHeight="8880" tabRatio="765" firstSheet="1" activeTab="1" xr2:uid="{00000000-000D-0000-FFFF-FFFF00000000}"/>
  </bookViews>
  <sheets>
    <sheet name="Structure-A_Prod_Data" sheetId="8" r:id="rId1"/>
    <sheet name="PVT_Press" sheetId="9" r:id="rId2"/>
    <sheet name="Well_A-1" sheetId="1" r:id="rId3"/>
    <sheet name="Well_A-2" sheetId="2" r:id="rId4"/>
    <sheet name="Well_A-3" sheetId="3" r:id="rId5"/>
    <sheet name="Well_A-5" sheetId="4" r:id="rId6"/>
    <sheet name="Well_A-7" sheetId="5" r:id="rId7"/>
    <sheet name="Well_A-8" sheetId="6" r:id="rId8"/>
    <sheet name="Well_A-9" sheetId="7" r:id="rId9"/>
    <sheet name="M-BAL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X30" i="10"/>
  <c r="BL4" i="10"/>
  <c r="BL5" i="10"/>
  <c r="BL6" i="10"/>
  <c r="BL7" i="10"/>
  <c r="BL8" i="10"/>
  <c r="BL9" i="10"/>
  <c r="BO9" i="10" s="1"/>
  <c r="BL10" i="10"/>
  <c r="BO10" i="10" s="1"/>
  <c r="BL11" i="10"/>
  <c r="BO11" i="10" s="1"/>
  <c r="BL12" i="10"/>
  <c r="BO12" i="10" s="1"/>
  <c r="BL13" i="10"/>
  <c r="BN13" i="10" s="1"/>
  <c r="BL14" i="10"/>
  <c r="BN14" i="10" s="1"/>
  <c r="BL15" i="10"/>
  <c r="BN15" i="10" s="1"/>
  <c r="BL16" i="10"/>
  <c r="BN16" i="10" s="1"/>
  <c r="BL17" i="10"/>
  <c r="BN17" i="10" s="1"/>
  <c r="BL18" i="10"/>
  <c r="BN18" i="10" s="1"/>
  <c r="BL19" i="10"/>
  <c r="BN19" i="10" s="1"/>
  <c r="BL20" i="10"/>
  <c r="BL21" i="10"/>
  <c r="BL22" i="10"/>
  <c r="BL23" i="10"/>
  <c r="BL24" i="10"/>
  <c r="BL25" i="10"/>
  <c r="BO25" i="10" s="1"/>
  <c r="BL26" i="10"/>
  <c r="BO26" i="10" s="1"/>
  <c r="BL27" i="10"/>
  <c r="BO27" i="10" s="1"/>
  <c r="BL28" i="10"/>
  <c r="BO28" i="10" s="1"/>
  <c r="BL29" i="10"/>
  <c r="BN29" i="10" s="1"/>
  <c r="BL30" i="10"/>
  <c r="BN30" i="10" s="1"/>
  <c r="BO4" i="10"/>
  <c r="BO5" i="10"/>
  <c r="BO6" i="10"/>
  <c r="BO7" i="10"/>
  <c r="BO8" i="10"/>
  <c r="BO20" i="10"/>
  <c r="BO21" i="10"/>
  <c r="BO22" i="10"/>
  <c r="BO23" i="10"/>
  <c r="BO24" i="10"/>
  <c r="BO3" i="10"/>
  <c r="BN4" i="10"/>
  <c r="BN5" i="10"/>
  <c r="BN6" i="10"/>
  <c r="BN7" i="10"/>
  <c r="BN8" i="10"/>
  <c r="BN9" i="10"/>
  <c r="BN10" i="10"/>
  <c r="BN11" i="10"/>
  <c r="BN12" i="10"/>
  <c r="BN20" i="10"/>
  <c r="BN21" i="10"/>
  <c r="BN22" i="10"/>
  <c r="BN23" i="10"/>
  <c r="BN24" i="10"/>
  <c r="BN25" i="10"/>
  <c r="BN26" i="10"/>
  <c r="BN27" i="10"/>
  <c r="BN28" i="10"/>
  <c r="BN3" i="10"/>
  <c r="BM4" i="10"/>
  <c r="BM5" i="10"/>
  <c r="BM6" i="10"/>
  <c r="BM7" i="10"/>
  <c r="BM8" i="10"/>
  <c r="BM9" i="10"/>
  <c r="BM10" i="10"/>
  <c r="BM11" i="10"/>
  <c r="BM12" i="10"/>
  <c r="BM13" i="10"/>
  <c r="BM14" i="10"/>
  <c r="BM15" i="10"/>
  <c r="BM16" i="10"/>
  <c r="BM17" i="10"/>
  <c r="BM18" i="10"/>
  <c r="BM19" i="10"/>
  <c r="BM20" i="10"/>
  <c r="BM21" i="10"/>
  <c r="BM22" i="10"/>
  <c r="BM23" i="10"/>
  <c r="BM24" i="10"/>
  <c r="BM25" i="10"/>
  <c r="BM26" i="10"/>
  <c r="BM27" i="10"/>
  <c r="BM28" i="10"/>
  <c r="BM29" i="10"/>
  <c r="BM30" i="10"/>
  <c r="BM3" i="10"/>
  <c r="BL3" i="10"/>
  <c r="BJ4" i="10"/>
  <c r="BJ5" i="10"/>
  <c r="BJ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28" i="10"/>
  <c r="BJ29" i="10"/>
  <c r="BJ30" i="10"/>
  <c r="BJ3" i="10"/>
  <c r="AY3" i="10"/>
  <c r="BK4" i="10"/>
  <c r="BK5" i="10"/>
  <c r="BK6" i="10"/>
  <c r="BK7" i="10"/>
  <c r="BK8" i="10"/>
  <c r="BK9" i="10"/>
  <c r="BK10" i="10"/>
  <c r="BK11" i="10"/>
  <c r="BK12" i="10"/>
  <c r="BK13" i="10"/>
  <c r="BK14" i="10"/>
  <c r="BK15" i="10"/>
  <c r="BK16" i="10"/>
  <c r="BK17" i="10"/>
  <c r="BK18" i="10"/>
  <c r="BK19" i="10"/>
  <c r="BK20" i="10"/>
  <c r="BK21" i="10"/>
  <c r="BK22" i="10"/>
  <c r="BK23" i="10"/>
  <c r="BK24" i="10"/>
  <c r="BK25" i="10"/>
  <c r="BK26" i="10"/>
  <c r="BK27" i="10"/>
  <c r="BK28" i="10"/>
  <c r="BK29" i="10"/>
  <c r="BK30" i="10"/>
  <c r="BK3" i="10"/>
  <c r="BI4" i="10"/>
  <c r="BI5" i="10"/>
  <c r="BI6" i="10"/>
  <c r="BI7" i="10"/>
  <c r="BI8" i="10"/>
  <c r="BI9" i="10"/>
  <c r="BI10" i="10"/>
  <c r="BI11" i="10"/>
  <c r="BI12" i="10"/>
  <c r="BI13" i="10"/>
  <c r="BI14" i="10"/>
  <c r="BI15" i="10"/>
  <c r="BI16" i="10"/>
  <c r="BI17" i="10"/>
  <c r="BI18" i="10"/>
  <c r="BI19" i="10"/>
  <c r="BI20" i="10"/>
  <c r="BI21" i="10"/>
  <c r="BI22" i="10"/>
  <c r="BI23" i="10"/>
  <c r="BI24" i="10"/>
  <c r="BI25" i="10"/>
  <c r="BI26" i="10"/>
  <c r="BI27" i="10"/>
  <c r="BI28" i="10"/>
  <c r="BI29" i="10"/>
  <c r="BI30" i="10"/>
  <c r="BI3" i="10"/>
  <c r="AZ3" i="10"/>
  <c r="BH4" i="10"/>
  <c r="BH5" i="10"/>
  <c r="BH6" i="10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H23" i="10"/>
  <c r="BH24" i="10"/>
  <c r="BH25" i="10"/>
  <c r="BH26" i="10"/>
  <c r="BH27" i="10"/>
  <c r="BH28" i="10"/>
  <c r="BH29" i="10"/>
  <c r="BH30" i="10"/>
  <c r="BH3" i="10"/>
  <c r="BG10" i="10"/>
  <c r="AY4" i="10"/>
  <c r="AY5" i="10"/>
  <c r="AY6" i="10"/>
  <c r="AY7" i="10"/>
  <c r="AY8" i="10"/>
  <c r="AY9" i="10"/>
  <c r="AY10" i="10"/>
  <c r="AY11" i="10"/>
  <c r="AY12" i="10"/>
  <c r="AY13" i="10"/>
  <c r="AY14" i="10"/>
  <c r="AY15" i="10"/>
  <c r="BA15" i="10" s="1"/>
  <c r="AY16" i="10"/>
  <c r="AY17" i="10"/>
  <c r="AY18" i="10"/>
  <c r="AY19" i="10"/>
  <c r="AY20" i="10"/>
  <c r="AY21" i="10"/>
  <c r="AY22" i="10"/>
  <c r="AY23" i="10"/>
  <c r="BA23" i="10" s="1"/>
  <c r="BB23" i="10" s="1"/>
  <c r="AY24" i="10"/>
  <c r="BA24" i="10" s="1"/>
  <c r="BB24" i="10" s="1"/>
  <c r="AY25" i="10"/>
  <c r="BA25" i="10" s="1"/>
  <c r="BB25" i="10" s="1"/>
  <c r="AY26" i="10"/>
  <c r="BA26" i="10" s="1"/>
  <c r="BB26" i="10" s="1"/>
  <c r="AY27" i="10"/>
  <c r="BA27" i="10" s="1"/>
  <c r="BB27" i="10" s="1"/>
  <c r="AY28" i="10"/>
  <c r="BA28" i="10" s="1"/>
  <c r="BB28" i="10" s="1"/>
  <c r="AY29" i="10"/>
  <c r="AY30" i="10"/>
  <c r="BA3" i="10"/>
  <c r="BG4" i="10"/>
  <c r="BG5" i="10"/>
  <c r="BG6" i="10"/>
  <c r="BG7" i="10"/>
  <c r="BG8" i="10"/>
  <c r="BG9" i="10"/>
  <c r="BG11" i="10"/>
  <c r="BG12" i="10"/>
  <c r="BG13" i="10"/>
  <c r="BG14" i="10"/>
  <c r="BG15" i="10"/>
  <c r="BG16" i="10"/>
  <c r="BG17" i="10"/>
  <c r="BG18" i="10"/>
  <c r="BG19" i="10"/>
  <c r="BG20" i="10"/>
  <c r="BG21" i="10"/>
  <c r="BG22" i="10"/>
  <c r="BG23" i="10"/>
  <c r="BG24" i="10"/>
  <c r="BG25" i="10"/>
  <c r="BG26" i="10"/>
  <c r="BG27" i="10"/>
  <c r="BG28" i="10"/>
  <c r="BG29" i="10"/>
  <c r="BG30" i="10"/>
  <c r="BG3" i="10"/>
  <c r="AW3" i="10"/>
  <c r="AZ4" i="10"/>
  <c r="AZ5" i="10"/>
  <c r="AZ6" i="10"/>
  <c r="AZ7" i="10"/>
  <c r="AZ8" i="10"/>
  <c r="AZ9" i="10"/>
  <c r="AZ10" i="10"/>
  <c r="AZ11" i="10"/>
  <c r="AZ12" i="10"/>
  <c r="AZ13" i="10"/>
  <c r="AZ14" i="10"/>
  <c r="AZ15" i="10"/>
  <c r="AZ16" i="10"/>
  <c r="AZ17" i="10"/>
  <c r="AZ18" i="10"/>
  <c r="AZ19" i="10"/>
  <c r="AZ20" i="10"/>
  <c r="AZ21" i="10"/>
  <c r="AZ22" i="10"/>
  <c r="AZ23" i="10"/>
  <c r="AZ24" i="10"/>
  <c r="AZ25" i="10"/>
  <c r="AZ26" i="10"/>
  <c r="AZ27" i="10"/>
  <c r="AZ28" i="10"/>
  <c r="AZ29" i="10"/>
  <c r="AZ30" i="10"/>
  <c r="BA7" i="10"/>
  <c r="BB7" i="10" s="1"/>
  <c r="BA8" i="10"/>
  <c r="BB8" i="10" s="1"/>
  <c r="BA20" i="10"/>
  <c r="BB20" i="10" s="1"/>
  <c r="BA4" i="10"/>
  <c r="BB4" i="10" s="1"/>
  <c r="BA5" i="10"/>
  <c r="BB5" i="10" s="1"/>
  <c r="BA6" i="10"/>
  <c r="BB6" i="10" s="1"/>
  <c r="BA21" i="10"/>
  <c r="BB21" i="10" s="1"/>
  <c r="BA22" i="10"/>
  <c r="BB22" i="10" s="1"/>
  <c r="AL27" i="10"/>
  <c r="AW4" i="10"/>
  <c r="AW5" i="10"/>
  <c r="AW6" i="10"/>
  <c r="AW7" i="10"/>
  <c r="AW8" i="10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28" i="10"/>
  <c r="AW29" i="10"/>
  <c r="AW30" i="10"/>
  <c r="BF4" i="10"/>
  <c r="BF5" i="10"/>
  <c r="BF6" i="10"/>
  <c r="BF7" i="10"/>
  <c r="BF8" i="10"/>
  <c r="BF9" i="10"/>
  <c r="BF10" i="10"/>
  <c r="BF11" i="10"/>
  <c r="BF12" i="10"/>
  <c r="BF13" i="10"/>
  <c r="BF14" i="10"/>
  <c r="BF15" i="10"/>
  <c r="BF16" i="10"/>
  <c r="BF17" i="10"/>
  <c r="BF18" i="10"/>
  <c r="BF19" i="10"/>
  <c r="BF20" i="10"/>
  <c r="BF21" i="10"/>
  <c r="BF22" i="10"/>
  <c r="BF23" i="10"/>
  <c r="BF24" i="10"/>
  <c r="BF25" i="10"/>
  <c r="BF26" i="10"/>
  <c r="BF27" i="10"/>
  <c r="BF28" i="10"/>
  <c r="BF29" i="10"/>
  <c r="BF30" i="10"/>
  <c r="BF3" i="10"/>
  <c r="BE4" i="10"/>
  <c r="BE5" i="10"/>
  <c r="BE6" i="10"/>
  <c r="BE7" i="10"/>
  <c r="BE8" i="10"/>
  <c r="BE9" i="10"/>
  <c r="BE10" i="10"/>
  <c r="BE11" i="10"/>
  <c r="BE12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" i="10"/>
  <c r="BD4" i="10"/>
  <c r="BD5" i="10"/>
  <c r="BD6" i="10"/>
  <c r="BD7" i="10"/>
  <c r="BD8" i="10"/>
  <c r="BD9" i="10"/>
  <c r="BD10" i="10"/>
  <c r="BD11" i="10"/>
  <c r="BD12" i="10"/>
  <c r="BD13" i="10"/>
  <c r="BD14" i="10"/>
  <c r="BD15" i="10"/>
  <c r="BD16" i="10"/>
  <c r="BD17" i="10"/>
  <c r="BD18" i="10"/>
  <c r="BD19" i="10"/>
  <c r="BD20" i="10"/>
  <c r="BD21" i="10"/>
  <c r="BD22" i="10"/>
  <c r="BD23" i="10"/>
  <c r="BD24" i="10"/>
  <c r="BD25" i="10"/>
  <c r="BD26" i="10"/>
  <c r="BD27" i="10"/>
  <c r="BD28" i="10"/>
  <c r="BD29" i="10"/>
  <c r="BD30" i="10"/>
  <c r="BD3" i="10"/>
  <c r="BC4" i="10"/>
  <c r="BC5" i="10"/>
  <c r="BC6" i="10"/>
  <c r="BC7" i="10"/>
  <c r="BC8" i="10"/>
  <c r="BC9" i="10"/>
  <c r="BC10" i="10"/>
  <c r="BC11" i="10"/>
  <c r="BC12" i="10"/>
  <c r="BC13" i="10"/>
  <c r="BC14" i="10"/>
  <c r="BC15" i="10"/>
  <c r="BC16" i="10"/>
  <c r="BC17" i="10"/>
  <c r="BC18" i="10"/>
  <c r="BC19" i="10"/>
  <c r="BC20" i="10"/>
  <c r="BC21" i="10"/>
  <c r="BC22" i="10"/>
  <c r="BC23" i="10"/>
  <c r="BC24" i="10"/>
  <c r="BC25" i="10"/>
  <c r="BC26" i="10"/>
  <c r="BC27" i="10"/>
  <c r="BC28" i="10"/>
  <c r="BC29" i="10"/>
  <c r="BC30" i="10"/>
  <c r="BC3" i="10"/>
  <c r="H2" i="9"/>
  <c r="AM17" i="10"/>
  <c r="AR3" i="10"/>
  <c r="AX4" i="10"/>
  <c r="AN8" i="10"/>
  <c r="AR4" i="10"/>
  <c r="AR5" i="10"/>
  <c r="AR6" i="10"/>
  <c r="AR7" i="10"/>
  <c r="AR8" i="10"/>
  <c r="AR9" i="10"/>
  <c r="AR10" i="10"/>
  <c r="AR11" i="10"/>
  <c r="AR12" i="10"/>
  <c r="AR13" i="10"/>
  <c r="AR14" i="10"/>
  <c r="AR15" i="10"/>
  <c r="AR16" i="10"/>
  <c r="AR17" i="10"/>
  <c r="AR18" i="10"/>
  <c r="AR19" i="10"/>
  <c r="AR20" i="10"/>
  <c r="AR21" i="10"/>
  <c r="AR22" i="10"/>
  <c r="AR23" i="10"/>
  <c r="AR24" i="10"/>
  <c r="AR25" i="10"/>
  <c r="AR26" i="10"/>
  <c r="AR27" i="10"/>
  <c r="AR28" i="10"/>
  <c r="AR29" i="10"/>
  <c r="AR30" i="10"/>
  <c r="AX5" i="10"/>
  <c r="AX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" i="10"/>
  <c r="AP4" i="10"/>
  <c r="AP5" i="10"/>
  <c r="AP6" i="10"/>
  <c r="AP7" i="10"/>
  <c r="AP8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29" i="10"/>
  <c r="AP30" i="10"/>
  <c r="AP3" i="10"/>
  <c r="AO5" i="10"/>
  <c r="AO6" i="10"/>
  <c r="AO7" i="10"/>
  <c r="AO8" i="10" s="1"/>
  <c r="AO4" i="10"/>
  <c r="AV5" i="10"/>
  <c r="AV6" i="10"/>
  <c r="AV7" i="10"/>
  <c r="AV3" i="10"/>
  <c r="AV4" i="10"/>
  <c r="AL6" i="10"/>
  <c r="G13" i="9"/>
  <c r="K3" i="9"/>
  <c r="K6" i="9"/>
  <c r="K5" i="9"/>
  <c r="K2" i="9"/>
  <c r="K4" i="9"/>
  <c r="M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 s="1"/>
  <c r="AI22" i="10" s="1"/>
  <c r="AI23" i="10" s="1"/>
  <c r="AI24" i="10" s="1"/>
  <c r="AI25" i="10" s="1"/>
  <c r="AI26" i="10" s="1"/>
  <c r="AI27" i="10" s="1"/>
  <c r="AI28" i="10" s="1"/>
  <c r="AI29" i="10" s="1"/>
  <c r="AI30" i="10" s="1"/>
  <c r="AI31" i="10" s="1"/>
  <c r="AI32" i="10" s="1"/>
  <c r="AI33" i="10" s="1"/>
  <c r="AI34" i="10" s="1"/>
  <c r="AI35" i="10" s="1"/>
  <c r="AI36" i="10" s="1"/>
  <c r="AI37" i="10" s="1"/>
  <c r="AI38" i="10" s="1"/>
  <c r="AI39" i="10" s="1"/>
  <c r="AI40" i="10" s="1"/>
  <c r="AI41" i="10" s="1"/>
  <c r="AI42" i="10" s="1"/>
  <c r="AI43" i="10" s="1"/>
  <c r="AI44" i="10" s="1"/>
  <c r="AI45" i="10" s="1"/>
  <c r="AI46" i="10" s="1"/>
  <c r="AI47" i="10" s="1"/>
  <c r="AI48" i="10" s="1"/>
  <c r="AI49" i="10" s="1"/>
  <c r="AI50" i="10" s="1"/>
  <c r="AI51" i="10" s="1"/>
  <c r="AI52" i="10" s="1"/>
  <c r="AI53" i="10" s="1"/>
  <c r="AI54" i="10" s="1"/>
  <c r="AI55" i="10" s="1"/>
  <c r="AI56" i="10" s="1"/>
  <c r="AI57" i="10" s="1"/>
  <c r="AI58" i="10" s="1"/>
  <c r="AI59" i="10" s="1"/>
  <c r="AI60" i="10" s="1"/>
  <c r="AI61" i="10" s="1"/>
  <c r="AI62" i="10" s="1"/>
  <c r="AI63" i="10" s="1"/>
  <c r="AI64" i="10" s="1"/>
  <c r="AI65" i="10" s="1"/>
  <c r="AI66" i="10" s="1"/>
  <c r="AI67" i="10" s="1"/>
  <c r="AI68" i="10" s="1"/>
  <c r="AI69" i="10" s="1"/>
  <c r="AI70" i="10" s="1"/>
  <c r="AI71" i="10" s="1"/>
  <c r="AI4" i="10"/>
  <c r="AI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3" i="10"/>
  <c r="X14" i="10"/>
  <c r="X9" i="10"/>
  <c r="X8" i="10"/>
  <c r="X7" i="10"/>
  <c r="X6" i="10"/>
  <c r="X5" i="10"/>
  <c r="X10" i="10"/>
  <c r="X11" i="10" s="1"/>
  <c r="X12" i="10" s="1"/>
  <c r="X13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4" i="10"/>
  <c r="X3" i="10"/>
  <c r="M5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3" i="10"/>
  <c r="L4" i="10"/>
  <c r="M3" i="10"/>
  <c r="M6" i="10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3" i="10"/>
  <c r="M2" i="1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2" i="7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2" i="6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2" i="5"/>
  <c r="R3" i="4"/>
  <c r="R4" i="4"/>
  <c r="R5" i="4"/>
  <c r="R6" i="4"/>
  <c r="R7" i="4"/>
  <c r="R8" i="4"/>
  <c r="R9" i="4"/>
  <c r="R10" i="4"/>
  <c r="R11" i="4"/>
  <c r="R12" i="4"/>
  <c r="R13" i="4"/>
  <c r="R14" i="4"/>
  <c r="R15" i="4"/>
  <c r="R2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2" i="3"/>
  <c r="R2" i="2"/>
  <c r="R67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3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P4" i="1"/>
  <c r="P3" i="7"/>
  <c r="O7" i="7"/>
  <c r="P2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O3" i="7"/>
  <c r="O4" i="7"/>
  <c r="O5" i="7"/>
  <c r="O6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2" i="7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2" i="6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2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2" i="4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3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2" i="2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2" i="1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2" i="8"/>
  <c r="Q70" i="8"/>
  <c r="P70" i="8"/>
  <c r="Q69" i="8"/>
  <c r="P69" i="8"/>
  <c r="Q68" i="8"/>
  <c r="P68" i="8"/>
  <c r="Q67" i="8"/>
  <c r="P67" i="8"/>
  <c r="Q66" i="8"/>
  <c r="P66" i="8"/>
  <c r="Q65" i="8"/>
  <c r="P65" i="8"/>
  <c r="Q64" i="8"/>
  <c r="P64" i="8"/>
  <c r="Q63" i="8"/>
  <c r="P63" i="8"/>
  <c r="Q62" i="8"/>
  <c r="P62" i="8"/>
  <c r="Q61" i="8"/>
  <c r="P61" i="8"/>
  <c r="Q60" i="8"/>
  <c r="P60" i="8"/>
  <c r="Q59" i="8"/>
  <c r="P59" i="8"/>
  <c r="Q58" i="8"/>
  <c r="P58" i="8"/>
  <c r="Q57" i="8"/>
  <c r="P57" i="8"/>
  <c r="Q56" i="8"/>
  <c r="P56" i="8"/>
  <c r="Q55" i="8"/>
  <c r="P55" i="8"/>
  <c r="Q54" i="8"/>
  <c r="P54" i="8"/>
  <c r="Q53" i="8"/>
  <c r="P53" i="8"/>
  <c r="Q52" i="8"/>
  <c r="P52" i="8"/>
  <c r="Q51" i="8"/>
  <c r="P51" i="8"/>
  <c r="Q50" i="8"/>
  <c r="P50" i="8"/>
  <c r="Q49" i="8"/>
  <c r="P49" i="8"/>
  <c r="Q48" i="8"/>
  <c r="P48" i="8"/>
  <c r="Q47" i="8"/>
  <c r="P47" i="8"/>
  <c r="Q46" i="8"/>
  <c r="P46" i="8"/>
  <c r="Q45" i="8"/>
  <c r="P45" i="8"/>
  <c r="Q44" i="8"/>
  <c r="P44" i="8"/>
  <c r="Q43" i="8"/>
  <c r="P43" i="8"/>
  <c r="Q42" i="8"/>
  <c r="P42" i="8"/>
  <c r="Q41" i="8"/>
  <c r="P41" i="8"/>
  <c r="Q40" i="8"/>
  <c r="P40" i="8"/>
  <c r="Q39" i="8"/>
  <c r="P39" i="8"/>
  <c r="Q38" i="8"/>
  <c r="P38" i="8"/>
  <c r="Q37" i="8"/>
  <c r="P37" i="8"/>
  <c r="Q36" i="8"/>
  <c r="P36" i="8"/>
  <c r="Q35" i="8"/>
  <c r="P35" i="8"/>
  <c r="Q34" i="8"/>
  <c r="P34" i="8"/>
  <c r="Q33" i="8"/>
  <c r="P33" i="8"/>
  <c r="Q32" i="8"/>
  <c r="P32" i="8"/>
  <c r="Q31" i="8"/>
  <c r="P31" i="8"/>
  <c r="Q30" i="8"/>
  <c r="P30" i="8"/>
  <c r="Q29" i="8"/>
  <c r="P29" i="8"/>
  <c r="Q28" i="8"/>
  <c r="P28" i="8"/>
  <c r="Q27" i="8"/>
  <c r="P27" i="8"/>
  <c r="Q26" i="8"/>
  <c r="P26" i="8"/>
  <c r="Q25" i="8"/>
  <c r="P25" i="8"/>
  <c r="Q24" i="8"/>
  <c r="P24" i="8"/>
  <c r="Q23" i="8"/>
  <c r="P23" i="8"/>
  <c r="Q22" i="8"/>
  <c r="P22" i="8"/>
  <c r="Q21" i="8"/>
  <c r="P21" i="8"/>
  <c r="Q20" i="8"/>
  <c r="P20" i="8"/>
  <c r="Q19" i="8"/>
  <c r="P19" i="8"/>
  <c r="Q18" i="8"/>
  <c r="P18" i="8"/>
  <c r="Q17" i="8"/>
  <c r="P17" i="8"/>
  <c r="Q16" i="8"/>
  <c r="P16" i="8"/>
  <c r="Q15" i="8"/>
  <c r="P15" i="8"/>
  <c r="Q14" i="8"/>
  <c r="P14" i="8"/>
  <c r="Q13" i="8"/>
  <c r="P13" i="8"/>
  <c r="Q12" i="8"/>
  <c r="P12" i="8"/>
  <c r="Q11" i="8"/>
  <c r="P11" i="8"/>
  <c r="Q10" i="8"/>
  <c r="P10" i="8"/>
  <c r="Q9" i="8"/>
  <c r="P9" i="8"/>
  <c r="Q8" i="8"/>
  <c r="P8" i="8"/>
  <c r="Q7" i="8"/>
  <c r="P7" i="8"/>
  <c r="Q6" i="8"/>
  <c r="P6" i="8"/>
  <c r="Q5" i="8"/>
  <c r="P5" i="8"/>
  <c r="Q4" i="8"/>
  <c r="P4" i="8"/>
  <c r="Q3" i="8"/>
  <c r="P3" i="8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Q2" i="8"/>
  <c r="P2" i="8"/>
  <c r="O2" i="8"/>
  <c r="N2" i="8"/>
  <c r="N3" i="8" s="1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BO19" i="10" l="1"/>
  <c r="BO18" i="10"/>
  <c r="BO17" i="10"/>
  <c r="BO16" i="10"/>
  <c r="BO15" i="10"/>
  <c r="BO30" i="10"/>
  <c r="BO14" i="10"/>
  <c r="BO29" i="10"/>
  <c r="BO13" i="10"/>
  <c r="BA17" i="10"/>
  <c r="BB17" i="10" s="1"/>
  <c r="BA16" i="10"/>
  <c r="BB16" i="10" s="1"/>
  <c r="BA14" i="10"/>
  <c r="BB14" i="10" s="1"/>
  <c r="BA13" i="10"/>
  <c r="BB13" i="10" s="1"/>
  <c r="BB3" i="10"/>
  <c r="BB15" i="10"/>
  <c r="BA30" i="10"/>
  <c r="BB30" i="10" s="1"/>
  <c r="BA29" i="10"/>
  <c r="BB29" i="10" s="1"/>
  <c r="BA12" i="10"/>
  <c r="BB12" i="10" s="1"/>
  <c r="BA19" i="10"/>
  <c r="BB19" i="10" s="1"/>
  <c r="BA11" i="10"/>
  <c r="BB11" i="10" s="1"/>
  <c r="BA18" i="10"/>
  <c r="BB18" i="10" s="1"/>
  <c r="BA10" i="10"/>
  <c r="BB10" i="10" s="1"/>
  <c r="BA9" i="10"/>
  <c r="BB9" i="10" s="1"/>
  <c r="AO9" i="10"/>
  <c r="X31" i="10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N55" i="8"/>
  <c r="AV8" i="10" l="1"/>
  <c r="AO10" i="10"/>
  <c r="N56" i="8"/>
  <c r="AO11" i="10" l="1"/>
  <c r="AV9" i="10"/>
  <c r="N57" i="8"/>
  <c r="AV10" i="10" l="1"/>
  <c r="AO12" i="10"/>
  <c r="N58" i="8"/>
  <c r="AV11" i="10" l="1"/>
  <c r="AO13" i="10"/>
  <c r="N59" i="8"/>
  <c r="AV12" i="10" l="1"/>
  <c r="AO14" i="10"/>
  <c r="N60" i="8"/>
  <c r="AV13" i="10" l="1"/>
  <c r="AO15" i="10"/>
  <c r="N61" i="8"/>
  <c r="AV14" i="10" l="1"/>
  <c r="AO16" i="10"/>
  <c r="N62" i="8"/>
  <c r="AV15" i="10" l="1"/>
  <c r="AO17" i="10"/>
  <c r="N63" i="8"/>
  <c r="AV16" i="10" l="1"/>
  <c r="AO18" i="10"/>
  <c r="N64" i="8"/>
  <c r="AO19" i="10" l="1"/>
  <c r="AV17" i="10"/>
  <c r="N65" i="8"/>
  <c r="AO20" i="10" l="1"/>
  <c r="AV18" i="10"/>
  <c r="N66" i="8"/>
  <c r="AO21" i="10" l="1"/>
  <c r="AV19" i="10"/>
  <c r="N67" i="8"/>
  <c r="AV20" i="10" l="1"/>
  <c r="AO22" i="10"/>
  <c r="N68" i="8"/>
  <c r="AO23" i="10" l="1"/>
  <c r="AV21" i="10"/>
  <c r="N69" i="8"/>
  <c r="AV22" i="10" l="1"/>
  <c r="AO24" i="10"/>
  <c r="N70" i="8"/>
  <c r="AV23" i="10" l="1"/>
  <c r="AO25" i="10"/>
  <c r="AV24" i="10" l="1"/>
  <c r="AO26" i="10"/>
  <c r="AV25" i="10" l="1"/>
  <c r="AO27" i="10"/>
  <c r="AO28" i="10" l="1"/>
  <c r="AV26" i="10"/>
  <c r="AO29" i="10" l="1"/>
  <c r="AV27" i="10"/>
  <c r="AO30" i="10" l="1"/>
  <c r="AV28" i="10"/>
  <c r="AO31" i="10" l="1"/>
  <c r="AO32" i="10" s="1"/>
  <c r="AO33" i="10" s="1"/>
  <c r="AO34" i="10" s="1"/>
  <c r="AO35" i="10" s="1"/>
  <c r="AO36" i="10" s="1"/>
  <c r="AO37" i="10" s="1"/>
  <c r="AO38" i="10" s="1"/>
  <c r="AO39" i="10" s="1"/>
  <c r="AO40" i="10" s="1"/>
  <c r="AO41" i="10" s="1"/>
  <c r="AO42" i="10" s="1"/>
  <c r="AO43" i="10" s="1"/>
  <c r="AO44" i="10" s="1"/>
  <c r="AO45" i="10" s="1"/>
  <c r="AO46" i="10" s="1"/>
  <c r="AO47" i="10" s="1"/>
  <c r="AO48" i="10" s="1"/>
  <c r="AO49" i="10" s="1"/>
  <c r="AO50" i="10" s="1"/>
  <c r="AO51" i="10" s="1"/>
  <c r="AO52" i="10" s="1"/>
  <c r="AO53" i="10" s="1"/>
  <c r="AO54" i="10" s="1"/>
  <c r="AO55" i="10" s="1"/>
  <c r="AO56" i="10" s="1"/>
  <c r="AO57" i="10" s="1"/>
  <c r="AO58" i="10" s="1"/>
  <c r="AO59" i="10" s="1"/>
  <c r="AO60" i="10" s="1"/>
  <c r="AO61" i="10" s="1"/>
  <c r="AO62" i="10" s="1"/>
  <c r="AO63" i="10" s="1"/>
  <c r="AO64" i="10" s="1"/>
  <c r="AO65" i="10" s="1"/>
  <c r="AO66" i="10" s="1"/>
  <c r="AO67" i="10" s="1"/>
  <c r="AO68" i="10" s="1"/>
  <c r="AO69" i="10" s="1"/>
  <c r="AO70" i="10" s="1"/>
  <c r="AO71" i="10" s="1"/>
  <c r="AV29" i="10"/>
  <c r="AV30" i="10" l="1"/>
</calcChain>
</file>

<file path=xl/sharedStrings.xml><?xml version="1.0" encoding="utf-8"?>
<sst xmlns="http://schemas.openxmlformats.org/spreadsheetml/2006/main" count="241" uniqueCount="103">
  <si>
    <t>Date</t>
  </si>
  <si>
    <t xml:space="preserve"> Ql, blpd</t>
  </si>
  <si>
    <t xml:space="preserve"> Qo, bopd</t>
  </si>
  <si>
    <t xml:space="preserve"> Qwp, bpd</t>
  </si>
  <si>
    <t xml:space="preserve"> Qg (Assoc. Gas), m3/d</t>
  </si>
  <si>
    <t xml:space="preserve"> Qg (Free. Gas), m3/d</t>
  </si>
  <si>
    <t xml:space="preserve">Monthly Oil, bbls   </t>
  </si>
  <si>
    <t>Monthly Oil, MMt</t>
  </si>
  <si>
    <t>Monthly Assoc. Gas, m3</t>
  </si>
  <si>
    <t>Monthly Water Prodn, bbls</t>
  </si>
  <si>
    <t>WC, %</t>
  </si>
  <si>
    <t xml:space="preserve"> GOR, v/v</t>
  </si>
  <si>
    <t xml:space="preserve"> Free gas, m3</t>
  </si>
  <si>
    <t>Qwi, bwpd</t>
  </si>
  <si>
    <t xml:space="preserve">  Count Well No.</t>
  </si>
  <si>
    <t>NP, MMt</t>
  </si>
  <si>
    <t>Cum. Assoc. Gas MMm3</t>
  </si>
  <si>
    <t>SBHP (PSI)</t>
  </si>
  <si>
    <t>Well</t>
  </si>
  <si>
    <t>Bubble point Press @ Res Press &amp; Temp (KSC)</t>
  </si>
  <si>
    <r>
      <t>Reservoir Temp (</t>
    </r>
    <r>
      <rPr>
        <sz val="11"/>
        <color theme="1"/>
        <rFont val="Calibri"/>
        <family val="2"/>
      </rPr>
      <t>°C)</t>
    </r>
  </si>
  <si>
    <t>FVF @ Pb (v/v)</t>
  </si>
  <si>
    <t>Rs @ Pb (v/v)</t>
  </si>
  <si>
    <t>°API</t>
  </si>
  <si>
    <t>Oil Density (gm/cc)</t>
  </si>
  <si>
    <t>Gas gravity</t>
  </si>
  <si>
    <t>Oil Viscosity @ Pb &amp; Res Temp (Cp)</t>
  </si>
  <si>
    <t>FVF @ Res Press (v/v)</t>
  </si>
  <si>
    <t>Avg. Depth, m</t>
  </si>
  <si>
    <t>Area, km2</t>
  </si>
  <si>
    <t>Avg thickness, m</t>
  </si>
  <si>
    <t>Eff. Porosity, %</t>
  </si>
  <si>
    <t>Avg Oil Saturation, %</t>
  </si>
  <si>
    <t>Other Parameters</t>
  </si>
  <si>
    <t>Initial</t>
  </si>
  <si>
    <t>Pressure Data</t>
  </si>
  <si>
    <t>A-1</t>
  </si>
  <si>
    <t>A-7</t>
  </si>
  <si>
    <t>A-8</t>
  </si>
  <si>
    <t>A-9</t>
  </si>
  <si>
    <t>Differential Liberation( Well_A-1)</t>
  </si>
  <si>
    <t>TIME</t>
  </si>
  <si>
    <t>WOR</t>
  </si>
  <si>
    <t>WOR'</t>
  </si>
  <si>
    <t>A-2</t>
  </si>
  <si>
    <t>A-3</t>
  </si>
  <si>
    <t>A-4</t>
  </si>
  <si>
    <t>A-5</t>
  </si>
  <si>
    <t>A-6</t>
  </si>
  <si>
    <t>Total</t>
  </si>
  <si>
    <t>Oil (bbl)</t>
  </si>
  <si>
    <t>Np</t>
  </si>
  <si>
    <t>TOTEL</t>
  </si>
  <si>
    <r>
      <t>GAS(M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</si>
  <si>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Gp</t>
  </si>
  <si>
    <t>Water(bbl)</t>
  </si>
  <si>
    <t>Wp</t>
  </si>
  <si>
    <r>
      <t>N=7758 A H (P.V) 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B</t>
    </r>
    <r>
      <rPr>
        <vertAlign val="subscript"/>
        <sz val="11"/>
        <color theme="1"/>
        <rFont val="Calibri"/>
        <family val="2"/>
        <scheme val="minor"/>
      </rPr>
      <t>0</t>
    </r>
  </si>
  <si>
    <t>acres</t>
  </si>
  <si>
    <t>ft</t>
  </si>
  <si>
    <t>API    =</t>
  </si>
  <si>
    <t xml:space="preserve"> </t>
  </si>
  <si>
    <t xml:space="preserve">    Yg   =</t>
  </si>
  <si>
    <t xml:space="preserve">    Yo  =</t>
  </si>
  <si>
    <t>X</t>
  </si>
  <si>
    <t>PRESSURE</t>
  </si>
  <si>
    <r>
      <t>Rs= Yg* ((( p/18.2) + 1.4)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)</t>
    </r>
    <r>
      <rPr>
        <vertAlign val="superscript"/>
        <sz val="11"/>
        <color theme="1"/>
        <rFont val="Calibri"/>
        <family val="2"/>
        <scheme val="minor"/>
      </rPr>
      <t>1.2048</t>
    </r>
  </si>
  <si>
    <t>Bg =(0.02827 *zT) / P</t>
  </si>
  <si>
    <t xml:space="preserve">   Z      =</t>
  </si>
  <si>
    <t xml:space="preserve">Temp(T)   = </t>
  </si>
  <si>
    <t>days</t>
  </si>
  <si>
    <t>pressure</t>
  </si>
  <si>
    <t>y = -0.0742x + 2217.1</t>
  </si>
  <si>
    <t>Rp = Gp / Np</t>
  </si>
  <si>
    <t>x=0.0125*API - ( 0.00091* (T - 460) ) =</t>
  </si>
  <si>
    <t>API=(141.5/Yo) - 131.5</t>
  </si>
  <si>
    <t>(P/18.2) + 1.4</t>
  </si>
  <si>
    <r>
      <t>10</t>
    </r>
    <r>
      <rPr>
        <vertAlign val="superscript"/>
        <sz val="11"/>
        <color theme="1"/>
        <rFont val="Calibri"/>
        <family val="2"/>
        <scheme val="minor"/>
      </rPr>
      <t>X</t>
    </r>
  </si>
  <si>
    <t>Pb        =</t>
  </si>
  <si>
    <r>
      <t>Y=(((p/18.2) + 1.4 )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1.2048</t>
    </r>
  </si>
  <si>
    <t>Cw       =</t>
  </si>
  <si>
    <t>Cf         =</t>
  </si>
  <si>
    <t>Pi         =</t>
  </si>
  <si>
    <t>AVG So  =</t>
  </si>
  <si>
    <t>Sw = 1-So</t>
  </si>
  <si>
    <t>Rs=Y * Yo</t>
  </si>
  <si>
    <t>N (in MM)</t>
  </si>
  <si>
    <t xml:space="preserve"> { [(Bo - Boi) + (Rsi - Rs)Bg] + [Bo * (Pi - P) * [ ((Swi * Cw) + Cf) ]/ (1 - Swi)] }</t>
  </si>
  <si>
    <t>Weak water drive = 0.05 * (Np*Bo - Wp*Bw)</t>
  </si>
  <si>
    <t>X - axis</t>
  </si>
  <si>
    <t>Y - axis</t>
  </si>
  <si>
    <t>We=Np[Bo+(Rp-Rs)Bg] + Wp*Bw - N { [(Bo-Boi)+(Rsi-Rs)Bg] + [Boi*(Pi-P)* ( (Swc*Cw +Cf) / (1-Swc) )] }</t>
  </si>
  <si>
    <t>N=Np(Bo+(Rp - Rs)Bg) -  (We - Wp*Bw) / { [(Bo - Boi) + (Rsi - Rs)Bg] + [Bo * (Pi - P) * [ ((Swi * Cw) + Cf) ]/ (1 - Swi)] }</t>
  </si>
  <si>
    <t xml:space="preserve">Np(Bo+(Rp - Rs)Bg) -(We - Wp*Bw) </t>
  </si>
  <si>
    <t xml:space="preserve"> Eo = [(Bo - Boi) + (Rsi - Rs)Bg]</t>
  </si>
  <si>
    <t>Efw = [Bo * (Pi - P) * [ ((Swi * Cw) + Cf) ]/ (1 - Swi)]</t>
  </si>
  <si>
    <t>DDI</t>
  </si>
  <si>
    <t>EDI</t>
  </si>
  <si>
    <t>WDI</t>
  </si>
  <si>
    <t xml:space="preserve">Ew = (We - Wp*Bw) </t>
  </si>
  <si>
    <t xml:space="preserve">F = Np(Bo+(Rp - Rs)Bg) </t>
  </si>
  <si>
    <t>DRIVE INDEX</t>
  </si>
  <si>
    <r>
      <t>Bo=0.9759 + 0.000120 (Rs*(Yg/Yo)</t>
    </r>
    <r>
      <rPr>
        <vertAlign val="superscript"/>
        <sz val="11"/>
        <color theme="0"/>
        <rFont val="Calibri"/>
        <family val="2"/>
        <scheme val="minor"/>
      </rPr>
      <t>0.5</t>
    </r>
    <r>
      <rPr>
        <sz val="11"/>
        <color theme="0"/>
        <rFont val="Calibri"/>
        <family val="2"/>
        <scheme val="minor"/>
      </rPr>
      <t xml:space="preserve"> + 1.25(T-460))</t>
    </r>
    <r>
      <rPr>
        <vertAlign val="superscript"/>
        <sz val="11"/>
        <color theme="0"/>
        <rFont val="Calibri"/>
        <family val="2"/>
        <scheme val="minor"/>
      </rPr>
      <t>1.2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</si>
</sst>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"/>
    <numFmt numFmtId="166" formatCode="0.00000"/>
    <numFmt numFmtId="167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7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2" fontId="2" fillId="0" borderId="6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1" fontId="2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/>
    <xf numFmtId="2" fontId="1" fillId="9" borderId="3" xfId="0" applyNumberFormat="1" applyFont="1" applyFill="1" applyBorder="1" applyAlignment="1">
      <alignment horizontal="center" vertical="center"/>
    </xf>
    <xf numFmtId="17" fontId="0" fillId="11" borderId="2" xfId="0" applyNumberFormat="1" applyFill="1" applyBorder="1" applyAlignment="1">
      <alignment horizontal="center" vertical="center"/>
    </xf>
    <xf numFmtId="17" fontId="0" fillId="11" borderId="1" xfId="0" applyNumberFormat="1" applyFill="1" applyBorder="1" applyAlignment="1">
      <alignment horizontal="center" vertical="center"/>
    </xf>
    <xf numFmtId="1" fontId="0" fillId="5" borderId="0" xfId="0" applyNumberFormat="1" applyFill="1"/>
    <xf numFmtId="1" fontId="0" fillId="14" borderId="0" xfId="0" applyNumberFormat="1" applyFill="1"/>
    <xf numFmtId="0" fontId="0" fillId="13" borderId="0" xfId="0" applyFill="1" applyAlignment="1">
      <alignment horizontal="center" vertical="center"/>
    </xf>
    <xf numFmtId="1" fontId="0" fillId="6" borderId="0" xfId="0" applyNumberFormat="1" applyFill="1"/>
    <xf numFmtId="0" fontId="0" fillId="20" borderId="0" xfId="0" applyFill="1"/>
    <xf numFmtId="0" fontId="5" fillId="22" borderId="0" xfId="0" applyFont="1" applyFill="1" applyAlignment="1">
      <alignment horizontal="center" vertical="center"/>
    </xf>
    <xf numFmtId="0" fontId="0" fillId="18" borderId="0" xfId="0" applyFill="1"/>
    <xf numFmtId="0" fontId="0" fillId="23" borderId="0" xfId="0" applyFill="1"/>
    <xf numFmtId="0" fontId="0" fillId="24" borderId="0" xfId="0" applyFill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1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5" fillId="19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1D"/>
      <color rgb="FFFF794F"/>
      <color rgb="FFFF7C8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Qo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'Structure-A_Prod_Data'!$R:$R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'Structure-A_Prod_Data'!$C:$C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515.61683333333326</c:v>
                </c:pt>
                <c:pt idx="2">
                  <c:v>1320.7742580645161</c:v>
                </c:pt>
                <c:pt idx="3">
                  <c:v>2221.5150645161293</c:v>
                </c:pt>
                <c:pt idx="4">
                  <c:v>3003.1211724137934</c:v>
                </c:pt>
                <c:pt idx="5">
                  <c:v>4350.1426451612906</c:v>
                </c:pt>
                <c:pt idx="6">
                  <c:v>4333.8428999999996</c:v>
                </c:pt>
                <c:pt idx="7">
                  <c:v>4452.3483548387103</c:v>
                </c:pt>
                <c:pt idx="8">
                  <c:v>4628.2003000000004</c:v>
                </c:pt>
                <c:pt idx="9">
                  <c:v>4233.7312081105165</c:v>
                </c:pt>
                <c:pt idx="10">
                  <c:v>4272.1095806451613</c:v>
                </c:pt>
                <c:pt idx="11">
                  <c:v>3869.2075333333332</c:v>
                </c:pt>
                <c:pt idx="12">
                  <c:v>3468.8251612903227</c:v>
                </c:pt>
                <c:pt idx="13">
                  <c:v>3548.8819666666668</c:v>
                </c:pt>
                <c:pt idx="14">
                  <c:v>2990.836870967742</c:v>
                </c:pt>
                <c:pt idx="15">
                  <c:v>2616.1179032258065</c:v>
                </c:pt>
                <c:pt idx="16">
                  <c:v>2322.1944642857143</c:v>
                </c:pt>
                <c:pt idx="17">
                  <c:v>3676.7469999999998</c:v>
                </c:pt>
                <c:pt idx="18">
                  <c:v>3336.5943333333335</c:v>
                </c:pt>
                <c:pt idx="19">
                  <c:v>4019.6219999999998</c:v>
                </c:pt>
                <c:pt idx="20">
                  <c:v>4170.0025666666661</c:v>
                </c:pt>
                <c:pt idx="21">
                  <c:v>4000.3766451612901</c:v>
                </c:pt>
                <c:pt idx="22">
                  <c:v>4076.8126451612907</c:v>
                </c:pt>
                <c:pt idx="23">
                  <c:v>3999.8370333333337</c:v>
                </c:pt>
                <c:pt idx="24">
                  <c:v>3876.0758387096776</c:v>
                </c:pt>
                <c:pt idx="25">
                  <c:v>3982.7827333333335</c:v>
                </c:pt>
                <c:pt idx="26">
                  <c:v>3943.0811935483871</c:v>
                </c:pt>
                <c:pt idx="27">
                  <c:v>3451.7051935483869</c:v>
                </c:pt>
                <c:pt idx="28">
                  <c:v>3339.2403571428572</c:v>
                </c:pt>
                <c:pt idx="29">
                  <c:v>3401.5382580645164</c:v>
                </c:pt>
                <c:pt idx="30">
                  <c:v>3821.0220333333327</c:v>
                </c:pt>
                <c:pt idx="31">
                  <c:v>3861.6134838709672</c:v>
                </c:pt>
                <c:pt idx="32">
                  <c:v>3517.777</c:v>
                </c:pt>
                <c:pt idx="33">
                  <c:v>3009.1139677419355</c:v>
                </c:pt>
                <c:pt idx="34">
                  <c:v>3102.8148387096762</c:v>
                </c:pt>
                <c:pt idx="35">
                  <c:v>3178.479066666664</c:v>
                </c:pt>
                <c:pt idx="36">
                  <c:v>3185.3740967741855</c:v>
                </c:pt>
                <c:pt idx="37">
                  <c:v>2904.8560666666663</c:v>
                </c:pt>
                <c:pt idx="38">
                  <c:v>2858.8003548387101</c:v>
                </c:pt>
                <c:pt idx="39">
                  <c:v>3088.0215806451579</c:v>
                </c:pt>
                <c:pt idx="40">
                  <c:v>3001.4606785714268</c:v>
                </c:pt>
                <c:pt idx="41">
                  <c:v>3076.0080645161247</c:v>
                </c:pt>
                <c:pt idx="42">
                  <c:v>3055.3868666666631</c:v>
                </c:pt>
                <c:pt idx="43">
                  <c:v>2903.2341935483869</c:v>
                </c:pt>
                <c:pt idx="44">
                  <c:v>3227.7025333333336</c:v>
                </c:pt>
                <c:pt idx="45">
                  <c:v>3359.1121290322581</c:v>
                </c:pt>
                <c:pt idx="46">
                  <c:v>3220.7871290322582</c:v>
                </c:pt>
                <c:pt idx="47">
                  <c:v>2848.7963666666665</c:v>
                </c:pt>
                <c:pt idx="48">
                  <c:v>2796.6186774193548</c:v>
                </c:pt>
                <c:pt idx="49">
                  <c:v>3319.3009333333334</c:v>
                </c:pt>
                <c:pt idx="50">
                  <c:v>3216.6563870967743</c:v>
                </c:pt>
                <c:pt idx="51">
                  <c:v>3049.5852903225805</c:v>
                </c:pt>
                <c:pt idx="52">
                  <c:v>3178.4492068965519</c:v>
                </c:pt>
                <c:pt idx="53">
                  <c:v>3093.9044193548389</c:v>
                </c:pt>
                <c:pt idx="54">
                  <c:v>3030.0601333333334</c:v>
                </c:pt>
                <c:pt idx="55">
                  <c:v>2879.4640322580653</c:v>
                </c:pt>
                <c:pt idx="56">
                  <c:v>2762.6414333333337</c:v>
                </c:pt>
                <c:pt idx="57">
                  <c:v>2755.7041290322582</c:v>
                </c:pt>
                <c:pt idx="58">
                  <c:v>2899.0525161290325</c:v>
                </c:pt>
                <c:pt idx="59">
                  <c:v>2788.7108666666663</c:v>
                </c:pt>
                <c:pt idx="60">
                  <c:v>2591.2834193548388</c:v>
                </c:pt>
                <c:pt idx="61">
                  <c:v>2585.6603</c:v>
                </c:pt>
                <c:pt idx="62">
                  <c:v>2586.2072258064513</c:v>
                </c:pt>
                <c:pt idx="63">
                  <c:v>2484.3105161290323</c:v>
                </c:pt>
                <c:pt idx="64">
                  <c:v>2451.2947857142858</c:v>
                </c:pt>
                <c:pt idx="65">
                  <c:v>2456.0648064516126</c:v>
                </c:pt>
                <c:pt idx="66">
                  <c:v>2228.5092</c:v>
                </c:pt>
                <c:pt idx="67">
                  <c:v>2304.2441935483871</c:v>
                </c:pt>
                <c:pt idx="68">
                  <c:v>2239.4250999999999</c:v>
                </c:pt>
                <c:pt idx="69">
                  <c:v>2188.2970000000005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5-44FE-8F23-82E241B45252}"/>
            </c:ext>
          </c:extLst>
        </c:ser>
        <c:ser>
          <c:idx val="1"/>
          <c:order val="1"/>
          <c:tx>
            <c:v>Qw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'Structure-A_Prod_Data'!$R:$R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'Structure-A_Prod_Data'!$D:$D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0.9610814333333334</c:v>
                </c:pt>
                <c:pt idx="2">
                  <c:v>10.948918580645163</c:v>
                </c:pt>
                <c:pt idx="3">
                  <c:v>11.83192535483871</c:v>
                </c:pt>
                <c:pt idx="4">
                  <c:v>71.720637379310347</c:v>
                </c:pt>
                <c:pt idx="5">
                  <c:v>201.06116719354836</c:v>
                </c:pt>
                <c:pt idx="6">
                  <c:v>221.01958859999999</c:v>
                </c:pt>
                <c:pt idx="7">
                  <c:v>288.78541341935482</c:v>
                </c:pt>
                <c:pt idx="8">
                  <c:v>528.86735003333331</c:v>
                </c:pt>
                <c:pt idx="9">
                  <c:v>841.66816661290329</c:v>
                </c:pt>
                <c:pt idx="10">
                  <c:v>926.40374361290321</c:v>
                </c:pt>
                <c:pt idx="11">
                  <c:v>1142.2369049666665</c:v>
                </c:pt>
                <c:pt idx="12">
                  <c:v>1322.1480176774194</c:v>
                </c:pt>
                <c:pt idx="13">
                  <c:v>1134.0224263666667</c:v>
                </c:pt>
                <c:pt idx="14">
                  <c:v>967.48607974193544</c:v>
                </c:pt>
                <c:pt idx="15">
                  <c:v>796.2067097096774</c:v>
                </c:pt>
                <c:pt idx="16">
                  <c:v>407.66237957142852</c:v>
                </c:pt>
                <c:pt idx="17">
                  <c:v>397.56324374193548</c:v>
                </c:pt>
                <c:pt idx="18">
                  <c:v>134.4195254</c:v>
                </c:pt>
                <c:pt idx="19">
                  <c:v>94.804735096774209</c:v>
                </c:pt>
                <c:pt idx="20">
                  <c:v>194.42883003333333</c:v>
                </c:pt>
                <c:pt idx="21">
                  <c:v>306.54760590322576</c:v>
                </c:pt>
                <c:pt idx="22">
                  <c:v>258.92164603225808</c:v>
                </c:pt>
                <c:pt idx="23">
                  <c:v>336.70599273333335</c:v>
                </c:pt>
                <c:pt idx="24">
                  <c:v>794.80793935483871</c:v>
                </c:pt>
                <c:pt idx="25">
                  <c:v>1032.7843214</c:v>
                </c:pt>
                <c:pt idx="26">
                  <c:v>1029.7855340967742</c:v>
                </c:pt>
                <c:pt idx="27">
                  <c:v>1129.0215347096773</c:v>
                </c:pt>
                <c:pt idx="28">
                  <c:v>1524.1593868214286</c:v>
                </c:pt>
                <c:pt idx="29">
                  <c:v>1592.3186666451611</c:v>
                </c:pt>
                <c:pt idx="30">
                  <c:v>1355.5357641000001</c:v>
                </c:pt>
                <c:pt idx="31">
                  <c:v>1528.6979483548389</c:v>
                </c:pt>
                <c:pt idx="32">
                  <c:v>1574.2493021333332</c:v>
                </c:pt>
                <c:pt idx="33">
                  <c:v>1635.1081760000002</c:v>
                </c:pt>
                <c:pt idx="34">
                  <c:v>1993.319793193546</c:v>
                </c:pt>
                <c:pt idx="35">
                  <c:v>1678.7878746666656</c:v>
                </c:pt>
                <c:pt idx="36">
                  <c:v>1535.7877703870956</c:v>
                </c:pt>
                <c:pt idx="37">
                  <c:v>1245.8594731666667</c:v>
                </c:pt>
                <c:pt idx="38">
                  <c:v>1763.1453738064515</c:v>
                </c:pt>
                <c:pt idx="39">
                  <c:v>2024.2875219677403</c:v>
                </c:pt>
                <c:pt idx="40">
                  <c:v>2210.7952874642829</c:v>
                </c:pt>
                <c:pt idx="41">
                  <c:v>2468.9771936129</c:v>
                </c:pt>
                <c:pt idx="42">
                  <c:v>2262.1311823666638</c:v>
                </c:pt>
                <c:pt idx="43">
                  <c:v>2105.2011323225806</c:v>
                </c:pt>
                <c:pt idx="44">
                  <c:v>3204.3388195000007</c:v>
                </c:pt>
                <c:pt idx="45">
                  <c:v>2691.3642320322583</c:v>
                </c:pt>
                <c:pt idx="46">
                  <c:v>2692.117993483871</c:v>
                </c:pt>
                <c:pt idx="47">
                  <c:v>2283.6066563333334</c:v>
                </c:pt>
                <c:pt idx="48">
                  <c:v>2217.4332801935484</c:v>
                </c:pt>
                <c:pt idx="49">
                  <c:v>3049.2883307000002</c:v>
                </c:pt>
                <c:pt idx="50">
                  <c:v>3392.5627010000003</c:v>
                </c:pt>
                <c:pt idx="51">
                  <c:v>3630.3021266451615</c:v>
                </c:pt>
                <c:pt idx="52">
                  <c:v>3468.9838968620688</c:v>
                </c:pt>
                <c:pt idx="53">
                  <c:v>3688.7307166129035</c:v>
                </c:pt>
                <c:pt idx="54">
                  <c:v>3974.0895755000001</c:v>
                </c:pt>
                <c:pt idx="55">
                  <c:v>3266.8145846129028</c:v>
                </c:pt>
                <c:pt idx="56">
                  <c:v>3767.4470020333329</c:v>
                </c:pt>
                <c:pt idx="57">
                  <c:v>4549.0024885483872</c:v>
                </c:pt>
                <c:pt idx="58">
                  <c:v>4471.8611351290319</c:v>
                </c:pt>
                <c:pt idx="59">
                  <c:v>3975.6293186333337</c:v>
                </c:pt>
                <c:pt idx="60">
                  <c:v>3891.6345922258065</c:v>
                </c:pt>
                <c:pt idx="61">
                  <c:v>3922.1425365999999</c:v>
                </c:pt>
                <c:pt idx="62">
                  <c:v>3661.2739133870964</c:v>
                </c:pt>
                <c:pt idx="63">
                  <c:v>3947.1956419677417</c:v>
                </c:pt>
                <c:pt idx="64">
                  <c:v>4284.0971196071423</c:v>
                </c:pt>
                <c:pt idx="65">
                  <c:v>4962.9319946451615</c:v>
                </c:pt>
                <c:pt idx="66">
                  <c:v>4434.811135566667</c:v>
                </c:pt>
                <c:pt idx="67">
                  <c:v>4457.1726257741939</c:v>
                </c:pt>
                <c:pt idx="68">
                  <c:v>4903.1045668333336</c:v>
                </c:pt>
                <c:pt idx="69">
                  <c:v>4998.676116387097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5-44FE-8F23-82E241B45252}"/>
            </c:ext>
          </c:extLst>
        </c:ser>
        <c:ser>
          <c:idx val="2"/>
          <c:order val="2"/>
          <c:tx>
            <c:v>Qg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'Structure-A_Prod_Data'!$R:$R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'Structure-A_Prod_Data'!$E:$E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2427.7333333333331</c:v>
                </c:pt>
                <c:pt idx="2">
                  <c:v>4109.5161290322585</c:v>
                </c:pt>
                <c:pt idx="3">
                  <c:v>2463.9677419354839</c:v>
                </c:pt>
                <c:pt idx="4">
                  <c:v>18664.862068965514</c:v>
                </c:pt>
                <c:pt idx="5">
                  <c:v>37983.129032258061</c:v>
                </c:pt>
                <c:pt idx="6">
                  <c:v>37711.800000000003</c:v>
                </c:pt>
                <c:pt idx="7">
                  <c:v>38992.580645161288</c:v>
                </c:pt>
                <c:pt idx="8">
                  <c:v>40561.4</c:v>
                </c:pt>
                <c:pt idx="9">
                  <c:v>36586.129032258068</c:v>
                </c:pt>
                <c:pt idx="10">
                  <c:v>38776.93548387097</c:v>
                </c:pt>
                <c:pt idx="11">
                  <c:v>38640.633333333331</c:v>
                </c:pt>
                <c:pt idx="12">
                  <c:v>39782.93548387097</c:v>
                </c:pt>
                <c:pt idx="13">
                  <c:v>43526.833333333336</c:v>
                </c:pt>
                <c:pt idx="14">
                  <c:v>28478.096774193546</c:v>
                </c:pt>
                <c:pt idx="15">
                  <c:v>28179.645161290322</c:v>
                </c:pt>
                <c:pt idx="16">
                  <c:v>28708.96428571429</c:v>
                </c:pt>
                <c:pt idx="17">
                  <c:v>24903.096774193546</c:v>
                </c:pt>
                <c:pt idx="18">
                  <c:v>19135.133333333331</c:v>
                </c:pt>
                <c:pt idx="19">
                  <c:v>26418.548387096773</c:v>
                </c:pt>
                <c:pt idx="20">
                  <c:v>28423.933333333334</c:v>
                </c:pt>
                <c:pt idx="21">
                  <c:v>28223.741935483871</c:v>
                </c:pt>
                <c:pt idx="22">
                  <c:v>28660.161290322583</c:v>
                </c:pt>
                <c:pt idx="23">
                  <c:v>28568.9</c:v>
                </c:pt>
                <c:pt idx="24">
                  <c:v>30372.129032258061</c:v>
                </c:pt>
                <c:pt idx="25">
                  <c:v>24988.1</c:v>
                </c:pt>
                <c:pt idx="26">
                  <c:v>24474.064516129034</c:v>
                </c:pt>
                <c:pt idx="27">
                  <c:v>23145.290322580644</c:v>
                </c:pt>
                <c:pt idx="28">
                  <c:v>21932.535714285714</c:v>
                </c:pt>
                <c:pt idx="29">
                  <c:v>25188.709677419356</c:v>
                </c:pt>
                <c:pt idx="30">
                  <c:v>29630.233333333334</c:v>
                </c:pt>
                <c:pt idx="31">
                  <c:v>30295.838709677417</c:v>
                </c:pt>
                <c:pt idx="32">
                  <c:v>26858.733333333337</c:v>
                </c:pt>
                <c:pt idx="33">
                  <c:v>20856.806451612905</c:v>
                </c:pt>
                <c:pt idx="34">
                  <c:v>21461.935483870941</c:v>
                </c:pt>
                <c:pt idx="35">
                  <c:v>22216.933333333309</c:v>
                </c:pt>
                <c:pt idx="36">
                  <c:v>21743.645161290278</c:v>
                </c:pt>
                <c:pt idx="37">
                  <c:v>20819.466666666667</c:v>
                </c:pt>
                <c:pt idx="38">
                  <c:v>19349.870967741936</c:v>
                </c:pt>
                <c:pt idx="39">
                  <c:v>20697.419354838676</c:v>
                </c:pt>
                <c:pt idx="40">
                  <c:v>21019.107142857109</c:v>
                </c:pt>
                <c:pt idx="41">
                  <c:v>20633.6451612903</c:v>
                </c:pt>
                <c:pt idx="42">
                  <c:v>20907.233333333319</c:v>
                </c:pt>
                <c:pt idx="43">
                  <c:v>20072.16129032258</c:v>
                </c:pt>
                <c:pt idx="44">
                  <c:v>21242.766666666666</c:v>
                </c:pt>
                <c:pt idx="45">
                  <c:v>21667.806451612902</c:v>
                </c:pt>
                <c:pt idx="46">
                  <c:v>17576.741935483871</c:v>
                </c:pt>
                <c:pt idx="47">
                  <c:v>14753.2</c:v>
                </c:pt>
                <c:pt idx="48">
                  <c:v>18139.387096774193</c:v>
                </c:pt>
                <c:pt idx="49">
                  <c:v>25270.533333333333</c:v>
                </c:pt>
                <c:pt idx="50">
                  <c:v>35279.258064516129</c:v>
                </c:pt>
                <c:pt idx="51">
                  <c:v>32800.096774193553</c:v>
                </c:pt>
                <c:pt idx="52">
                  <c:v>31644.413793103449</c:v>
                </c:pt>
                <c:pt idx="53">
                  <c:v>24819.451612903227</c:v>
                </c:pt>
                <c:pt idx="54">
                  <c:v>21792.833333333332</c:v>
                </c:pt>
                <c:pt idx="55">
                  <c:v>21850.451612903224</c:v>
                </c:pt>
                <c:pt idx="56">
                  <c:v>22883.200000000001</c:v>
                </c:pt>
                <c:pt idx="57">
                  <c:v>21635.709677419356</c:v>
                </c:pt>
                <c:pt idx="58">
                  <c:v>20939.06451612903</c:v>
                </c:pt>
                <c:pt idx="59">
                  <c:v>19837.899999999998</c:v>
                </c:pt>
                <c:pt idx="60">
                  <c:v>20438.935483870966</c:v>
                </c:pt>
                <c:pt idx="61">
                  <c:v>19487.766666666666</c:v>
                </c:pt>
                <c:pt idx="62">
                  <c:v>16312.741935483869</c:v>
                </c:pt>
                <c:pt idx="63">
                  <c:v>15026.935483870968</c:v>
                </c:pt>
                <c:pt idx="64">
                  <c:v>15580.75</c:v>
                </c:pt>
                <c:pt idx="65">
                  <c:v>15612.903225806453</c:v>
                </c:pt>
                <c:pt idx="66">
                  <c:v>16102.6</c:v>
                </c:pt>
                <c:pt idx="67">
                  <c:v>14414.451612903224</c:v>
                </c:pt>
                <c:pt idx="68">
                  <c:v>11403.733333333332</c:v>
                </c:pt>
                <c:pt idx="69">
                  <c:v>13212.548387096775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5-44FE-8F23-82E241B45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442304"/>
        <c:axId val="2068440864"/>
      </c:scatterChart>
      <c:valAx>
        <c:axId val="20684423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0864"/>
        <c:crosses val="autoZero"/>
        <c:crossBetween val="midCat"/>
      </c:valAx>
      <c:valAx>
        <c:axId val="2068440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  <a:r>
                  <a:rPr lang="en-IN" baseline="0"/>
                  <a:t> &amp; Qg &amp; Qw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WRONG</a:t>
            </a:r>
            <a:r>
              <a:rPr lang="en-US" baseline="0"/>
              <a:t>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PVT_Press!$B$4:$B$5</c:f>
              <c:numCache>
                <c:formatCode>mmm\-yy</c:formatCode>
                <c:ptCount val="2"/>
                <c:pt idx="0">
                  <c:v>43770</c:v>
                </c:pt>
                <c:pt idx="1">
                  <c:v>44593</c:v>
                </c:pt>
              </c:numCache>
            </c:numRef>
          </c:xVal>
          <c:yVal>
            <c:numRef>
              <c:f>PVT_Press!$C$4:$C$5</c:f>
              <c:numCache>
                <c:formatCode>General</c:formatCode>
                <c:ptCount val="2"/>
                <c:pt idx="0">
                  <c:v>2217</c:v>
                </c:pt>
                <c:pt idx="1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8-417A-BFE5-1B89E9D39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14112"/>
        <c:axId val="396315552"/>
      </c:scatterChart>
      <c:valAx>
        <c:axId val="396314112"/>
        <c:scaling>
          <c:orientation val="minMax"/>
          <c:min val="43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5552"/>
        <c:crosses val="autoZero"/>
        <c:crossBetween val="midCat"/>
      </c:valAx>
      <c:valAx>
        <c:axId val="396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PVT_Press!$C$9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PVT_Press!$B$10:$B$17</c:f>
              <c:numCache>
                <c:formatCode>General</c:formatCode>
                <c:ptCount val="8"/>
                <c:pt idx="0" formatCode="0.0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  <c:pt idx="7">
                  <c:v>823</c:v>
                </c:pt>
              </c:numCache>
            </c:numRef>
          </c:xVal>
          <c:yVal>
            <c:numRef>
              <c:f>PVT_Press!$C$10:$C$17</c:f>
              <c:numCache>
                <c:formatCode>General</c:formatCode>
                <c:ptCount val="8"/>
                <c:pt idx="0">
                  <c:v>2217</c:v>
                </c:pt>
                <c:pt idx="7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B-4ABB-B598-B262FE7D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47520"/>
        <c:axId val="61802160"/>
      </c:scatterChart>
      <c:valAx>
        <c:axId val="3091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160"/>
        <c:crosses val="autoZero"/>
        <c:crossBetween val="midCat"/>
      </c:valAx>
      <c:valAx>
        <c:axId val="618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4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WOR</a:t>
            </a:r>
            <a:r>
              <a:rPr lang="en-IN" baseline="0"/>
              <a:t> $ WOR' VS TIME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49074069487716726"/>
          <c:y val="3.6075349081330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28258967629047E-2"/>
          <c:y val="0.13004629629629633"/>
          <c:w val="0.8762384076990376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v>WOR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'Well_A-1'!$N$1:$N$70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'Well_A-1'!$O$1:$O$70</c:f>
              <c:numCache>
                <c:formatCode>General</c:formatCode>
                <c:ptCount val="70"/>
                <c:pt idx="0">
                  <c:v>0</c:v>
                </c:pt>
                <c:pt idx="1">
                  <c:v>1.8639450289475296E-3</c:v>
                </c:pt>
                <c:pt idx="2">
                  <c:v>1.7704375950834369E-3</c:v>
                </c:pt>
                <c:pt idx="3">
                  <c:v>5.3251509630872487E-3</c:v>
                </c:pt>
                <c:pt idx="4">
                  <c:v>1.2045152481179095E-2</c:v>
                </c:pt>
                <c:pt idx="5">
                  <c:v>1.8205992827551924E-2</c:v>
                </c:pt>
                <c:pt idx="6">
                  <c:v>2.0088336929982121E-2</c:v>
                </c:pt>
                <c:pt idx="7">
                  <c:v>1.6372571536241429E-2</c:v>
                </c:pt>
                <c:pt idx="8">
                  <c:v>1.5322841005113179E-2</c:v>
                </c:pt>
                <c:pt idx="9">
                  <c:v>1.922586165077764E-2</c:v>
                </c:pt>
                <c:pt idx="10">
                  <c:v>1.7044399490316931E-2</c:v>
                </c:pt>
                <c:pt idx="11">
                  <c:v>1.7559970602378881E-2</c:v>
                </c:pt>
                <c:pt idx="12">
                  <c:v>2.2672277162398214E-2</c:v>
                </c:pt>
                <c:pt idx="13">
                  <c:v>1.9206823531931885E-2</c:v>
                </c:pt>
                <c:pt idx="14">
                  <c:v>2.637779570121164E-2</c:v>
                </c:pt>
                <c:pt idx="15">
                  <c:v>3.3004380217009015E-2</c:v>
                </c:pt>
                <c:pt idx="16">
                  <c:v>1.1710243612059645E-2</c:v>
                </c:pt>
                <c:pt idx="17">
                  <c:v>7.5048666259772525E-3</c:v>
                </c:pt>
                <c:pt idx="18">
                  <c:v>0</c:v>
                </c:pt>
                <c:pt idx="19">
                  <c:v>3.1997186887453427E-2</c:v>
                </c:pt>
                <c:pt idx="20">
                  <c:v>6.3410452597524286E-2</c:v>
                </c:pt>
                <c:pt idx="21">
                  <c:v>0.10421584297388749</c:v>
                </c:pt>
                <c:pt idx="22">
                  <c:v>8.6115019075088978E-2</c:v>
                </c:pt>
                <c:pt idx="23">
                  <c:v>0.11411140689656996</c:v>
                </c:pt>
                <c:pt idx="24">
                  <c:v>0.4286150161498784</c:v>
                </c:pt>
                <c:pt idx="25">
                  <c:v>0.59591479642235878</c:v>
                </c:pt>
                <c:pt idx="26">
                  <c:v>0.59955860795975302</c:v>
                </c:pt>
                <c:pt idx="27">
                  <c:v>0.5760182877475668</c:v>
                </c:pt>
                <c:pt idx="28">
                  <c:v>1.5242165572667234</c:v>
                </c:pt>
                <c:pt idx="29">
                  <c:v>2.1307306209193575</c:v>
                </c:pt>
                <c:pt idx="30">
                  <c:v>2.3076215541236973</c:v>
                </c:pt>
                <c:pt idx="31">
                  <c:v>2.5762769890533841</c:v>
                </c:pt>
                <c:pt idx="32">
                  <c:v>2.8975542888833981</c:v>
                </c:pt>
                <c:pt idx="33">
                  <c:v>3.4445981855602166</c:v>
                </c:pt>
                <c:pt idx="34">
                  <c:v>4.0316290019235197</c:v>
                </c:pt>
                <c:pt idx="35">
                  <c:v>3.086464499531008</c:v>
                </c:pt>
                <c:pt idx="36">
                  <c:v>1.8701445524237343</c:v>
                </c:pt>
                <c:pt idx="37">
                  <c:v>1.7242197517497229</c:v>
                </c:pt>
                <c:pt idx="38">
                  <c:v>2.356422363654572</c:v>
                </c:pt>
                <c:pt idx="39">
                  <c:v>2.1386136384866608</c:v>
                </c:pt>
                <c:pt idx="40">
                  <c:v>2.2795343220587756</c:v>
                </c:pt>
                <c:pt idx="41">
                  <c:v>2.5310208304537762</c:v>
                </c:pt>
                <c:pt idx="42">
                  <c:v>2.4007640518750901</c:v>
                </c:pt>
                <c:pt idx="43">
                  <c:v>2.5466757546039767</c:v>
                </c:pt>
                <c:pt idx="44">
                  <c:v>3.5412447695213451</c:v>
                </c:pt>
                <c:pt idx="45">
                  <c:v>2.5866792081069425</c:v>
                </c:pt>
                <c:pt idx="46">
                  <c:v>2.4602557814093253</c:v>
                </c:pt>
                <c:pt idx="47">
                  <c:v>2.4173266315253836</c:v>
                </c:pt>
                <c:pt idx="48">
                  <c:v>2.4209662067396942</c:v>
                </c:pt>
                <c:pt idx="49">
                  <c:v>2.6050681645477165</c:v>
                </c:pt>
                <c:pt idx="50">
                  <c:v>2.6477207897855846</c:v>
                </c:pt>
                <c:pt idx="51">
                  <c:v>2.1366664884432676</c:v>
                </c:pt>
                <c:pt idx="52">
                  <c:v>1.9755513174225263</c:v>
                </c:pt>
                <c:pt idx="53">
                  <c:v>2.4355671921802307</c:v>
                </c:pt>
                <c:pt idx="54">
                  <c:v>3.3321412584292571</c:v>
                </c:pt>
                <c:pt idx="55">
                  <c:v>1.9873738556457534</c:v>
                </c:pt>
                <c:pt idx="56">
                  <c:v>2.0466568744512577</c:v>
                </c:pt>
                <c:pt idx="57">
                  <c:v>2.9394166627129321</c:v>
                </c:pt>
                <c:pt idx="58">
                  <c:v>2.888055321281382</c:v>
                </c:pt>
                <c:pt idx="59">
                  <c:v>3.0350885119804021</c:v>
                </c:pt>
                <c:pt idx="60">
                  <c:v>3.2951763707444961</c:v>
                </c:pt>
                <c:pt idx="61">
                  <c:v>3.3021840456832448</c:v>
                </c:pt>
                <c:pt idx="62">
                  <c:v>3.0013517803074881</c:v>
                </c:pt>
                <c:pt idx="63">
                  <c:v>3.2598538034615068</c:v>
                </c:pt>
                <c:pt idx="64">
                  <c:v>3.3100146127246446</c:v>
                </c:pt>
                <c:pt idx="65">
                  <c:v>3.7264538714658153</c:v>
                </c:pt>
                <c:pt idx="66">
                  <c:v>3.5975118441856075</c:v>
                </c:pt>
                <c:pt idx="67">
                  <c:v>3.4417204156220378</c:v>
                </c:pt>
                <c:pt idx="68">
                  <c:v>4.0604373562386895</c:v>
                </c:pt>
                <c:pt idx="69">
                  <c:v>4.0665545098968527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015-876A-DF6FB4EDD122}"/>
            </c:ext>
          </c:extLst>
        </c:ser>
        <c:ser>
          <c:idx val="1"/>
          <c:order val="1"/>
          <c:tx>
            <c:v>WOR'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'Well_A-1'!$N:$N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'Well_A-1'!$P:$P</c:f>
              <c:numCache>
                <c:formatCode>General</c:formatCode>
                <c:ptCount val="1048576"/>
                <c:pt idx="0">
                  <c:v>0</c:v>
                </c:pt>
                <c:pt idx="3">
                  <c:v>9.169012685797789E-3</c:v>
                </c:pt>
                <c:pt idx="4">
                  <c:v>1.8806436189720228E-2</c:v>
                </c:pt>
                <c:pt idx="5">
                  <c:v>1.6019345755627527E-2</c:v>
                </c:pt>
                <c:pt idx="6">
                  <c:v>-4.4913003309058983E-3</c:v>
                </c:pt>
                <c:pt idx="7">
                  <c:v>-1.4123685407484326E-2</c:v>
                </c:pt>
                <c:pt idx="8">
                  <c:v>9.8711059157686968E-3</c:v>
                </c:pt>
                <c:pt idx="9">
                  <c:v>6.8360317457647748E-3</c:v>
                </c:pt>
                <c:pt idx="10">
                  <c:v>-7.3306429277816641E-3</c:v>
                </c:pt>
                <c:pt idx="11">
                  <c:v>2.7999053542989916E-2</c:v>
                </c:pt>
                <c:pt idx="12">
                  <c:v>9.0326835647534156E-3</c:v>
                </c:pt>
                <c:pt idx="13">
                  <c:v>2.2151106141690146E-2</c:v>
                </c:pt>
                <c:pt idx="14">
                  <c:v>8.9506946713038535E-2</c:v>
                </c:pt>
                <c:pt idx="15">
                  <c:v>-0.10083912430618129</c:v>
                </c:pt>
                <c:pt idx="16">
                  <c:v>-0.19702213866944415</c:v>
                </c:pt>
                <c:pt idx="17">
                  <c:v>-9.6640149969517891E-2</c:v>
                </c:pt>
                <c:pt idx="18">
                  <c:v>0.20714042018318882</c:v>
                </c:pt>
                <c:pt idx="19">
                  <c:v>0.56854556953300373</c:v>
                </c:pt>
                <c:pt idx="20">
                  <c:v>0.68307324359125332</c:v>
                </c:pt>
                <c:pt idx="21">
                  <c:v>0.22629755739976418</c:v>
                </c:pt>
                <c:pt idx="22">
                  <c:v>0.10190808939346915</c:v>
                </c:pt>
                <c:pt idx="23">
                  <c:v>3.7564758856560045</c:v>
                </c:pt>
                <c:pt idx="24">
                  <c:v>5.5293424810929785</c:v>
                </c:pt>
                <c:pt idx="25">
                  <c:v>2.0459294714167009</c:v>
                </c:pt>
                <c:pt idx="26">
                  <c:v>-0.24824731171782846</c:v>
                </c:pt>
                <c:pt idx="27">
                  <c:v>11.805725074184291</c:v>
                </c:pt>
                <c:pt idx="28">
                  <c:v>21.63808477549345</c:v>
                </c:pt>
                <c:pt idx="29">
                  <c:v>11.315018686866324</c:v>
                </c:pt>
                <c:pt idx="30">
                  <c:v>6.4359400749056883</c:v>
                </c:pt>
                <c:pt idx="31">
                  <c:v>8.8215260873680776</c:v>
                </c:pt>
                <c:pt idx="32">
                  <c:v>13.411589663024495</c:v>
                </c:pt>
                <c:pt idx="33">
                  <c:v>18.092793578235263</c:v>
                </c:pt>
                <c:pt idx="34">
                  <c:v>-5.7976117195532018</c:v>
                </c:pt>
                <c:pt idx="35">
                  <c:v>-36.646026632774465</c:v>
                </c:pt>
                <c:pt idx="36">
                  <c:v>-23.788118847294847</c:v>
                </c:pt>
                <c:pt idx="37">
                  <c:v>8.7308142933263166</c:v>
                </c:pt>
                <c:pt idx="38">
                  <c:v>7.6508299009600726</c:v>
                </c:pt>
                <c:pt idx="39">
                  <c:v>-1.4344866517228807</c:v>
                </c:pt>
                <c:pt idx="40">
                  <c:v>7.8897487992285793</c:v>
                </c:pt>
                <c:pt idx="41">
                  <c:v>2.5011577483881391</c:v>
                </c:pt>
                <c:pt idx="42">
                  <c:v>0.31983554036374062</c:v>
                </c:pt>
                <c:pt idx="43">
                  <c:v>23.880118845982636</c:v>
                </c:pt>
                <c:pt idx="44">
                  <c:v>0.85729552396838038</c:v>
                </c:pt>
                <c:pt idx="45">
                  <c:v>-23.715627849299153</c:v>
                </c:pt>
                <c:pt idx="46">
                  <c:v>-3.7387749191008579</c:v>
                </c:pt>
                <c:pt idx="47">
                  <c:v>-0.9012631699216469</c:v>
                </c:pt>
                <c:pt idx="48">
                  <c:v>4.402025608674486</c:v>
                </c:pt>
                <c:pt idx="49">
                  <c:v>5.4283101633123518</c:v>
                </c:pt>
                <c:pt idx="50">
                  <c:v>-11.451208330950994</c:v>
                </c:pt>
                <c:pt idx="51">
                  <c:v>-16.498394365483936</c:v>
                </c:pt>
                <c:pt idx="52">
                  <c:v>7.73060182073199</c:v>
                </c:pt>
                <c:pt idx="53">
                  <c:v>35.787079329456347</c:v>
                </c:pt>
                <c:pt idx="54">
                  <c:v>-11.846320647128261</c:v>
                </c:pt>
                <c:pt idx="55">
                  <c:v>-34.630344707783983</c:v>
                </c:pt>
                <c:pt idx="56">
                  <c:v>26.115856027744023</c:v>
                </c:pt>
                <c:pt idx="57">
                  <c:v>23.508370032829436</c:v>
                </c:pt>
                <c:pt idx="58">
                  <c:v>2.6769837591272521</c:v>
                </c:pt>
                <c:pt idx="59">
                  <c:v>11.78197872934024</c:v>
                </c:pt>
                <c:pt idx="60">
                  <c:v>7.8654265730960429</c:v>
                </c:pt>
                <c:pt idx="61">
                  <c:v>-8.7970611209115113</c:v>
                </c:pt>
                <c:pt idx="62">
                  <c:v>-1.2888747210486518</c:v>
                </c:pt>
                <c:pt idx="63">
                  <c:v>9.3984363485183167</c:v>
                </c:pt>
                <c:pt idx="64">
                  <c:v>15.163305724186801</c:v>
                </c:pt>
                <c:pt idx="65">
                  <c:v>9.493992401295932</c:v>
                </c:pt>
                <c:pt idx="66">
                  <c:v>-9.2297665288641646</c:v>
                </c:pt>
                <c:pt idx="67">
                  <c:v>15.241219960058508</c:v>
                </c:pt>
                <c:pt idx="68">
                  <c:v>20.879168029751536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015-876A-DF6FB4ED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19808"/>
        <c:axId val="156618368"/>
      </c:scatterChart>
      <c:valAx>
        <c:axId val="1566198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8368"/>
        <c:crosses val="autoZero"/>
        <c:crossBetween val="midCat"/>
      </c:valAx>
      <c:valAx>
        <c:axId val="156618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'Well_A-1'!$N:$N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'Well_A-1'!$O:$O</c:f>
              <c:numCache>
                <c:formatCode>General</c:formatCode>
                <c:ptCount val="1048576"/>
                <c:pt idx="0">
                  <c:v>0</c:v>
                </c:pt>
                <c:pt idx="1">
                  <c:v>1.8639450289475296E-3</c:v>
                </c:pt>
                <c:pt idx="2">
                  <c:v>1.7704375950834369E-3</c:v>
                </c:pt>
                <c:pt idx="3">
                  <c:v>5.3251509630872487E-3</c:v>
                </c:pt>
                <c:pt idx="4">
                  <c:v>1.2045152481179095E-2</c:v>
                </c:pt>
                <c:pt idx="5">
                  <c:v>1.8205992827551924E-2</c:v>
                </c:pt>
                <c:pt idx="6">
                  <c:v>2.0088336929982121E-2</c:v>
                </c:pt>
                <c:pt idx="7">
                  <c:v>1.6372571536241429E-2</c:v>
                </c:pt>
                <c:pt idx="8">
                  <c:v>1.5322841005113179E-2</c:v>
                </c:pt>
                <c:pt idx="9">
                  <c:v>1.922586165077764E-2</c:v>
                </c:pt>
                <c:pt idx="10">
                  <c:v>1.7044399490316931E-2</c:v>
                </c:pt>
                <c:pt idx="11">
                  <c:v>1.7559970602378881E-2</c:v>
                </c:pt>
                <c:pt idx="12">
                  <c:v>2.2672277162398214E-2</c:v>
                </c:pt>
                <c:pt idx="13">
                  <c:v>1.9206823531931885E-2</c:v>
                </c:pt>
                <c:pt idx="14">
                  <c:v>2.637779570121164E-2</c:v>
                </c:pt>
                <c:pt idx="15">
                  <c:v>3.3004380217009015E-2</c:v>
                </c:pt>
                <c:pt idx="16">
                  <c:v>1.1710243612059645E-2</c:v>
                </c:pt>
                <c:pt idx="17">
                  <c:v>7.5048666259772525E-3</c:v>
                </c:pt>
                <c:pt idx="18">
                  <c:v>0</c:v>
                </c:pt>
                <c:pt idx="19">
                  <c:v>3.1997186887453427E-2</c:v>
                </c:pt>
                <c:pt idx="20">
                  <c:v>6.3410452597524286E-2</c:v>
                </c:pt>
                <c:pt idx="21">
                  <c:v>0.10421584297388749</c:v>
                </c:pt>
                <c:pt idx="22">
                  <c:v>8.6115019075088978E-2</c:v>
                </c:pt>
                <c:pt idx="23">
                  <c:v>0.11411140689656996</c:v>
                </c:pt>
                <c:pt idx="24">
                  <c:v>0.4286150161498784</c:v>
                </c:pt>
                <c:pt idx="25">
                  <c:v>0.59591479642235878</c:v>
                </c:pt>
                <c:pt idx="26">
                  <c:v>0.59955860795975302</c:v>
                </c:pt>
                <c:pt idx="27">
                  <c:v>0.5760182877475668</c:v>
                </c:pt>
                <c:pt idx="28">
                  <c:v>1.5242165572667234</c:v>
                </c:pt>
                <c:pt idx="29">
                  <c:v>2.1307306209193575</c:v>
                </c:pt>
                <c:pt idx="30">
                  <c:v>2.3076215541236973</c:v>
                </c:pt>
                <c:pt idx="31">
                  <c:v>2.5762769890533841</c:v>
                </c:pt>
                <c:pt idx="32">
                  <c:v>2.8975542888833981</c:v>
                </c:pt>
                <c:pt idx="33">
                  <c:v>3.4445981855602166</c:v>
                </c:pt>
                <c:pt idx="34">
                  <c:v>4.0316290019235197</c:v>
                </c:pt>
                <c:pt idx="35">
                  <c:v>3.086464499531008</c:v>
                </c:pt>
                <c:pt idx="36">
                  <c:v>1.8701445524237343</c:v>
                </c:pt>
                <c:pt idx="37">
                  <c:v>1.7242197517497229</c:v>
                </c:pt>
                <c:pt idx="38">
                  <c:v>2.356422363654572</c:v>
                </c:pt>
                <c:pt idx="39">
                  <c:v>2.1386136384866608</c:v>
                </c:pt>
                <c:pt idx="40">
                  <c:v>2.2795343220587756</c:v>
                </c:pt>
                <c:pt idx="41">
                  <c:v>2.5310208304537762</c:v>
                </c:pt>
                <c:pt idx="42">
                  <c:v>2.4007640518750901</c:v>
                </c:pt>
                <c:pt idx="43">
                  <c:v>2.5466757546039767</c:v>
                </c:pt>
                <c:pt idx="44">
                  <c:v>3.5412447695213451</c:v>
                </c:pt>
                <c:pt idx="45">
                  <c:v>2.5866792081069425</c:v>
                </c:pt>
                <c:pt idx="46">
                  <c:v>2.4602557814093253</c:v>
                </c:pt>
                <c:pt idx="47">
                  <c:v>2.4173266315253836</c:v>
                </c:pt>
                <c:pt idx="48">
                  <c:v>2.4209662067396942</c:v>
                </c:pt>
                <c:pt idx="49">
                  <c:v>2.6050681645477165</c:v>
                </c:pt>
                <c:pt idx="50">
                  <c:v>2.6477207897855846</c:v>
                </c:pt>
                <c:pt idx="51">
                  <c:v>2.1366664884432676</c:v>
                </c:pt>
                <c:pt idx="52">
                  <c:v>1.9755513174225263</c:v>
                </c:pt>
                <c:pt idx="53">
                  <c:v>2.4355671921802307</c:v>
                </c:pt>
                <c:pt idx="54">
                  <c:v>3.3321412584292571</c:v>
                </c:pt>
                <c:pt idx="55">
                  <c:v>1.9873738556457534</c:v>
                </c:pt>
                <c:pt idx="56">
                  <c:v>2.0466568744512577</c:v>
                </c:pt>
                <c:pt idx="57">
                  <c:v>2.9394166627129321</c:v>
                </c:pt>
                <c:pt idx="58">
                  <c:v>2.888055321281382</c:v>
                </c:pt>
                <c:pt idx="59">
                  <c:v>3.0350885119804021</c:v>
                </c:pt>
                <c:pt idx="60">
                  <c:v>3.2951763707444961</c:v>
                </c:pt>
                <c:pt idx="61">
                  <c:v>3.3021840456832448</c:v>
                </c:pt>
                <c:pt idx="62">
                  <c:v>3.0013517803074881</c:v>
                </c:pt>
                <c:pt idx="63">
                  <c:v>3.2598538034615068</c:v>
                </c:pt>
                <c:pt idx="64">
                  <c:v>3.3100146127246446</c:v>
                </c:pt>
                <c:pt idx="65">
                  <c:v>3.7264538714658153</c:v>
                </c:pt>
                <c:pt idx="66">
                  <c:v>3.5975118441856075</c:v>
                </c:pt>
                <c:pt idx="67">
                  <c:v>3.4417204156220378</c:v>
                </c:pt>
                <c:pt idx="68">
                  <c:v>4.0604373562386895</c:v>
                </c:pt>
                <c:pt idx="69">
                  <c:v>4.0665545098968527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DF-4C59-92BF-9DB1AD5762AF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'Well_A-1'!$N:$N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'Well_A-1'!$R:$R</c:f>
              <c:numCache>
                <c:formatCode>General</c:formatCode>
                <c:ptCount val="1048576"/>
                <c:pt idx="0">
                  <c:v>0</c:v>
                </c:pt>
                <c:pt idx="2">
                  <c:v>-3.1169144621364235E-6</c:v>
                </c:pt>
                <c:pt idx="3">
                  <c:v>1.1466817316141328E-4</c:v>
                </c:pt>
                <c:pt idx="4">
                  <c:v>2.1677424251909181E-4</c:v>
                </c:pt>
                <c:pt idx="5">
                  <c:v>2.1244277056458029E-4</c:v>
                </c:pt>
                <c:pt idx="6">
                  <c:v>6.07207774977483E-5</c:v>
                </c:pt>
                <c:pt idx="7">
                  <c:v>-1.2385884645802308E-4</c:v>
                </c:pt>
                <c:pt idx="8">
                  <c:v>-3.386227519768547E-5</c:v>
                </c:pt>
                <c:pt idx="9">
                  <c:v>1.3010068818881539E-4</c:v>
                </c:pt>
                <c:pt idx="10">
                  <c:v>-7.0369747111635785E-5</c:v>
                </c:pt>
                <c:pt idx="11">
                  <c:v>1.6631326195546754E-5</c:v>
                </c:pt>
                <c:pt idx="12">
                  <c:v>1.7041021866731111E-4</c:v>
                </c:pt>
                <c:pt idx="13">
                  <c:v>-1.1178882678923641E-4</c:v>
                </c:pt>
                <c:pt idx="14">
                  <c:v>2.3903240564265849E-4</c:v>
                </c:pt>
                <c:pt idx="15">
                  <c:v>2.1376079083217339E-4</c:v>
                </c:pt>
                <c:pt idx="16">
                  <c:v>-6.8690763241772165E-4</c:v>
                </c:pt>
                <c:pt idx="17">
                  <c:v>-1.501920352172283E-4</c:v>
                </c:pt>
                <c:pt idx="18">
                  <c:v>-2.4209247180571782E-4</c:v>
                </c:pt>
                <c:pt idx="19">
                  <c:v>1.0665728962484476E-3</c:v>
                </c:pt>
                <c:pt idx="20">
                  <c:v>1.0133311519377696E-3</c:v>
                </c:pt>
                <c:pt idx="21">
                  <c:v>1.3601796792121067E-3</c:v>
                </c:pt>
                <c:pt idx="22">
                  <c:v>-5.8389754512253261E-4</c:v>
                </c:pt>
                <c:pt idx="23">
                  <c:v>9.0310928456390253E-4</c:v>
                </c:pt>
                <c:pt idx="24">
                  <c:v>1.0483453641776948E-2</c:v>
                </c:pt>
                <c:pt idx="25">
                  <c:v>5.3967671055638834E-3</c:v>
                </c:pt>
                <c:pt idx="26">
                  <c:v>1.2146038457980791E-4</c:v>
                </c:pt>
                <c:pt idx="27">
                  <c:v>-7.5936516813503922E-4</c:v>
                </c:pt>
                <c:pt idx="28">
                  <c:v>3.058704095223086E-2</c:v>
                </c:pt>
                <c:pt idx="29">
                  <c:v>2.1661216559022645E-2</c:v>
                </c:pt>
                <c:pt idx="30">
                  <c:v>5.7061591356238643E-3</c:v>
                </c:pt>
                <c:pt idx="31">
                  <c:v>8.9551811643228934E-3</c:v>
                </c:pt>
                <c:pt idx="32">
                  <c:v>1.0363783865484321E-2</c:v>
                </c:pt>
                <c:pt idx="33">
                  <c:v>1.823479655589395E-2</c:v>
                </c:pt>
                <c:pt idx="34">
                  <c:v>1.8936477947203326E-2</c:v>
                </c:pt>
                <c:pt idx="35">
                  <c:v>-3.0489177496532637E-2</c:v>
                </c:pt>
                <c:pt idx="36">
                  <c:v>-4.0543998236909122E-2</c:v>
                </c:pt>
                <c:pt idx="37">
                  <c:v>-4.7072516346455314E-3</c:v>
                </c:pt>
                <c:pt idx="38">
                  <c:v>2.1073420396828305E-2</c:v>
                </c:pt>
                <c:pt idx="39">
                  <c:v>-7.0260879086422989E-3</c:v>
                </c:pt>
                <c:pt idx="40">
                  <c:v>4.5458285023262856E-3</c:v>
                </c:pt>
                <c:pt idx="41">
                  <c:v>8.9816610141071652E-3</c:v>
                </c:pt>
                <c:pt idx="42">
                  <c:v>-4.2018315670543909E-3</c:v>
                </c:pt>
                <c:pt idx="43">
                  <c:v>4.8637234242962183E-3</c:v>
                </c:pt>
                <c:pt idx="44">
                  <c:v>3.2082871448947371E-2</c:v>
                </c:pt>
                <c:pt idx="45">
                  <c:v>-3.1818852047146753E-2</c:v>
                </c:pt>
                <c:pt idx="46">
                  <c:v>-4.0781750547618451E-3</c:v>
                </c:pt>
                <c:pt idx="47">
                  <c:v>-1.3848112865787645E-3</c:v>
                </c:pt>
                <c:pt idx="48">
                  <c:v>1.2131917381035251E-4</c:v>
                </c:pt>
                <c:pt idx="49">
                  <c:v>5.9387728325168481E-3</c:v>
                </c:pt>
                <c:pt idx="50">
                  <c:v>1.421754174595602E-3</c:v>
                </c:pt>
                <c:pt idx="51">
                  <c:v>-1.6485622623945709E-2</c:v>
                </c:pt>
                <c:pt idx="52">
                  <c:v>-5.1972635813142334E-3</c:v>
                </c:pt>
                <c:pt idx="53">
                  <c:v>1.5862616370955322E-2</c:v>
                </c:pt>
                <c:pt idx="54">
                  <c:v>2.892174407254924E-2</c:v>
                </c:pt>
                <c:pt idx="55">
                  <c:v>-4.4825580092783458E-2</c:v>
                </c:pt>
                <c:pt idx="56">
                  <c:v>1.9123554453388464E-3</c:v>
                </c:pt>
                <c:pt idx="57">
                  <c:v>2.9758659608722482E-2</c:v>
                </c:pt>
                <c:pt idx="58">
                  <c:v>-1.6568174655338752E-3</c:v>
                </c:pt>
                <c:pt idx="59">
                  <c:v>4.7430061515812937E-3</c:v>
                </c:pt>
                <c:pt idx="60">
                  <c:v>8.6695952921364665E-3</c:v>
                </c:pt>
                <c:pt idx="61">
                  <c:v>2.2605403028221464E-4</c:v>
                </c:pt>
                <c:pt idx="62">
                  <c:v>-1.002774217919189E-2</c:v>
                </c:pt>
                <c:pt idx="63">
                  <c:v>8.3387749404522163E-3</c:v>
                </c:pt>
                <c:pt idx="64">
                  <c:v>1.6180906213915426E-3</c:v>
                </c:pt>
                <c:pt idx="65">
                  <c:v>1.4872830669327526E-2</c:v>
                </c:pt>
                <c:pt idx="66">
                  <c:v>-4.1594202348454118E-3</c:v>
                </c:pt>
                <c:pt idx="67">
                  <c:v>-5.1930476187856582E-3</c:v>
                </c:pt>
                <c:pt idx="68">
                  <c:v>1.9958610987633928E-2</c:v>
                </c:pt>
                <c:pt idx="69">
                  <c:v>2.0390512193877442E-4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DF-4C59-92BF-9DB1AD576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054912"/>
        <c:axId val="315390112"/>
      </c:scatterChart>
      <c:valAx>
        <c:axId val="342054912"/>
        <c:scaling>
          <c:logBase val="10"/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90112"/>
        <c:crosses val="autoZero"/>
        <c:crossBetween val="midCat"/>
      </c:valAx>
      <c:valAx>
        <c:axId val="3153901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5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9759405074366E-2"/>
          <c:y val="9.7856204372393452E-2"/>
          <c:w val="0.88073862642169731"/>
          <c:h val="0.83653142014611082"/>
        </c:manualLayout>
      </c:layout>
      <c:scatterChart>
        <c:scatterStyle val="smoothMarker"/>
        <c:varyColors val="0"/>
        <c:ser>
          <c:idx val="1"/>
          <c:order val="1"/>
          <c:tx>
            <c:v>WOR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'Well_A-2'!$N$1:$N$67</c:f>
              <c:strCache>
                <c:ptCount val="67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669</c:v>
                </c:pt>
                <c:pt idx="24">
                  <c:v>700</c:v>
                </c:pt>
                <c:pt idx="25">
                  <c:v>731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1399</c:v>
                </c:pt>
                <c:pt idx="48">
                  <c:v>1430</c:v>
                </c:pt>
                <c:pt idx="49">
                  <c:v>1461</c:v>
                </c:pt>
                <c:pt idx="50">
                  <c:v>1490</c:v>
                </c:pt>
                <c:pt idx="51">
                  <c:v>1521</c:v>
                </c:pt>
                <c:pt idx="52">
                  <c:v>1551</c:v>
                </c:pt>
                <c:pt idx="53">
                  <c:v>1582</c:v>
                </c:pt>
                <c:pt idx="54">
                  <c:v>1612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1765</c:v>
                </c:pt>
                <c:pt idx="60">
                  <c:v>1796</c:v>
                </c:pt>
                <c:pt idx="61">
                  <c:v>1827</c:v>
                </c:pt>
                <c:pt idx="62">
                  <c:v>1855</c:v>
                </c:pt>
                <c:pt idx="63">
                  <c:v>1886</c:v>
                </c:pt>
                <c:pt idx="64">
                  <c:v>1916</c:v>
                </c:pt>
                <c:pt idx="65">
                  <c:v>1947</c:v>
                </c:pt>
                <c:pt idx="66">
                  <c:v>1977</c:v>
                </c:pt>
              </c:strCache>
            </c:strRef>
          </c:xVal>
          <c:yVal>
            <c:numRef>
              <c:f>'Well_A-2'!$O$1:$O$67</c:f>
              <c:numCache>
                <c:formatCode>General</c:formatCode>
                <c:ptCount val="67"/>
                <c:pt idx="0">
                  <c:v>0</c:v>
                </c:pt>
                <c:pt idx="1">
                  <c:v>0.15188282025819264</c:v>
                </c:pt>
                <c:pt idx="2">
                  <c:v>0.13777018798224974</c:v>
                </c:pt>
                <c:pt idx="3">
                  <c:v>0.15201591674288797</c:v>
                </c:pt>
                <c:pt idx="4">
                  <c:v>6.5892240409383934E-2</c:v>
                </c:pt>
                <c:pt idx="5">
                  <c:v>3.1302428875332362E-2</c:v>
                </c:pt>
                <c:pt idx="6">
                  <c:v>2.6565382584598993E-2</c:v>
                </c:pt>
                <c:pt idx="7">
                  <c:v>2.6458247594675445E-2</c:v>
                </c:pt>
                <c:pt idx="8">
                  <c:v>3.4036939721796687E-2</c:v>
                </c:pt>
                <c:pt idx="9">
                  <c:v>4.3945553186914801E-2</c:v>
                </c:pt>
                <c:pt idx="10">
                  <c:v>3.2662424549256081E-2</c:v>
                </c:pt>
                <c:pt idx="11">
                  <c:v>2.8646218067295882E-2</c:v>
                </c:pt>
                <c:pt idx="12">
                  <c:v>2.9972986384727521E-2</c:v>
                </c:pt>
                <c:pt idx="13">
                  <c:v>1.5240559853063284E-2</c:v>
                </c:pt>
                <c:pt idx="14">
                  <c:v>8.4329468766797103E-2</c:v>
                </c:pt>
                <c:pt idx="15">
                  <c:v>2.5104397000723783E-2</c:v>
                </c:pt>
                <c:pt idx="16">
                  <c:v>1.0336498028504212E-2</c:v>
                </c:pt>
                <c:pt idx="17">
                  <c:v>2.0345550942040987E-2</c:v>
                </c:pt>
                <c:pt idx="18">
                  <c:v>3.3438195897401879E-2</c:v>
                </c:pt>
                <c:pt idx="19">
                  <c:v>2.7641194782051903E-2</c:v>
                </c:pt>
                <c:pt idx="20">
                  <c:v>3.6615092988417114E-2</c:v>
                </c:pt>
                <c:pt idx="21">
                  <c:v>3.5009788679613081E-2</c:v>
                </c:pt>
                <c:pt idx="22">
                  <c:v>3.8005541067242916E-2</c:v>
                </c:pt>
                <c:pt idx="23">
                  <c:v>3.5577344930639063E-2</c:v>
                </c:pt>
                <c:pt idx="24">
                  <c:v>4.9047706702869266E-2</c:v>
                </c:pt>
                <c:pt idx="25">
                  <c:v>0.28432474412408693</c:v>
                </c:pt>
                <c:pt idx="26">
                  <c:v>0.40174919530161357</c:v>
                </c:pt>
                <c:pt idx="27">
                  <c:v>0.37076453936706227</c:v>
                </c:pt>
                <c:pt idx="28">
                  <c:v>0.46368258722240963</c:v>
                </c:pt>
                <c:pt idx="29">
                  <c:v>0.55152765021711825</c:v>
                </c:pt>
                <c:pt idx="30">
                  <c:v>0.79364633539769236</c:v>
                </c:pt>
                <c:pt idx="31">
                  <c:v>0.91483973917463313</c:v>
                </c:pt>
                <c:pt idx="32">
                  <c:v>0.78020227813997312</c:v>
                </c:pt>
                <c:pt idx="33">
                  <c:v>0.83342454881114258</c:v>
                </c:pt>
                <c:pt idx="34">
                  <c:v>0.75290977396797398</c:v>
                </c:pt>
                <c:pt idx="35">
                  <c:v>1.0369613737030299</c:v>
                </c:pt>
                <c:pt idx="36">
                  <c:v>1.0727870621811155</c:v>
                </c:pt>
                <c:pt idx="37">
                  <c:v>1.200991609579368</c:v>
                </c:pt>
                <c:pt idx="38">
                  <c:v>1.314559305985231</c:v>
                </c:pt>
                <c:pt idx="39">
                  <c:v>1.220438122595249</c:v>
                </c:pt>
                <c:pt idx="40">
                  <c:v>1.2212714921139869</c:v>
                </c:pt>
                <c:pt idx="41">
                  <c:v>1.6551883593359709</c:v>
                </c:pt>
                <c:pt idx="42">
                  <c:v>1.2920256316190015</c:v>
                </c:pt>
                <c:pt idx="43">
                  <c:v>1.3690906169792181</c:v>
                </c:pt>
                <c:pt idx="44">
                  <c:v>1.0904920744041393</c:v>
                </c:pt>
                <c:pt idx="45">
                  <c:v>1.2744743959469313</c:v>
                </c:pt>
                <c:pt idx="46">
                  <c:v>1.2150284248722816</c:v>
                </c:pt>
                <c:pt idx="47">
                  <c:v>0.9741470842234321</c:v>
                </c:pt>
                <c:pt idx="48">
                  <c:v>1.4404065770983467</c:v>
                </c:pt>
                <c:pt idx="49">
                  <c:v>1.3683135346121711</c:v>
                </c:pt>
                <c:pt idx="50">
                  <c:v>1.6019461266952981</c:v>
                </c:pt>
                <c:pt idx="51">
                  <c:v>1.7575395939210596</c:v>
                </c:pt>
                <c:pt idx="52">
                  <c:v>1.4489964586974073</c:v>
                </c:pt>
                <c:pt idx="53">
                  <c:v>1.9332744992736088</c:v>
                </c:pt>
                <c:pt idx="54">
                  <c:v>2.6602629241028395</c:v>
                </c:pt>
                <c:pt idx="55">
                  <c:v>2.5247042791570369</c:v>
                </c:pt>
                <c:pt idx="56">
                  <c:v>2.4004376689418656</c:v>
                </c:pt>
                <c:pt idx="57">
                  <c:v>2.4814883417780225</c:v>
                </c:pt>
                <c:pt idx="58">
                  <c:v>2.4939383278635332</c:v>
                </c:pt>
                <c:pt idx="59">
                  <c:v>2.3115944499164089</c:v>
                </c:pt>
                <c:pt idx="60">
                  <c:v>2.7757079749770499</c:v>
                </c:pt>
                <c:pt idx="61">
                  <c:v>2.8552281523200023</c:v>
                </c:pt>
                <c:pt idx="62">
                  <c:v>2.9678253846681208</c:v>
                </c:pt>
                <c:pt idx="63">
                  <c:v>2.8932507287567883</c:v>
                </c:pt>
                <c:pt idx="64">
                  <c:v>2.9297936983210215</c:v>
                </c:pt>
                <c:pt idx="65">
                  <c:v>3.5552217671551709</c:v>
                </c:pt>
                <c:pt idx="66">
                  <c:v>3.6888216956458466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A2-405A-98E9-87874E578D53}"/>
            </c:ext>
          </c:extLst>
        </c:ser>
        <c:ser>
          <c:idx val="2"/>
          <c:order val="2"/>
          <c:tx>
            <c:v>WOR'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'Well_A-2'!$N$1:$N$67</c:f>
              <c:strCache>
                <c:ptCount val="67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669</c:v>
                </c:pt>
                <c:pt idx="24">
                  <c:v>700</c:v>
                </c:pt>
                <c:pt idx="25">
                  <c:v>731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1399</c:v>
                </c:pt>
                <c:pt idx="48">
                  <c:v>1430</c:v>
                </c:pt>
                <c:pt idx="49">
                  <c:v>1461</c:v>
                </c:pt>
                <c:pt idx="50">
                  <c:v>1490</c:v>
                </c:pt>
                <c:pt idx="51">
                  <c:v>1521</c:v>
                </c:pt>
                <c:pt idx="52">
                  <c:v>1551</c:v>
                </c:pt>
                <c:pt idx="53">
                  <c:v>1582</c:v>
                </c:pt>
                <c:pt idx="54">
                  <c:v>1612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1765</c:v>
                </c:pt>
                <c:pt idx="60">
                  <c:v>1796</c:v>
                </c:pt>
                <c:pt idx="61">
                  <c:v>1827</c:v>
                </c:pt>
                <c:pt idx="62">
                  <c:v>1855</c:v>
                </c:pt>
                <c:pt idx="63">
                  <c:v>1886</c:v>
                </c:pt>
                <c:pt idx="64">
                  <c:v>1916</c:v>
                </c:pt>
                <c:pt idx="65">
                  <c:v>1947</c:v>
                </c:pt>
                <c:pt idx="66">
                  <c:v>1977</c:v>
                </c:pt>
              </c:strCache>
            </c:strRef>
          </c:xVal>
          <c:yVal>
            <c:numRef>
              <c:f>'Well_A-2'!$P$1:$P$67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-6.3467610736700777E-2</c:v>
                </c:pt>
                <c:pt idx="3">
                  <c:v>-0.17209235027165704</c:v>
                </c:pt>
                <c:pt idx="4">
                  <c:v>-7.5998309413554982E-2</c:v>
                </c:pt>
                <c:pt idx="5">
                  <c:v>-1.1866706845774282E-2</c:v>
                </c:pt>
                <c:pt idx="6">
                  <c:v>2.1718864440724767E-2</c:v>
                </c:pt>
                <c:pt idx="7">
                  <c:v>6.0498245447595252E-2</c:v>
                </c:pt>
                <c:pt idx="8">
                  <c:v>-5.4579785904925911E-3</c:v>
                </c:pt>
                <c:pt idx="9">
                  <c:v>-6.8310893130753197E-2</c:v>
                </c:pt>
                <c:pt idx="10">
                  <c:v>-1.3380127919757687E-2</c:v>
                </c:pt>
                <c:pt idx="11">
                  <c:v>-7.2226570229201495E-2</c:v>
                </c:pt>
                <c:pt idx="12">
                  <c:v>0.33507801688577032</c:v>
                </c:pt>
                <c:pt idx="13">
                  <c:v>6.5998340667930297E-2</c:v>
                </c:pt>
                <c:pt idx="14">
                  <c:v>-0.51403101691491682</c:v>
                </c:pt>
                <c:pt idx="15">
                  <c:v>-3.5482145819423841E-2</c:v>
                </c:pt>
                <c:pt idx="16">
                  <c:v>0.18362465513066201</c:v>
                </c:pt>
                <c:pt idx="17">
                  <c:v>6.1701901428414176E-2</c:v>
                </c:pt>
                <c:pt idx="18">
                  <c:v>2.7998397788235777E-2</c:v>
                </c:pt>
                <c:pt idx="19">
                  <c:v>6.9695139830486391E-2</c:v>
                </c:pt>
                <c:pt idx="20">
                  <c:v>1.3858666019472219E-2</c:v>
                </c:pt>
                <c:pt idx="21">
                  <c:v>5.9362109573199099E-3</c:v>
                </c:pt>
                <c:pt idx="22">
                  <c:v>0.12110840668589018</c:v>
                </c:pt>
                <c:pt idx="23">
                  <c:v>2.8066014240828467</c:v>
                </c:pt>
                <c:pt idx="24">
                  <c:v>4.3585665102649047</c:v>
                </c:pt>
                <c:pt idx="25">
                  <c:v>1.1136352482995542</c:v>
                </c:pt>
                <c:pt idx="26">
                  <c:v>0.80118161193211557</c:v>
                </c:pt>
                <c:pt idx="27">
                  <c:v>2.4302916930012128</c:v>
                </c:pt>
                <c:pt idx="28">
                  <c:v>4.5985872989367014</c:v>
                </c:pt>
                <c:pt idx="29">
                  <c:v>5.2480617063766317</c:v>
                </c:pt>
                <c:pt idx="30">
                  <c:v>-0.19768155865159714</c:v>
                </c:pt>
                <c:pt idx="31">
                  <c:v>-1.2574921928484437</c:v>
                </c:pt>
                <c:pt idx="32">
                  <c:v>-0.43541897067202778</c:v>
                </c:pt>
                <c:pt idx="33">
                  <c:v>3.3473163119293168</c:v>
                </c:pt>
                <c:pt idx="34">
                  <c:v>5.4232319949334995</c:v>
                </c:pt>
                <c:pt idx="35">
                  <c:v>2.8168202038085122</c:v>
                </c:pt>
                <c:pt idx="36">
                  <c:v>4.4839937247589514</c:v>
                </c:pt>
                <c:pt idx="37">
                  <c:v>0.37088198964473668</c:v>
                </c:pt>
                <c:pt idx="38">
                  <c:v>-1.7651757472829483</c:v>
                </c:pt>
                <c:pt idx="39">
                  <c:v>8.4472568992763684</c:v>
                </c:pt>
                <c:pt idx="40">
                  <c:v>1.4095672723826016</c:v>
                </c:pt>
                <c:pt idx="41">
                  <c:v>-5.8450762932854445</c:v>
                </c:pt>
                <c:pt idx="42">
                  <c:v>-4.1501256493161645</c:v>
                </c:pt>
                <c:pt idx="43">
                  <c:v>-2.0276765049739653</c:v>
                </c:pt>
                <c:pt idx="44">
                  <c:v>2.7321811543803589</c:v>
                </c:pt>
                <c:pt idx="45">
                  <c:v>-6.7365551971658055</c:v>
                </c:pt>
                <c:pt idx="46">
                  <c:v>5.1699472344594373</c:v>
                </c:pt>
                <c:pt idx="47">
                  <c:v>9.0898341294791969</c:v>
                </c:pt>
                <c:pt idx="48">
                  <c:v>3.930242426922137</c:v>
                </c:pt>
                <c:pt idx="49">
                  <c:v>9.6709621811754243</c:v>
                </c:pt>
                <c:pt idx="50">
                  <c:v>-3.8119471317379312</c:v>
                </c:pt>
                <c:pt idx="51">
                  <c:v>4.4691406490904004</c:v>
                </c:pt>
                <c:pt idx="52">
                  <c:v>31.399678680557976</c:v>
                </c:pt>
                <c:pt idx="53">
                  <c:v>15.632242252715017</c:v>
                </c:pt>
                <c:pt idx="54">
                  <c:v>-6.8845521236344744</c:v>
                </c:pt>
                <c:pt idx="55">
                  <c:v>-1.185473163933797</c:v>
                </c:pt>
                <c:pt idx="56">
                  <c:v>2.6123747869096268</c:v>
                </c:pt>
                <c:pt idx="57">
                  <c:v>-4.8303373825437408</c:v>
                </c:pt>
                <c:pt idx="58">
                  <c:v>8.1543413027725062</c:v>
                </c:pt>
                <c:pt idx="59">
                  <c:v>15.746276768974454</c:v>
                </c:pt>
                <c:pt idx="60">
                  <c:v>5.9437254340746266</c:v>
                </c:pt>
                <c:pt idx="61">
                  <c:v>1.1963215528910218</c:v>
                </c:pt>
                <c:pt idx="62">
                  <c:v>-1.1754506491932413</c:v>
                </c:pt>
                <c:pt idx="63">
                  <c:v>20.796071854769661</c:v>
                </c:pt>
                <c:pt idx="64">
                  <c:v>24.218476613457959</c:v>
                </c:pt>
                <c:pt idx="65">
                  <c:v>0</c:v>
                </c:pt>
                <c:pt idx="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A2-405A-98E9-87874E578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603024"/>
        <c:axId val="3086020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'Well_A-2'!$N$67:$O$67</c15:sqref>
                        </c15:formulaRef>
                      </c:ext>
                    </c:extLst>
                    <c:strCache>
                      <c:ptCount val="1"/>
                      <c:pt idx="0">
                        <c:v>1977 3.688821696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'Well_A-2'!$P$1:$P$66</c15:sqref>
                        </c15:formulaRef>
                      </c:ext>
                    </c:extLst>
                    <c:strCache>
                      <c:ptCount val="66"/>
                      <c:pt idx="0">
                        <c:v>WOR'</c:v>
                      </c:pt>
                      <c:pt idx="1">
                        <c:v> </c:v>
                      </c:pt>
                      <c:pt idx="2">
                        <c:v>-0.063467611</c:v>
                      </c:pt>
                      <c:pt idx="3">
                        <c:v>-0.17209235</c:v>
                      </c:pt>
                      <c:pt idx="4">
                        <c:v>-0.075998309</c:v>
                      </c:pt>
                      <c:pt idx="5">
                        <c:v>-0.011866707</c:v>
                      </c:pt>
                      <c:pt idx="6">
                        <c:v>0.021718864</c:v>
                      </c:pt>
                      <c:pt idx="7">
                        <c:v>0.060498245</c:v>
                      </c:pt>
                      <c:pt idx="8">
                        <c:v>-0.005457979</c:v>
                      </c:pt>
                      <c:pt idx="9">
                        <c:v>-0.068310893</c:v>
                      </c:pt>
                      <c:pt idx="10">
                        <c:v>-0.013380128</c:v>
                      </c:pt>
                      <c:pt idx="11">
                        <c:v>-0.07222657</c:v>
                      </c:pt>
                      <c:pt idx="12">
                        <c:v>0.335078017</c:v>
                      </c:pt>
                      <c:pt idx="13">
                        <c:v>0.065998341</c:v>
                      </c:pt>
                      <c:pt idx="14">
                        <c:v>-0.514031017</c:v>
                      </c:pt>
                      <c:pt idx="15">
                        <c:v>-0.035482146</c:v>
                      </c:pt>
                      <c:pt idx="16">
                        <c:v>0.183624655</c:v>
                      </c:pt>
                      <c:pt idx="17">
                        <c:v>0.061701901</c:v>
                      </c:pt>
                      <c:pt idx="18">
                        <c:v>0.027998398</c:v>
                      </c:pt>
                      <c:pt idx="19">
                        <c:v>0.06969514</c:v>
                      </c:pt>
                      <c:pt idx="20">
                        <c:v>0.013858666</c:v>
                      </c:pt>
                      <c:pt idx="21">
                        <c:v>0.005936211</c:v>
                      </c:pt>
                      <c:pt idx="22">
                        <c:v>0.121108407</c:v>
                      </c:pt>
                      <c:pt idx="23">
                        <c:v>2.806601424</c:v>
                      </c:pt>
                      <c:pt idx="24">
                        <c:v>4.35856651</c:v>
                      </c:pt>
                      <c:pt idx="25">
                        <c:v>1.113635248</c:v>
                      </c:pt>
                      <c:pt idx="26">
                        <c:v>0.801181612</c:v>
                      </c:pt>
                      <c:pt idx="27">
                        <c:v>2.430291693</c:v>
                      </c:pt>
                      <c:pt idx="28">
                        <c:v>4.598587299</c:v>
                      </c:pt>
                      <c:pt idx="29">
                        <c:v>5.248061706</c:v>
                      </c:pt>
                      <c:pt idx="30">
                        <c:v>-0.197681559</c:v>
                      </c:pt>
                      <c:pt idx="31">
                        <c:v>-1.257492193</c:v>
                      </c:pt>
                      <c:pt idx="32">
                        <c:v>-0.435418971</c:v>
                      </c:pt>
                      <c:pt idx="33">
                        <c:v>3.347316312</c:v>
                      </c:pt>
                      <c:pt idx="34">
                        <c:v>5.423231995</c:v>
                      </c:pt>
                      <c:pt idx="35">
                        <c:v>2.816820204</c:v>
                      </c:pt>
                      <c:pt idx="36">
                        <c:v>4.483993725</c:v>
                      </c:pt>
                      <c:pt idx="37">
                        <c:v>0.37088199</c:v>
                      </c:pt>
                      <c:pt idx="38">
                        <c:v>-1.765175747</c:v>
                      </c:pt>
                      <c:pt idx="39">
                        <c:v>8.447256899</c:v>
                      </c:pt>
                      <c:pt idx="40">
                        <c:v>1.409567272</c:v>
                      </c:pt>
                      <c:pt idx="41">
                        <c:v>-5.845076293</c:v>
                      </c:pt>
                      <c:pt idx="42">
                        <c:v>-4.150125649</c:v>
                      </c:pt>
                      <c:pt idx="43">
                        <c:v>-2.027676505</c:v>
                      </c:pt>
                      <c:pt idx="44">
                        <c:v>2.732181154</c:v>
                      </c:pt>
                      <c:pt idx="45">
                        <c:v>-6.736555197</c:v>
                      </c:pt>
                      <c:pt idx="46">
                        <c:v>5.169947234</c:v>
                      </c:pt>
                      <c:pt idx="47">
                        <c:v>9.089834129</c:v>
                      </c:pt>
                      <c:pt idx="48">
                        <c:v>3.930242427</c:v>
                      </c:pt>
                      <c:pt idx="49">
                        <c:v>9.670962181</c:v>
                      </c:pt>
                      <c:pt idx="50">
                        <c:v>-3.811947132</c:v>
                      </c:pt>
                      <c:pt idx="51">
                        <c:v>4.469140649</c:v>
                      </c:pt>
                      <c:pt idx="52">
                        <c:v>31.39967868</c:v>
                      </c:pt>
                      <c:pt idx="53">
                        <c:v>15.63224225</c:v>
                      </c:pt>
                      <c:pt idx="54">
                        <c:v>-6.884552124</c:v>
                      </c:pt>
                      <c:pt idx="55">
                        <c:v>-1.185473164</c:v>
                      </c:pt>
                      <c:pt idx="56">
                        <c:v>2.612374787</c:v>
                      </c:pt>
                      <c:pt idx="57">
                        <c:v>-4.830337383</c:v>
                      </c:pt>
                      <c:pt idx="58">
                        <c:v>8.154341303</c:v>
                      </c:pt>
                      <c:pt idx="59">
                        <c:v>15.74627677</c:v>
                      </c:pt>
                      <c:pt idx="60">
                        <c:v>5.943725434</c:v>
                      </c:pt>
                      <c:pt idx="61">
                        <c:v>1.196321553</c:v>
                      </c:pt>
                      <c:pt idx="62">
                        <c:v>-1.175450649</c:v>
                      </c:pt>
                      <c:pt idx="63">
                        <c:v>20.79607185</c:v>
                      </c:pt>
                      <c:pt idx="64">
                        <c:v>24.21847661</c:v>
                      </c:pt>
                      <c:pt idx="65">
                        <c:v> 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'Well_A-2'!$P$67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EA2-405A-98E9-87874E578D53}"/>
                  </c:ext>
                </c:extLst>
              </c15:ser>
            </c15:filteredScatterSeries>
          </c:ext>
        </c:extLst>
      </c:scatterChart>
      <c:valAx>
        <c:axId val="30860302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02064"/>
        <c:crosses val="autoZero"/>
        <c:crossBetween val="midCat"/>
      </c:valAx>
      <c:valAx>
        <c:axId val="308602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 &amp; WOR'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0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'Well_A-2'!$O$1</c:f>
              <c:strCache>
                <c:ptCount val="1"/>
                <c:pt idx="0">
                  <c:v>WOR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'Well_A-2'!$N$2:$N$68</c:f>
              <c:numCache>
                <c:formatCode>General</c:formatCode>
                <c:ptCount val="67"/>
                <c:pt idx="0">
                  <c:v>0</c:v>
                </c:pt>
                <c:pt idx="1">
                  <c:v>29</c:v>
                </c:pt>
                <c:pt idx="2">
                  <c:v>60</c:v>
                </c:pt>
                <c:pt idx="3">
                  <c:v>90</c:v>
                </c:pt>
                <c:pt idx="4">
                  <c:v>121</c:v>
                </c:pt>
                <c:pt idx="5">
                  <c:v>151</c:v>
                </c:pt>
                <c:pt idx="6">
                  <c:v>182</c:v>
                </c:pt>
                <c:pt idx="7">
                  <c:v>213</c:v>
                </c:pt>
                <c:pt idx="8">
                  <c:v>243</c:v>
                </c:pt>
                <c:pt idx="9">
                  <c:v>274</c:v>
                </c:pt>
                <c:pt idx="10">
                  <c:v>304</c:v>
                </c:pt>
                <c:pt idx="11">
                  <c:v>335</c:v>
                </c:pt>
                <c:pt idx="12">
                  <c:v>366</c:v>
                </c:pt>
                <c:pt idx="13">
                  <c:v>394</c:v>
                </c:pt>
                <c:pt idx="14">
                  <c:v>425</c:v>
                </c:pt>
                <c:pt idx="15">
                  <c:v>455</c:v>
                </c:pt>
                <c:pt idx="16">
                  <c:v>486</c:v>
                </c:pt>
                <c:pt idx="17">
                  <c:v>516</c:v>
                </c:pt>
                <c:pt idx="18">
                  <c:v>547</c:v>
                </c:pt>
                <c:pt idx="19">
                  <c:v>578</c:v>
                </c:pt>
                <c:pt idx="20">
                  <c:v>608</c:v>
                </c:pt>
                <c:pt idx="21">
                  <c:v>639</c:v>
                </c:pt>
                <c:pt idx="22">
                  <c:v>669</c:v>
                </c:pt>
                <c:pt idx="23">
                  <c:v>700</c:v>
                </c:pt>
                <c:pt idx="24">
                  <c:v>731</c:v>
                </c:pt>
                <c:pt idx="25">
                  <c:v>759</c:v>
                </c:pt>
                <c:pt idx="26">
                  <c:v>790</c:v>
                </c:pt>
                <c:pt idx="27">
                  <c:v>820</c:v>
                </c:pt>
                <c:pt idx="28">
                  <c:v>851</c:v>
                </c:pt>
                <c:pt idx="29">
                  <c:v>881</c:v>
                </c:pt>
                <c:pt idx="30">
                  <c:v>912</c:v>
                </c:pt>
                <c:pt idx="31">
                  <c:v>943</c:v>
                </c:pt>
                <c:pt idx="32">
                  <c:v>973</c:v>
                </c:pt>
                <c:pt idx="33">
                  <c:v>1004</c:v>
                </c:pt>
                <c:pt idx="34">
                  <c:v>1034</c:v>
                </c:pt>
                <c:pt idx="35">
                  <c:v>1065</c:v>
                </c:pt>
                <c:pt idx="36">
                  <c:v>1096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1490</c:v>
                </c:pt>
                <c:pt idx="50">
                  <c:v>1521</c:v>
                </c:pt>
                <c:pt idx="51">
                  <c:v>1551</c:v>
                </c:pt>
                <c:pt idx="52">
                  <c:v>1582</c:v>
                </c:pt>
                <c:pt idx="53">
                  <c:v>1612</c:v>
                </c:pt>
                <c:pt idx="54">
                  <c:v>1643</c:v>
                </c:pt>
                <c:pt idx="55">
                  <c:v>1674</c:v>
                </c:pt>
                <c:pt idx="56">
                  <c:v>1704</c:v>
                </c:pt>
                <c:pt idx="57">
                  <c:v>1735</c:v>
                </c:pt>
                <c:pt idx="58">
                  <c:v>1765</c:v>
                </c:pt>
                <c:pt idx="59">
                  <c:v>1796</c:v>
                </c:pt>
                <c:pt idx="60">
                  <c:v>1827</c:v>
                </c:pt>
                <c:pt idx="61">
                  <c:v>1855</c:v>
                </c:pt>
                <c:pt idx="62">
                  <c:v>1886</c:v>
                </c:pt>
                <c:pt idx="63">
                  <c:v>1916</c:v>
                </c:pt>
                <c:pt idx="64">
                  <c:v>1947</c:v>
                </c:pt>
                <c:pt idx="65">
                  <c:v>1977</c:v>
                </c:pt>
              </c:numCache>
            </c:numRef>
          </c:xVal>
          <c:yVal>
            <c:numRef>
              <c:f>'Well_A-2'!$O$2:$O$68</c:f>
              <c:numCache>
                <c:formatCode>General</c:formatCode>
                <c:ptCount val="67"/>
                <c:pt idx="0">
                  <c:v>0.15188282025819264</c:v>
                </c:pt>
                <c:pt idx="1">
                  <c:v>0.13777018798224974</c:v>
                </c:pt>
                <c:pt idx="2">
                  <c:v>0.15201591674288797</c:v>
                </c:pt>
                <c:pt idx="3">
                  <c:v>6.5892240409383934E-2</c:v>
                </c:pt>
                <c:pt idx="4">
                  <c:v>3.1302428875332362E-2</c:v>
                </c:pt>
                <c:pt idx="5">
                  <c:v>2.6565382584598993E-2</c:v>
                </c:pt>
                <c:pt idx="6">
                  <c:v>2.6458247594675445E-2</c:v>
                </c:pt>
                <c:pt idx="7">
                  <c:v>3.4036939721796687E-2</c:v>
                </c:pt>
                <c:pt idx="8">
                  <c:v>4.3945553186914801E-2</c:v>
                </c:pt>
                <c:pt idx="9">
                  <c:v>3.2662424549256081E-2</c:v>
                </c:pt>
                <c:pt idx="10">
                  <c:v>2.8646218067295882E-2</c:v>
                </c:pt>
                <c:pt idx="11">
                  <c:v>2.9972986384727521E-2</c:v>
                </c:pt>
                <c:pt idx="12">
                  <c:v>1.5240559853063284E-2</c:v>
                </c:pt>
                <c:pt idx="13">
                  <c:v>8.4329468766797103E-2</c:v>
                </c:pt>
                <c:pt idx="14">
                  <c:v>2.5104397000723783E-2</c:v>
                </c:pt>
                <c:pt idx="15">
                  <c:v>1.0336498028504212E-2</c:v>
                </c:pt>
                <c:pt idx="16">
                  <c:v>2.0345550942040987E-2</c:v>
                </c:pt>
                <c:pt idx="17">
                  <c:v>3.3438195897401879E-2</c:v>
                </c:pt>
                <c:pt idx="18">
                  <c:v>2.7641194782051903E-2</c:v>
                </c:pt>
                <c:pt idx="19">
                  <c:v>3.6615092988417114E-2</c:v>
                </c:pt>
                <c:pt idx="20">
                  <c:v>3.5009788679613081E-2</c:v>
                </c:pt>
                <c:pt idx="21">
                  <c:v>3.8005541067242916E-2</c:v>
                </c:pt>
                <c:pt idx="22">
                  <c:v>3.5577344930639063E-2</c:v>
                </c:pt>
                <c:pt idx="23">
                  <c:v>4.9047706702869266E-2</c:v>
                </c:pt>
                <c:pt idx="24">
                  <c:v>0.28432474412408693</c:v>
                </c:pt>
                <c:pt idx="25">
                  <c:v>0.40174919530161357</c:v>
                </c:pt>
                <c:pt idx="26">
                  <c:v>0.37076453936706227</c:v>
                </c:pt>
                <c:pt idx="27">
                  <c:v>0.46368258722240963</c:v>
                </c:pt>
                <c:pt idx="28">
                  <c:v>0.55152765021711825</c:v>
                </c:pt>
                <c:pt idx="29">
                  <c:v>0.79364633539769236</c:v>
                </c:pt>
                <c:pt idx="30">
                  <c:v>0.91483973917463313</c:v>
                </c:pt>
                <c:pt idx="31">
                  <c:v>0.78020227813997312</c:v>
                </c:pt>
                <c:pt idx="32">
                  <c:v>0.83342454881114258</c:v>
                </c:pt>
                <c:pt idx="33">
                  <c:v>0.75290977396797398</c:v>
                </c:pt>
                <c:pt idx="34">
                  <c:v>1.0369613737030299</c:v>
                </c:pt>
                <c:pt idx="35">
                  <c:v>1.0727870621811155</c:v>
                </c:pt>
                <c:pt idx="36">
                  <c:v>1.200991609579368</c:v>
                </c:pt>
                <c:pt idx="37">
                  <c:v>1.314559305985231</c:v>
                </c:pt>
                <c:pt idx="38">
                  <c:v>1.220438122595249</c:v>
                </c:pt>
                <c:pt idx="39">
                  <c:v>1.2212714921139869</c:v>
                </c:pt>
                <c:pt idx="40">
                  <c:v>1.6551883593359709</c:v>
                </c:pt>
                <c:pt idx="41">
                  <c:v>1.2920256316190015</c:v>
                </c:pt>
                <c:pt idx="42">
                  <c:v>1.3690906169792181</c:v>
                </c:pt>
                <c:pt idx="43">
                  <c:v>1.0904920744041393</c:v>
                </c:pt>
                <c:pt idx="44">
                  <c:v>1.2744743959469313</c:v>
                </c:pt>
                <c:pt idx="45">
                  <c:v>1.2150284248722816</c:v>
                </c:pt>
                <c:pt idx="46">
                  <c:v>0.9741470842234321</c:v>
                </c:pt>
                <c:pt idx="47">
                  <c:v>1.4404065770983467</c:v>
                </c:pt>
                <c:pt idx="48">
                  <c:v>1.3683135346121711</c:v>
                </c:pt>
                <c:pt idx="49">
                  <c:v>1.6019461266952981</c:v>
                </c:pt>
                <c:pt idx="50">
                  <c:v>1.7575395939210596</c:v>
                </c:pt>
                <c:pt idx="51">
                  <c:v>1.4489964586974073</c:v>
                </c:pt>
                <c:pt idx="52">
                  <c:v>1.9332744992736088</c:v>
                </c:pt>
                <c:pt idx="53">
                  <c:v>2.6602629241028395</c:v>
                </c:pt>
                <c:pt idx="54">
                  <c:v>2.5247042791570369</c:v>
                </c:pt>
                <c:pt idx="55">
                  <c:v>2.4004376689418656</c:v>
                </c:pt>
                <c:pt idx="56">
                  <c:v>2.4814883417780225</c:v>
                </c:pt>
                <c:pt idx="57">
                  <c:v>2.4939383278635332</c:v>
                </c:pt>
                <c:pt idx="58">
                  <c:v>2.3115944499164089</c:v>
                </c:pt>
                <c:pt idx="59">
                  <c:v>2.7757079749770499</c:v>
                </c:pt>
                <c:pt idx="60">
                  <c:v>2.8552281523200023</c:v>
                </c:pt>
                <c:pt idx="61">
                  <c:v>2.9678253846681208</c:v>
                </c:pt>
                <c:pt idx="62">
                  <c:v>2.8932507287567883</c:v>
                </c:pt>
                <c:pt idx="63">
                  <c:v>2.9297936983210215</c:v>
                </c:pt>
                <c:pt idx="64">
                  <c:v>3.5552217671551709</c:v>
                </c:pt>
                <c:pt idx="65">
                  <c:v>3.6888216956458466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E-4C78-8D9B-0E0BE64ECCBD}"/>
            </c:ext>
          </c:extLst>
        </c:ser>
        <c:ser>
          <c:idx val="1"/>
          <c:order val="1"/>
          <c:tx>
            <c:strRef>
              <c:f>'Well_A-2'!$R$1</c:f>
              <c:strCache>
                <c:ptCount val="1"/>
                <c:pt idx="0">
                  <c:v>WOR'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'Well_A-2'!$N$2:$N$68</c:f>
              <c:numCache>
                <c:formatCode>General</c:formatCode>
                <c:ptCount val="67"/>
                <c:pt idx="0">
                  <c:v>0</c:v>
                </c:pt>
                <c:pt idx="1">
                  <c:v>29</c:v>
                </c:pt>
                <c:pt idx="2">
                  <c:v>60</c:v>
                </c:pt>
                <c:pt idx="3">
                  <c:v>90</c:v>
                </c:pt>
                <c:pt idx="4">
                  <c:v>121</c:v>
                </c:pt>
                <c:pt idx="5">
                  <c:v>151</c:v>
                </c:pt>
                <c:pt idx="6">
                  <c:v>182</c:v>
                </c:pt>
                <c:pt idx="7">
                  <c:v>213</c:v>
                </c:pt>
                <c:pt idx="8">
                  <c:v>243</c:v>
                </c:pt>
                <c:pt idx="9">
                  <c:v>274</c:v>
                </c:pt>
                <c:pt idx="10">
                  <c:v>304</c:v>
                </c:pt>
                <c:pt idx="11">
                  <c:v>335</c:v>
                </c:pt>
                <c:pt idx="12">
                  <c:v>366</c:v>
                </c:pt>
                <c:pt idx="13">
                  <c:v>394</c:v>
                </c:pt>
                <c:pt idx="14">
                  <c:v>425</c:v>
                </c:pt>
                <c:pt idx="15">
                  <c:v>455</c:v>
                </c:pt>
                <c:pt idx="16">
                  <c:v>486</c:v>
                </c:pt>
                <c:pt idx="17">
                  <c:v>516</c:v>
                </c:pt>
                <c:pt idx="18">
                  <c:v>547</c:v>
                </c:pt>
                <c:pt idx="19">
                  <c:v>578</c:v>
                </c:pt>
                <c:pt idx="20">
                  <c:v>608</c:v>
                </c:pt>
                <c:pt idx="21">
                  <c:v>639</c:v>
                </c:pt>
                <c:pt idx="22">
                  <c:v>669</c:v>
                </c:pt>
                <c:pt idx="23">
                  <c:v>700</c:v>
                </c:pt>
                <c:pt idx="24">
                  <c:v>731</c:v>
                </c:pt>
                <c:pt idx="25">
                  <c:v>759</c:v>
                </c:pt>
                <c:pt idx="26">
                  <c:v>790</c:v>
                </c:pt>
                <c:pt idx="27">
                  <c:v>820</c:v>
                </c:pt>
                <c:pt idx="28">
                  <c:v>851</c:v>
                </c:pt>
                <c:pt idx="29">
                  <c:v>881</c:v>
                </c:pt>
                <c:pt idx="30">
                  <c:v>912</c:v>
                </c:pt>
                <c:pt idx="31">
                  <c:v>943</c:v>
                </c:pt>
                <c:pt idx="32">
                  <c:v>973</c:v>
                </c:pt>
                <c:pt idx="33">
                  <c:v>1004</c:v>
                </c:pt>
                <c:pt idx="34">
                  <c:v>1034</c:v>
                </c:pt>
                <c:pt idx="35">
                  <c:v>1065</c:v>
                </c:pt>
                <c:pt idx="36">
                  <c:v>1096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1490</c:v>
                </c:pt>
                <c:pt idx="50">
                  <c:v>1521</c:v>
                </c:pt>
                <c:pt idx="51">
                  <c:v>1551</c:v>
                </c:pt>
                <c:pt idx="52">
                  <c:v>1582</c:v>
                </c:pt>
                <c:pt idx="53">
                  <c:v>1612</c:v>
                </c:pt>
                <c:pt idx="54">
                  <c:v>1643</c:v>
                </c:pt>
                <c:pt idx="55">
                  <c:v>1674</c:v>
                </c:pt>
                <c:pt idx="56">
                  <c:v>1704</c:v>
                </c:pt>
                <c:pt idx="57">
                  <c:v>1735</c:v>
                </c:pt>
                <c:pt idx="58">
                  <c:v>1765</c:v>
                </c:pt>
                <c:pt idx="59">
                  <c:v>1796</c:v>
                </c:pt>
                <c:pt idx="60">
                  <c:v>1827</c:v>
                </c:pt>
                <c:pt idx="61">
                  <c:v>1855</c:v>
                </c:pt>
                <c:pt idx="62">
                  <c:v>1886</c:v>
                </c:pt>
                <c:pt idx="63">
                  <c:v>1916</c:v>
                </c:pt>
                <c:pt idx="64">
                  <c:v>1947</c:v>
                </c:pt>
                <c:pt idx="65">
                  <c:v>1977</c:v>
                </c:pt>
              </c:numCache>
            </c:numRef>
          </c:xVal>
          <c:yVal>
            <c:numRef>
              <c:f>'Well_A-2'!$R$2:$R$68</c:f>
              <c:numCache>
                <c:formatCode>General</c:formatCode>
                <c:ptCount val="67"/>
                <c:pt idx="0">
                  <c:v>-4.8664249227389289E-4</c:v>
                </c:pt>
                <c:pt idx="1">
                  <c:v>2.2182747449223108E-6</c:v>
                </c:pt>
                <c:pt idx="2">
                  <c:v>-1.1783270093912428E-3</c:v>
                </c:pt>
                <c:pt idx="3">
                  <c:v>-1.9789096371730431E-3</c:v>
                </c:pt>
                <c:pt idx="4">
                  <c:v>-6.4470258729155646E-4</c:v>
                </c:pt>
                <c:pt idx="5">
                  <c:v>-7.941280787962159E-5</c:v>
                </c:pt>
                <c:pt idx="6">
                  <c:v>1.2050898608383377E-4</c:v>
                </c:pt>
                <c:pt idx="7">
                  <c:v>2.8667714085638287E-4</c:v>
                </c:pt>
                <c:pt idx="8">
                  <c:v>-2.2533035615419779E-5</c:v>
                </c:pt>
                <c:pt idx="9">
                  <c:v>-2.5080877245276916E-4</c:v>
                </c:pt>
                <c:pt idx="10">
                  <c:v>-4.408915023817311E-5</c:v>
                </c:pt>
                <c:pt idx="11">
                  <c:v>-2.1622029377794513E-4</c:v>
                </c:pt>
                <c:pt idx="12">
                  <c:v>9.2129631156050141E-4</c:v>
                </c:pt>
                <c:pt idx="13">
                  <c:v>1.6718368046882202E-4</c:v>
                </c:pt>
                <c:pt idx="14">
                  <c:v>-1.2129995202998835E-3</c:v>
                </c:pt>
                <c:pt idx="15">
                  <c:v>-7.8013869814472049E-5</c:v>
                </c:pt>
                <c:pt idx="16">
                  <c:v>3.7871635850651915E-4</c:v>
                </c:pt>
                <c:pt idx="17">
                  <c:v>1.1960071868870354E-4</c:v>
                </c:pt>
                <c:pt idx="18">
                  <c:v>5.1240275661536048E-5</c:v>
                </c:pt>
                <c:pt idx="19">
                  <c:v>1.2079662127149471E-4</c:v>
                </c:pt>
                <c:pt idx="20">
                  <c:v>2.2794230800422992E-5</c:v>
                </c:pt>
                <c:pt idx="21">
                  <c:v>9.3042008364915017E-6</c:v>
                </c:pt>
                <c:pt idx="22">
                  <c:v>1.8101910878075983E-4</c:v>
                </c:pt>
                <c:pt idx="23">
                  <c:v>4.0120548257007718E-3</c:v>
                </c:pt>
                <c:pt idx="24">
                  <c:v>5.9779913321821067E-3</c:v>
                </c:pt>
                <c:pt idx="25">
                  <c:v>1.4650812753046669E-3</c:v>
                </c:pt>
                <c:pt idx="26">
                  <c:v>1.015301506898296E-3</c:v>
                </c:pt>
                <c:pt idx="27">
                  <c:v>2.9633296860664916E-3</c:v>
                </c:pt>
                <c:pt idx="28">
                  <c:v>5.4092417733652906E-3</c:v>
                </c:pt>
                <c:pt idx="29">
                  <c:v>5.955935884549424E-3</c:v>
                </c:pt>
                <c:pt idx="30">
                  <c:v>-2.1683963318902007E-4</c:v>
                </c:pt>
                <c:pt idx="31">
                  <c:v>-1.3346752518605008E-3</c:v>
                </c:pt>
                <c:pt idx="32">
                  <c:v>-4.4741810118031363E-4</c:v>
                </c:pt>
                <c:pt idx="33">
                  <c:v>3.3366692605227423E-3</c:v>
                </c:pt>
                <c:pt idx="34">
                  <c:v>5.2438899707072384E-3</c:v>
                </c:pt>
                <c:pt idx="35">
                  <c:v>2.6456489657473892E-3</c:v>
                </c:pt>
                <c:pt idx="36">
                  <c:v>4.0978346407477195E-3</c:v>
                </c:pt>
                <c:pt idx="37">
                  <c:v>3.2960191552340611E-4</c:v>
                </c:pt>
                <c:pt idx="38">
                  <c:v>-1.5293084241187554E-3</c:v>
                </c:pt>
                <c:pt idx="39">
                  <c:v>7.1270530613233097E-3</c:v>
                </c:pt>
                <c:pt idx="40">
                  <c:v>1.1599039263117154E-3</c:v>
                </c:pt>
                <c:pt idx="41">
                  <c:v>-4.6901269238811931E-3</c:v>
                </c:pt>
                <c:pt idx="42">
                  <c:v>-3.2505412454010034E-3</c:v>
                </c:pt>
                <c:pt idx="43">
                  <c:v>-1.551085590693225E-3</c:v>
                </c:pt>
                <c:pt idx="44">
                  <c:v>2.0415795158711847E-3</c:v>
                </c:pt>
                <c:pt idx="45">
                  <c:v>-4.9233985528442503E-3</c:v>
                </c:pt>
                <c:pt idx="46">
                  <c:v>3.6947238069846748E-3</c:v>
                </c:pt>
                <c:pt idx="47">
                  <c:v>6.3575233933667579E-3</c:v>
                </c:pt>
                <c:pt idx="48">
                  <c:v>2.6923258266158562E-3</c:v>
                </c:pt>
                <c:pt idx="49">
                  <c:v>6.4871009884814755E-3</c:v>
                </c:pt>
                <c:pt idx="50">
                  <c:v>-2.5073716065227999E-3</c:v>
                </c:pt>
                <c:pt idx="51">
                  <c:v>2.8809000877467084E-3</c:v>
                </c:pt>
                <c:pt idx="52">
                  <c:v>1.9856827301728396E-2</c:v>
                </c:pt>
                <c:pt idx="53">
                  <c:v>9.6955701620234109E-3</c:v>
                </c:pt>
                <c:pt idx="54">
                  <c:v>-4.1907299219511914E-3</c:v>
                </c:pt>
                <c:pt idx="55">
                  <c:v>-7.0845798981990845E-4</c:v>
                </c:pt>
                <c:pt idx="56">
                  <c:v>1.5327976872404523E-3</c:v>
                </c:pt>
                <c:pt idx="57">
                  <c:v>-2.7851457682231723E-3</c:v>
                </c:pt>
                <c:pt idx="58">
                  <c:v>4.619174542844536E-3</c:v>
                </c:pt>
                <c:pt idx="59">
                  <c:v>8.7682855226386015E-3</c:v>
                </c:pt>
                <c:pt idx="60">
                  <c:v>3.2562272828995076E-3</c:v>
                </c:pt>
                <c:pt idx="61">
                  <c:v>6.4445044808112003E-4</c:v>
                </c:pt>
                <c:pt idx="62">
                  <c:v>-6.2347026798523447E-4</c:v>
                </c:pt>
                <c:pt idx="63">
                  <c:v>1.0851984236039058E-2</c:v>
                </c:pt>
                <c:pt idx="64">
                  <c:v>1.2443081923357788E-2</c:v>
                </c:pt>
                <c:pt idx="65">
                  <c:v>4.4533309496891903E-3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1E-4C78-8D9B-0E0BE64EC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946000"/>
        <c:axId val="461961360"/>
      </c:scatterChart>
      <c:valAx>
        <c:axId val="4619460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61360"/>
        <c:crosses val="autoZero"/>
        <c:crossBetween val="midCat"/>
      </c:valAx>
      <c:valAx>
        <c:axId val="4619613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v>WOR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'Well_A-3'!$N$1:$N$54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'Well_A-3'!$O$1:$O$54</c:f>
              <c:numCache>
                <c:formatCode>General</c:formatCode>
                <c:ptCount val="54"/>
                <c:pt idx="0">
                  <c:v>0</c:v>
                </c:pt>
                <c:pt idx="1">
                  <c:v>0.21329425644707628</c:v>
                </c:pt>
                <c:pt idx="2">
                  <c:v>2.2139272717175074E-2</c:v>
                </c:pt>
                <c:pt idx="3">
                  <c:v>9.4970651165717027E-3</c:v>
                </c:pt>
                <c:pt idx="4">
                  <c:v>1.8680216000499381E-2</c:v>
                </c:pt>
                <c:pt idx="5">
                  <c:v>3.0700199795338754E-2</c:v>
                </c:pt>
                <c:pt idx="6">
                  <c:v>2.5375891502376506E-2</c:v>
                </c:pt>
                <c:pt idx="7">
                  <c:v>3.3668988478031688E-2</c:v>
                </c:pt>
                <c:pt idx="8">
                  <c:v>1.1840261815356598E-2</c:v>
                </c:pt>
                <c:pt idx="9">
                  <c:v>9.5253224932662969E-3</c:v>
                </c:pt>
                <c:pt idx="10">
                  <c:v>7.423785213820539E-3</c:v>
                </c:pt>
                <c:pt idx="11">
                  <c:v>1.9449066593539028E-2</c:v>
                </c:pt>
                <c:pt idx="12">
                  <c:v>1.8437044117185938E-2</c:v>
                </c:pt>
                <c:pt idx="13">
                  <c:v>2.0320500896346839E-2</c:v>
                </c:pt>
                <c:pt idx="14">
                  <c:v>2.1848315737991845E-2</c:v>
                </c:pt>
                <c:pt idx="15">
                  <c:v>3.6261156981611593E-2</c:v>
                </c:pt>
                <c:pt idx="16">
                  <c:v>5.8095854176903883E-2</c:v>
                </c:pt>
                <c:pt idx="17">
                  <c:v>9.3825468427399333E-2</c:v>
                </c:pt>
                <c:pt idx="18">
                  <c:v>0.1072680900296851</c:v>
                </c:pt>
                <c:pt idx="19">
                  <c:v>0.10126606442071541</c:v>
                </c:pt>
                <c:pt idx="20">
                  <c:v>0.14381677053412087</c:v>
                </c:pt>
                <c:pt idx="21">
                  <c:v>0.13112792490896016</c:v>
                </c:pt>
                <c:pt idx="22">
                  <c:v>0.19516839728673391</c:v>
                </c:pt>
                <c:pt idx="23">
                  <c:v>0.22222930168918517</c:v>
                </c:pt>
                <c:pt idx="24">
                  <c:v>0.2753080651784211</c:v>
                </c:pt>
                <c:pt idx="25">
                  <c:v>0.31371579981381614</c:v>
                </c:pt>
                <c:pt idx="26">
                  <c:v>0.32815118781851155</c:v>
                </c:pt>
                <c:pt idx="27">
                  <c:v>0.29706444883259703</c:v>
                </c:pt>
                <c:pt idx="28">
                  <c:v>0.43278845301482671</c:v>
                </c:pt>
                <c:pt idx="29">
                  <c:v>0.38744988132093988</c:v>
                </c:pt>
                <c:pt idx="30">
                  <c:v>0.42643775437539455</c:v>
                </c:pt>
                <c:pt idx="31">
                  <c:v>0.44180487268204982</c:v>
                </c:pt>
                <c:pt idx="32">
                  <c:v>0.44561270510667811</c:v>
                </c:pt>
                <c:pt idx="33">
                  <c:v>0.50111202063675675</c:v>
                </c:pt>
                <c:pt idx="34">
                  <c:v>0.69887054285769756</c:v>
                </c:pt>
                <c:pt idx="35">
                  <c:v>0.76842967962545083</c:v>
                </c:pt>
                <c:pt idx="36">
                  <c:v>0.71046921179874178</c:v>
                </c:pt>
                <c:pt idx="37">
                  <c:v>0.73437026965310048</c:v>
                </c:pt>
                <c:pt idx="38">
                  <c:v>0.86745838126223274</c:v>
                </c:pt>
                <c:pt idx="39">
                  <c:v>0.74015020818649246</c:v>
                </c:pt>
                <c:pt idx="40">
                  <c:v>0.89156101738333093</c:v>
                </c:pt>
                <c:pt idx="41">
                  <c:v>1.0438120659114423</c:v>
                </c:pt>
                <c:pt idx="42">
                  <c:v>0.9966732861432297</c:v>
                </c:pt>
                <c:pt idx="43">
                  <c:v>0.96373408870888044</c:v>
                </c:pt>
                <c:pt idx="44">
                  <c:v>0.99814703089025092</c:v>
                </c:pt>
                <c:pt idx="45">
                  <c:v>1.021655879805478</c:v>
                </c:pt>
                <c:pt idx="46">
                  <c:v>1.0178149611539948</c:v>
                </c:pt>
                <c:pt idx="47">
                  <c:v>1.1857636792974455</c:v>
                </c:pt>
                <c:pt idx="48">
                  <c:v>1.3258198593076334</c:v>
                </c:pt>
                <c:pt idx="49">
                  <c:v>1.5418440518771885</c:v>
                </c:pt>
                <c:pt idx="50">
                  <c:v>1.5479994567440045</c:v>
                </c:pt>
                <c:pt idx="51">
                  <c:v>1.4688359717163775</c:v>
                </c:pt>
                <c:pt idx="52">
                  <c:v>1.6163808991620867</c:v>
                </c:pt>
                <c:pt idx="53">
                  <c:v>1.7205703146097977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59-4F8D-8832-C98DE3894575}"/>
            </c:ext>
          </c:extLst>
        </c:ser>
        <c:ser>
          <c:idx val="2"/>
          <c:order val="2"/>
          <c:tx>
            <c:v>WOR'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'Well_A-3'!$N$1:$N$54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'Well_A-3'!$P$1:$P$54</c:f>
              <c:numCache>
                <c:formatCode>General</c:formatCode>
                <c:ptCount val="54"/>
                <c:pt idx="0">
                  <c:v>0</c:v>
                </c:pt>
                <c:pt idx="2">
                  <c:v>0</c:v>
                </c:pt>
                <c:pt idx="3">
                  <c:v>-3.1798605921252582E-3</c:v>
                </c:pt>
                <c:pt idx="4">
                  <c:v>3.0589657252358026E-2</c:v>
                </c:pt>
                <c:pt idx="5">
                  <c:v>1.3163637339433588E-2</c:v>
                </c:pt>
                <c:pt idx="6">
                  <c:v>7.2248293615876672E-3</c:v>
                </c:pt>
                <c:pt idx="7">
                  <c:v>-4.0340068516838204E-2</c:v>
                </c:pt>
                <c:pt idx="8">
                  <c:v>-8.4323341523564965E-2</c:v>
                </c:pt>
                <c:pt idx="9">
                  <c:v>-1.7609901099187402E-2</c:v>
                </c:pt>
                <c:pt idx="10">
                  <c:v>4.4635824471978926E-2</c:v>
                </c:pt>
                <c:pt idx="11">
                  <c:v>5.4169296286782964E-2</c:v>
                </c:pt>
                <c:pt idx="12">
                  <c:v>4.9425623843543862E-3</c:v>
                </c:pt>
                <c:pt idx="13">
                  <c:v>2.1144514577278742E-2</c:v>
                </c:pt>
                <c:pt idx="14">
                  <c:v>0.103147732264346</c:v>
                </c:pt>
                <c:pt idx="15">
                  <c:v>0.25300304315319483</c:v>
                </c:pt>
                <c:pt idx="16">
                  <c:v>0.43014688921268363</c:v>
                </c:pt>
                <c:pt idx="17">
                  <c:v>0.39246156327775683</c:v>
                </c:pt>
                <c:pt idx="18">
                  <c:v>6.2090693976386842E-2</c:v>
                </c:pt>
                <c:pt idx="19">
                  <c:v>0.32829954324752292</c:v>
                </c:pt>
                <c:pt idx="20">
                  <c:v>0.28342553471573145</c:v>
                </c:pt>
                <c:pt idx="21">
                  <c:v>0.51266678491436168</c:v>
                </c:pt>
                <c:pt idx="22">
                  <c:v>0.95584099166804026</c:v>
                </c:pt>
                <c:pt idx="23">
                  <c:v>0.866700595556678</c:v>
                </c:pt>
                <c:pt idx="24">
                  <c:v>1.0855659088650196</c:v>
                </c:pt>
                <c:pt idx="25">
                  <c:v>0.65480982489235307</c:v>
                </c:pt>
                <c:pt idx="26">
                  <c:v>-0.20748459260921753</c:v>
                </c:pt>
                <c:pt idx="27">
                  <c:v>1.3570391108710331</c:v>
                </c:pt>
                <c:pt idx="28">
                  <c:v>1.2166803829553485</c:v>
                </c:pt>
                <c:pt idx="29">
                  <c:v>-8.8715735005989685E-2</c:v>
                </c:pt>
                <c:pt idx="30">
                  <c:v>0.77380213015087607</c:v>
                </c:pt>
                <c:pt idx="31">
                  <c:v>0.28704601162328214</c:v>
                </c:pt>
                <c:pt idx="32">
                  <c:v>0.9179692629359778</c:v>
                </c:pt>
                <c:pt idx="33">
                  <c:v>4.0445763254104579</c:v>
                </c:pt>
                <c:pt idx="34">
                  <c:v>4.4050073529700047</c:v>
                </c:pt>
                <c:pt idx="35">
                  <c:v>0.1937521586113698</c:v>
                </c:pt>
                <c:pt idx="36">
                  <c:v>-0.604962396757873</c:v>
                </c:pt>
                <c:pt idx="37">
                  <c:v>2.8695696336630525</c:v>
                </c:pt>
                <c:pt idx="38">
                  <c:v>0.10671326960249997</c:v>
                </c:pt>
                <c:pt idx="39">
                  <c:v>0.45725152861213902</c:v>
                </c:pt>
                <c:pt idx="40">
                  <c:v>5.9101499845590624</c:v>
                </c:pt>
                <c:pt idx="41">
                  <c:v>2.0992220670547068</c:v>
                </c:pt>
                <c:pt idx="42">
                  <c:v>-1.6128524581389911</c:v>
                </c:pt>
                <c:pt idx="43">
                  <c:v>3.090654412559081E-2</c:v>
                </c:pt>
                <c:pt idx="44">
                  <c:v>1.2441442641789326</c:v>
                </c:pt>
                <c:pt idx="45">
                  <c:v>0.43213623477401075</c:v>
                </c:pt>
                <c:pt idx="46">
                  <c:v>3.6891268667038548</c:v>
                </c:pt>
                <c:pt idx="47">
                  <c:v>6.963749743775872</c:v>
                </c:pt>
                <c:pt idx="48">
                  <c:v>8.6382523391463746</c:v>
                </c:pt>
                <c:pt idx="49">
                  <c:v>5.5066709776813667</c:v>
                </c:pt>
                <c:pt idx="50">
                  <c:v>-1.7848585485799822</c:v>
                </c:pt>
                <c:pt idx="51">
                  <c:v>1.7065052054575978</c:v>
                </c:pt>
                <c:pt idx="52">
                  <c:v>6.4060210304779206</c:v>
                </c:pt>
                <c:pt idx="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9-4F8D-8832-C98DE389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59872"/>
        <c:axId val="3108613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'Well_A-3'!$N$54:$O$54</c15:sqref>
                        </c15:formulaRef>
                      </c:ext>
                    </c:extLst>
                    <c:strCache>
                      <c:ptCount val="1"/>
                      <c:pt idx="0">
                        <c:v>1583 1.720570315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'Well_A-3'!$P$1:$P$53</c15:sqref>
                        </c15:formulaRef>
                      </c:ext>
                    </c:extLst>
                    <c:strCache>
                      <c:ptCount val="53"/>
                      <c:pt idx="0">
                        <c:v>WOR'</c:v>
                      </c:pt>
                      <c:pt idx="2">
                        <c:v> </c:v>
                      </c:pt>
                      <c:pt idx="3">
                        <c:v>-0.003179861</c:v>
                      </c:pt>
                      <c:pt idx="4">
                        <c:v>0.030589657</c:v>
                      </c:pt>
                      <c:pt idx="5">
                        <c:v>0.013163637</c:v>
                      </c:pt>
                      <c:pt idx="6">
                        <c:v>0.007224829</c:v>
                      </c:pt>
                      <c:pt idx="7">
                        <c:v>-0.040340069</c:v>
                      </c:pt>
                      <c:pt idx="8">
                        <c:v>-0.084323342</c:v>
                      </c:pt>
                      <c:pt idx="9">
                        <c:v>-0.017609901</c:v>
                      </c:pt>
                      <c:pt idx="10">
                        <c:v>0.044635824</c:v>
                      </c:pt>
                      <c:pt idx="11">
                        <c:v>0.054169296</c:v>
                      </c:pt>
                      <c:pt idx="12">
                        <c:v>0.004942562</c:v>
                      </c:pt>
                      <c:pt idx="13">
                        <c:v>0.021144515</c:v>
                      </c:pt>
                      <c:pt idx="14">
                        <c:v>0.103147732</c:v>
                      </c:pt>
                      <c:pt idx="15">
                        <c:v>0.253003043</c:v>
                      </c:pt>
                      <c:pt idx="16">
                        <c:v>0.430146889</c:v>
                      </c:pt>
                      <c:pt idx="17">
                        <c:v>0.392461563</c:v>
                      </c:pt>
                      <c:pt idx="18">
                        <c:v>0.062090694</c:v>
                      </c:pt>
                      <c:pt idx="19">
                        <c:v>0.328299543</c:v>
                      </c:pt>
                      <c:pt idx="20">
                        <c:v>0.283425535</c:v>
                      </c:pt>
                      <c:pt idx="21">
                        <c:v>0.512666785</c:v>
                      </c:pt>
                      <c:pt idx="22">
                        <c:v>0.955840992</c:v>
                      </c:pt>
                      <c:pt idx="23">
                        <c:v>0.866700596</c:v>
                      </c:pt>
                      <c:pt idx="24">
                        <c:v>1.085565909</c:v>
                      </c:pt>
                      <c:pt idx="25">
                        <c:v>0.654809825</c:v>
                      </c:pt>
                      <c:pt idx="26">
                        <c:v>-0.207484593</c:v>
                      </c:pt>
                      <c:pt idx="27">
                        <c:v>1.357039111</c:v>
                      </c:pt>
                      <c:pt idx="28">
                        <c:v>1.216680383</c:v>
                      </c:pt>
                      <c:pt idx="29">
                        <c:v>-0.088715735</c:v>
                      </c:pt>
                      <c:pt idx="30">
                        <c:v>0.77380213</c:v>
                      </c:pt>
                      <c:pt idx="31">
                        <c:v>0.287046012</c:v>
                      </c:pt>
                      <c:pt idx="32">
                        <c:v>0.917969263</c:v>
                      </c:pt>
                      <c:pt idx="33">
                        <c:v>4.044576325</c:v>
                      </c:pt>
                      <c:pt idx="34">
                        <c:v>4.405007353</c:v>
                      </c:pt>
                      <c:pt idx="35">
                        <c:v>0.193752159</c:v>
                      </c:pt>
                      <c:pt idx="36">
                        <c:v>-0.604962397</c:v>
                      </c:pt>
                      <c:pt idx="37">
                        <c:v>2.869569634</c:v>
                      </c:pt>
                      <c:pt idx="38">
                        <c:v>0.10671327</c:v>
                      </c:pt>
                      <c:pt idx="39">
                        <c:v>0.457251529</c:v>
                      </c:pt>
                      <c:pt idx="40">
                        <c:v>5.910149985</c:v>
                      </c:pt>
                      <c:pt idx="41">
                        <c:v>2.099222067</c:v>
                      </c:pt>
                      <c:pt idx="42">
                        <c:v>-1.612852458</c:v>
                      </c:pt>
                      <c:pt idx="43">
                        <c:v>0.030906544</c:v>
                      </c:pt>
                      <c:pt idx="44">
                        <c:v>1.244144264</c:v>
                      </c:pt>
                      <c:pt idx="45">
                        <c:v>0.432136235</c:v>
                      </c:pt>
                      <c:pt idx="46">
                        <c:v>3.689126867</c:v>
                      </c:pt>
                      <c:pt idx="47">
                        <c:v>6.963749744</c:v>
                      </c:pt>
                      <c:pt idx="48">
                        <c:v>8.638252339</c:v>
                      </c:pt>
                      <c:pt idx="49">
                        <c:v>5.506670978</c:v>
                      </c:pt>
                      <c:pt idx="50">
                        <c:v>-1.784858549</c:v>
                      </c:pt>
                      <c:pt idx="51">
                        <c:v>1.706505205</c:v>
                      </c:pt>
                      <c:pt idx="52">
                        <c:v>6.40602103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'Well_A-3'!$P$54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A59-4F8D-8832-C98DE3894575}"/>
                  </c:ext>
                </c:extLst>
              </c15:ser>
            </c15:filteredScatterSeries>
          </c:ext>
        </c:extLst>
      </c:scatterChart>
      <c:valAx>
        <c:axId val="3108598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61312"/>
        <c:crosses val="autoZero"/>
        <c:crossBetween val="midCat"/>
      </c:valAx>
      <c:valAx>
        <c:axId val="310861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5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'Well_A-3'!$N:$N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'Well_A-3'!$O:$O</c:f>
              <c:numCache>
                <c:formatCode>General</c:formatCode>
                <c:ptCount val="1048576"/>
                <c:pt idx="0">
                  <c:v>0</c:v>
                </c:pt>
                <c:pt idx="1">
                  <c:v>0.21329425644707628</c:v>
                </c:pt>
                <c:pt idx="2">
                  <c:v>2.2139272717175074E-2</c:v>
                </c:pt>
                <c:pt idx="3">
                  <c:v>9.4970651165717027E-3</c:v>
                </c:pt>
                <c:pt idx="4">
                  <c:v>1.8680216000499381E-2</c:v>
                </c:pt>
                <c:pt idx="5">
                  <c:v>3.0700199795338754E-2</c:v>
                </c:pt>
                <c:pt idx="6">
                  <c:v>2.5375891502376506E-2</c:v>
                </c:pt>
                <c:pt idx="7">
                  <c:v>3.3668988478031688E-2</c:v>
                </c:pt>
                <c:pt idx="8">
                  <c:v>1.1840261815356598E-2</c:v>
                </c:pt>
                <c:pt idx="9">
                  <c:v>9.5253224932662969E-3</c:v>
                </c:pt>
                <c:pt idx="10">
                  <c:v>7.423785213820539E-3</c:v>
                </c:pt>
                <c:pt idx="11">
                  <c:v>1.9449066593539028E-2</c:v>
                </c:pt>
                <c:pt idx="12">
                  <c:v>1.8437044117185938E-2</c:v>
                </c:pt>
                <c:pt idx="13">
                  <c:v>2.0320500896346839E-2</c:v>
                </c:pt>
                <c:pt idx="14">
                  <c:v>2.1848315737991845E-2</c:v>
                </c:pt>
                <c:pt idx="15">
                  <c:v>3.6261156981611593E-2</c:v>
                </c:pt>
                <c:pt idx="16">
                  <c:v>5.8095854176903883E-2</c:v>
                </c:pt>
                <c:pt idx="17">
                  <c:v>9.3825468427399333E-2</c:v>
                </c:pt>
                <c:pt idx="18">
                  <c:v>0.1072680900296851</c:v>
                </c:pt>
                <c:pt idx="19">
                  <c:v>0.10126606442071541</c:v>
                </c:pt>
                <c:pt idx="20">
                  <c:v>0.14381677053412087</c:v>
                </c:pt>
                <c:pt idx="21">
                  <c:v>0.13112792490896016</c:v>
                </c:pt>
                <c:pt idx="22">
                  <c:v>0.19516839728673391</c:v>
                </c:pt>
                <c:pt idx="23">
                  <c:v>0.22222930168918517</c:v>
                </c:pt>
                <c:pt idx="24">
                  <c:v>0.2753080651784211</c:v>
                </c:pt>
                <c:pt idx="25">
                  <c:v>0.31371579981381614</c:v>
                </c:pt>
                <c:pt idx="26">
                  <c:v>0.32815118781851155</c:v>
                </c:pt>
                <c:pt idx="27">
                  <c:v>0.29706444883259703</c:v>
                </c:pt>
                <c:pt idx="28">
                  <c:v>0.43278845301482671</c:v>
                </c:pt>
                <c:pt idx="29">
                  <c:v>0.38744988132093988</c:v>
                </c:pt>
                <c:pt idx="30">
                  <c:v>0.42643775437539455</c:v>
                </c:pt>
                <c:pt idx="31">
                  <c:v>0.44180487268204982</c:v>
                </c:pt>
                <c:pt idx="32">
                  <c:v>0.44561270510667811</c:v>
                </c:pt>
                <c:pt idx="33">
                  <c:v>0.50111202063675675</c:v>
                </c:pt>
                <c:pt idx="34">
                  <c:v>0.69887054285769756</c:v>
                </c:pt>
                <c:pt idx="35">
                  <c:v>0.76842967962545083</c:v>
                </c:pt>
                <c:pt idx="36">
                  <c:v>0.71046921179874178</c:v>
                </c:pt>
                <c:pt idx="37">
                  <c:v>0.73437026965310048</c:v>
                </c:pt>
                <c:pt idx="38">
                  <c:v>0.86745838126223274</c:v>
                </c:pt>
                <c:pt idx="39">
                  <c:v>0.74015020818649246</c:v>
                </c:pt>
                <c:pt idx="40">
                  <c:v>0.89156101738333093</c:v>
                </c:pt>
                <c:pt idx="41">
                  <c:v>1.0438120659114423</c:v>
                </c:pt>
                <c:pt idx="42">
                  <c:v>0.9966732861432297</c:v>
                </c:pt>
                <c:pt idx="43">
                  <c:v>0.96373408870888044</c:v>
                </c:pt>
                <c:pt idx="44">
                  <c:v>0.99814703089025092</c:v>
                </c:pt>
                <c:pt idx="45">
                  <c:v>1.021655879805478</c:v>
                </c:pt>
                <c:pt idx="46">
                  <c:v>1.0178149611539948</c:v>
                </c:pt>
                <c:pt idx="47">
                  <c:v>1.1857636792974455</c:v>
                </c:pt>
                <c:pt idx="48">
                  <c:v>1.3258198593076334</c:v>
                </c:pt>
                <c:pt idx="49">
                  <c:v>1.5418440518771885</c:v>
                </c:pt>
                <c:pt idx="50">
                  <c:v>1.5479994567440045</c:v>
                </c:pt>
                <c:pt idx="51">
                  <c:v>1.4688359717163775</c:v>
                </c:pt>
                <c:pt idx="52">
                  <c:v>1.6163808991620867</c:v>
                </c:pt>
                <c:pt idx="53">
                  <c:v>1.7205703146097977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3F-4692-AD53-B6EA8DC18AB8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'Well_A-3'!$N:$N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'Well_A-3'!$R:$R</c:f>
              <c:numCache>
                <c:formatCode>General</c:formatCode>
                <c:ptCount val="1048576"/>
                <c:pt idx="0">
                  <c:v>0</c:v>
                </c:pt>
                <c:pt idx="1">
                  <c:v>-6.1662897977387485E-3</c:v>
                </c:pt>
                <c:pt idx="2">
                  <c:v>-4.2140692002011238E-4</c:v>
                </c:pt>
                <c:pt idx="3">
                  <c:v>2.9623067367508639E-4</c:v>
                </c:pt>
                <c:pt idx="4">
                  <c:v>4.0066612649464575E-4</c:v>
                </c:pt>
                <c:pt idx="5">
                  <c:v>-1.7175188041813704E-4</c:v>
                </c:pt>
                <c:pt idx="6">
                  <c:v>2.6751925727919938E-4</c:v>
                </c:pt>
                <c:pt idx="7">
                  <c:v>-7.276242220891696E-4</c:v>
                </c:pt>
                <c:pt idx="8">
                  <c:v>-7.4675462002912936E-5</c:v>
                </c:pt>
                <c:pt idx="9">
                  <c:v>-7.0051242648191928E-5</c:v>
                </c:pt>
                <c:pt idx="10">
                  <c:v>3.8791230257156413E-4</c:v>
                </c:pt>
                <c:pt idx="11">
                  <c:v>-3.2645886333970651E-5</c:v>
                </c:pt>
                <c:pt idx="12">
                  <c:v>6.7266313541460755E-5</c:v>
                </c:pt>
                <c:pt idx="13">
                  <c:v>4.9284349730484066E-5</c:v>
                </c:pt>
                <c:pt idx="14">
                  <c:v>4.8042804145399164E-4</c:v>
                </c:pt>
                <c:pt idx="15">
                  <c:v>7.0434507081588028E-4</c:v>
                </c:pt>
                <c:pt idx="16">
                  <c:v>1.1909871416831816E-3</c:v>
                </c:pt>
                <c:pt idx="17">
                  <c:v>4.3363295491244402E-4</c:v>
                </c:pt>
                <c:pt idx="18">
                  <c:v>-1.9361372932160284E-4</c:v>
                </c:pt>
                <c:pt idx="19">
                  <c:v>1.4183568704468487E-3</c:v>
                </c:pt>
                <c:pt idx="20">
                  <c:v>-4.0931760081163566E-4</c:v>
                </c:pt>
                <c:pt idx="21">
                  <c:v>2.1346824125924582E-3</c:v>
                </c:pt>
                <c:pt idx="22">
                  <c:v>8.7293240007907304E-4</c:v>
                </c:pt>
                <c:pt idx="23">
                  <c:v>1.7122181770721269E-3</c:v>
                </c:pt>
                <c:pt idx="24">
                  <c:v>1.3717048084069658E-3</c:v>
                </c:pt>
                <c:pt idx="25">
                  <c:v>4.6565767757081951E-4</c:v>
                </c:pt>
                <c:pt idx="26">
                  <c:v>-1.0362246328638172E-3</c:v>
                </c:pt>
                <c:pt idx="27">
                  <c:v>4.3781936832977316E-3</c:v>
                </c:pt>
                <c:pt idx="28">
                  <c:v>-1.511285723129561E-3</c:v>
                </c:pt>
                <c:pt idx="29">
                  <c:v>1.2576733243372473E-3</c:v>
                </c:pt>
                <c:pt idx="30">
                  <c:v>4.9571349376307324E-4</c:v>
                </c:pt>
                <c:pt idx="31">
                  <c:v>1.2692774748760961E-4</c:v>
                </c:pt>
                <c:pt idx="32">
                  <c:v>1.7903005009702788E-3</c:v>
                </c:pt>
                <c:pt idx="33">
                  <c:v>6.5919507406980273E-3</c:v>
                </c:pt>
                <c:pt idx="34">
                  <c:v>2.243843121540428E-3</c:v>
                </c:pt>
                <c:pt idx="35">
                  <c:v>-1.8696925105390015E-3</c:v>
                </c:pt>
                <c:pt idx="36">
                  <c:v>8.2417440877098961E-4</c:v>
                </c:pt>
                <c:pt idx="37">
                  <c:v>4.2931648906171698E-3</c:v>
                </c:pt>
                <c:pt idx="38">
                  <c:v>-4.2436057691913427E-3</c:v>
                </c:pt>
                <c:pt idx="39">
                  <c:v>4.8842196515109185E-3</c:v>
                </c:pt>
                <c:pt idx="40">
                  <c:v>5.0750349509370444E-3</c:v>
                </c:pt>
                <c:pt idx="41">
                  <c:v>-1.5206057989745989E-3</c:v>
                </c:pt>
                <c:pt idx="42">
                  <c:v>-1.0625547559467501E-3</c:v>
                </c:pt>
                <c:pt idx="43">
                  <c:v>1.1470980727123492E-3</c:v>
                </c:pt>
                <c:pt idx="44">
                  <c:v>7.5834996500732542E-4</c:v>
                </c:pt>
                <c:pt idx="45">
                  <c:v>-1.2803062171610571E-4</c:v>
                </c:pt>
                <c:pt idx="46">
                  <c:v>5.4177005852726031E-3</c:v>
                </c:pt>
                <c:pt idx="47">
                  <c:v>4.5179412906512202E-3</c:v>
                </c:pt>
                <c:pt idx="48">
                  <c:v>7.7151497346269705E-3</c:v>
                </c:pt>
                <c:pt idx="49">
                  <c:v>1.9856144731664462E-4</c:v>
                </c:pt>
                <c:pt idx="50">
                  <c:v>-2.6387828342542348E-3</c:v>
                </c:pt>
                <c:pt idx="51">
                  <c:v>4.7595137885712655E-3</c:v>
                </c:pt>
                <c:pt idx="52">
                  <c:v>3.4729805149236997E-3</c:v>
                </c:pt>
                <c:pt idx="53">
                  <c:v>1.0869048102399228E-3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3F-4692-AD53-B6EA8DC1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442304"/>
        <c:axId val="2068441344"/>
      </c:scatterChart>
      <c:valAx>
        <c:axId val="20684423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1344"/>
        <c:crosses val="autoZero"/>
        <c:crossBetween val="midCat"/>
      </c:valAx>
      <c:valAx>
        <c:axId val="20684413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'Well_A-5'!$N$1:$N$23</c:f>
              <c:strCache>
                <c:ptCount val="23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</c:strCache>
            </c:strRef>
          </c:xVal>
          <c:yVal>
            <c:numRef>
              <c:f>'Well_A-5'!$O$1:$O$15</c:f>
              <c:numCache>
                <c:formatCode>General</c:formatCode>
                <c:ptCount val="15"/>
                <c:pt idx="0">
                  <c:v>0</c:v>
                </c:pt>
                <c:pt idx="1">
                  <c:v>1.5368681047200898E-2</c:v>
                </c:pt>
                <c:pt idx="2">
                  <c:v>1.8208420702960641E-2</c:v>
                </c:pt>
                <c:pt idx="3">
                  <c:v>2.0091307096382061E-2</c:v>
                </c:pt>
                <c:pt idx="4">
                  <c:v>0.18300322037303068</c:v>
                </c:pt>
                <c:pt idx="5">
                  <c:v>0.51473200425652577</c:v>
                </c:pt>
                <c:pt idx="6">
                  <c:v>1.2404915668459859</c:v>
                </c:pt>
                <c:pt idx="7">
                  <c:v>1.6432114709759238</c:v>
                </c:pt>
                <c:pt idx="8">
                  <c:v>3.1985199122570815</c:v>
                </c:pt>
                <c:pt idx="9">
                  <c:v>4.1296428461885943</c:v>
                </c:pt>
                <c:pt idx="10">
                  <c:v>4.2845792456633571</c:v>
                </c:pt>
                <c:pt idx="11">
                  <c:v>4.2982522054063725</c:v>
                </c:pt>
                <c:pt idx="12">
                  <c:v>3.4688291212010789</c:v>
                </c:pt>
                <c:pt idx="13">
                  <c:v>1.9807388088631874</c:v>
                </c:pt>
                <c:pt idx="14">
                  <c:v>2.4337982550290129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8-42D3-91E8-15ECD653D793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'Well_A-5'!$N$1:$N$20</c:f>
              <c:strCache>
                <c:ptCount val="20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</c:strCache>
            </c:strRef>
          </c:xVal>
          <c:yVal>
            <c:numRef>
              <c:f>'Well_A-5'!$R:$R</c:f>
              <c:numCache>
                <c:formatCode>General</c:formatCode>
                <c:ptCount val="1048576"/>
                <c:pt idx="0">
                  <c:v>0</c:v>
                </c:pt>
                <c:pt idx="1">
                  <c:v>9.7922057095163533E-5</c:v>
                </c:pt>
                <c:pt idx="2">
                  <c:v>6.0738270755529698E-5</c:v>
                </c:pt>
                <c:pt idx="3">
                  <c:v>5.4303971092216205E-3</c:v>
                </c:pt>
                <c:pt idx="4">
                  <c:v>1.0700928512370809E-2</c:v>
                </c:pt>
                <c:pt idx="5">
                  <c:v>2.4191985419648673E-2</c:v>
                </c:pt>
                <c:pt idx="6">
                  <c:v>1.2990964649352834E-2</c:v>
                </c:pt>
                <c:pt idx="7">
                  <c:v>5.0171240041327669E-2</c:v>
                </c:pt>
                <c:pt idx="8">
                  <c:v>3.1037431131050428E-2</c:v>
                </c:pt>
                <c:pt idx="9">
                  <c:v>4.9979483701536381E-3</c:v>
                </c:pt>
                <c:pt idx="10">
                  <c:v>4.5576532476718039E-4</c:v>
                </c:pt>
                <c:pt idx="11">
                  <c:v>-2.6755583361461086E-2</c:v>
                </c:pt>
                <c:pt idx="12">
                  <c:v>-4.8002913301222305E-2</c:v>
                </c:pt>
                <c:pt idx="13">
                  <c:v>1.6180694505922338E-2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E8-42D3-91E8-15ECD653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834736"/>
        <c:axId val="345834256"/>
      </c:scatterChart>
      <c:valAx>
        <c:axId val="3458347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34256"/>
        <c:crosses val="autoZero"/>
        <c:crossBetween val="midCat"/>
      </c:valAx>
      <c:valAx>
        <c:axId val="3458342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3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</a:t>
            </a:r>
            <a:r>
              <a:rPr lang="en-IN" baseline="0"/>
              <a:t> 7 WOR' VS TIME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'Well_A-7'!$N$1:$N$69</c:f>
              <c:strCache>
                <c:ptCount val="69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62</c:v>
                </c:pt>
                <c:pt idx="4">
                  <c:v>91</c:v>
                </c:pt>
                <c:pt idx="5">
                  <c:v>122</c:v>
                </c:pt>
                <c:pt idx="6">
                  <c:v>152</c:v>
                </c:pt>
                <c:pt idx="7">
                  <c:v>183</c:v>
                </c:pt>
                <c:pt idx="8">
                  <c:v>213</c:v>
                </c:pt>
                <c:pt idx="9">
                  <c:v>244</c:v>
                </c:pt>
                <c:pt idx="10">
                  <c:v>275</c:v>
                </c:pt>
                <c:pt idx="11">
                  <c:v>305</c:v>
                </c:pt>
                <c:pt idx="12">
                  <c:v>336</c:v>
                </c:pt>
                <c:pt idx="13">
                  <c:v>366</c:v>
                </c:pt>
                <c:pt idx="14">
                  <c:v>397</c:v>
                </c:pt>
                <c:pt idx="15">
                  <c:v>428</c:v>
                </c:pt>
                <c:pt idx="16">
                  <c:v>456</c:v>
                </c:pt>
                <c:pt idx="17">
                  <c:v>487</c:v>
                </c:pt>
                <c:pt idx="18">
                  <c:v>517</c:v>
                </c:pt>
                <c:pt idx="19">
                  <c:v>548</c:v>
                </c:pt>
                <c:pt idx="20">
                  <c:v>578</c:v>
                </c:pt>
                <c:pt idx="21">
                  <c:v>609</c:v>
                </c:pt>
                <c:pt idx="22">
                  <c:v>640</c:v>
                </c:pt>
                <c:pt idx="23">
                  <c:v>670</c:v>
                </c:pt>
                <c:pt idx="24">
                  <c:v>701</c:v>
                </c:pt>
                <c:pt idx="25">
                  <c:v>731</c:v>
                </c:pt>
                <c:pt idx="26">
                  <c:v>762</c:v>
                </c:pt>
                <c:pt idx="27">
                  <c:v>793</c:v>
                </c:pt>
                <c:pt idx="28">
                  <c:v>821</c:v>
                </c:pt>
                <c:pt idx="29">
                  <c:v>852</c:v>
                </c:pt>
                <c:pt idx="30">
                  <c:v>882</c:v>
                </c:pt>
                <c:pt idx="31">
                  <c:v>913</c:v>
                </c:pt>
                <c:pt idx="32">
                  <c:v>943</c:v>
                </c:pt>
                <c:pt idx="33">
                  <c:v>974</c:v>
                </c:pt>
                <c:pt idx="34">
                  <c:v>1005</c:v>
                </c:pt>
                <c:pt idx="35">
                  <c:v>1035</c:v>
                </c:pt>
                <c:pt idx="36">
                  <c:v>1066</c:v>
                </c:pt>
                <c:pt idx="37">
                  <c:v>1096</c:v>
                </c:pt>
                <c:pt idx="38">
                  <c:v>1127</c:v>
                </c:pt>
                <c:pt idx="39">
                  <c:v>1158</c:v>
                </c:pt>
                <c:pt idx="40">
                  <c:v>1186</c:v>
                </c:pt>
                <c:pt idx="41">
                  <c:v>1217</c:v>
                </c:pt>
                <c:pt idx="42">
                  <c:v>1247</c:v>
                </c:pt>
                <c:pt idx="43">
                  <c:v>1278</c:v>
                </c:pt>
                <c:pt idx="44">
                  <c:v>1308</c:v>
                </c:pt>
                <c:pt idx="45">
                  <c:v>1339</c:v>
                </c:pt>
                <c:pt idx="46">
                  <c:v>1370</c:v>
                </c:pt>
                <c:pt idx="47">
                  <c:v>1400</c:v>
                </c:pt>
                <c:pt idx="48">
                  <c:v>1431</c:v>
                </c:pt>
                <c:pt idx="49">
                  <c:v>1461</c:v>
                </c:pt>
                <c:pt idx="50">
                  <c:v>1492</c:v>
                </c:pt>
                <c:pt idx="51">
                  <c:v>1523</c:v>
                </c:pt>
                <c:pt idx="52">
                  <c:v>1552</c:v>
                </c:pt>
                <c:pt idx="53">
                  <c:v>1583</c:v>
                </c:pt>
                <c:pt idx="54">
                  <c:v>1613</c:v>
                </c:pt>
                <c:pt idx="55">
                  <c:v>1644</c:v>
                </c:pt>
                <c:pt idx="56">
                  <c:v>1674</c:v>
                </c:pt>
                <c:pt idx="57">
                  <c:v>1705</c:v>
                </c:pt>
                <c:pt idx="58">
                  <c:v>1736</c:v>
                </c:pt>
                <c:pt idx="59">
                  <c:v>1766</c:v>
                </c:pt>
                <c:pt idx="60">
                  <c:v>1797</c:v>
                </c:pt>
                <c:pt idx="61">
                  <c:v>1827</c:v>
                </c:pt>
                <c:pt idx="62">
                  <c:v>1858</c:v>
                </c:pt>
                <c:pt idx="63">
                  <c:v>1889</c:v>
                </c:pt>
                <c:pt idx="64">
                  <c:v>1917</c:v>
                </c:pt>
                <c:pt idx="65">
                  <c:v>1948</c:v>
                </c:pt>
                <c:pt idx="66">
                  <c:v>1978</c:v>
                </c:pt>
                <c:pt idx="67">
                  <c:v>2009</c:v>
                </c:pt>
                <c:pt idx="68">
                  <c:v>2039</c:v>
                </c:pt>
              </c:strCache>
            </c:strRef>
          </c:xVal>
          <c:yVal>
            <c:numRef>
              <c:f>'Well_A-7'!$O$1:$O$69</c:f>
              <c:numCache>
                <c:formatCode>General</c:formatCode>
                <c:ptCount val="69"/>
                <c:pt idx="0">
                  <c:v>0</c:v>
                </c:pt>
                <c:pt idx="1">
                  <c:v>1.7699428489588154E-2</c:v>
                </c:pt>
                <c:pt idx="2">
                  <c:v>5.3269571788964656E-3</c:v>
                </c:pt>
                <c:pt idx="3">
                  <c:v>1.2039980063251628E-2</c:v>
                </c:pt>
                <c:pt idx="4">
                  <c:v>1.8209121118868146E-2</c:v>
                </c:pt>
                <c:pt idx="5">
                  <c:v>2.0091697566663399E-2</c:v>
                </c:pt>
                <c:pt idx="6">
                  <c:v>2.0246322997823613E-2</c:v>
                </c:pt>
                <c:pt idx="7">
                  <c:v>2.426981089985851E-2</c:v>
                </c:pt>
                <c:pt idx="8">
                  <c:v>2.2136866664839161E-2</c:v>
                </c:pt>
                <c:pt idx="9">
                  <c:v>2.5211947895282642E-2</c:v>
                </c:pt>
                <c:pt idx="10">
                  <c:v>2.8290634287758513E-2</c:v>
                </c:pt>
                <c:pt idx="11">
                  <c:v>3.6525981791487187E-2</c:v>
                </c:pt>
                <c:pt idx="12">
                  <c:v>4.0071784545251898E-2</c:v>
                </c:pt>
                <c:pt idx="13">
                  <c:v>3.6622750732759481E-2</c:v>
                </c:pt>
                <c:pt idx="14">
                  <c:v>2.4603158081049292E-2</c:v>
                </c:pt>
                <c:pt idx="15">
                  <c:v>1.7694941338418008E-2</c:v>
                </c:pt>
                <c:pt idx="16">
                  <c:v>4.8022575662541991E-2</c:v>
                </c:pt>
                <c:pt idx="17">
                  <c:v>7.7522123999804876E-2</c:v>
                </c:pt>
                <c:pt idx="18">
                  <c:v>5.0142533264232111E-2</c:v>
                </c:pt>
                <c:pt idx="19">
                  <c:v>0.10007905459332946</c:v>
                </c:pt>
                <c:pt idx="20">
                  <c:v>0.16448197677998286</c:v>
                </c:pt>
                <c:pt idx="21">
                  <c:v>0.13598410213006065</c:v>
                </c:pt>
                <c:pt idx="22">
                  <c:v>0.18009598585247036</c:v>
                </c:pt>
                <c:pt idx="23">
                  <c:v>0.46032888728559379</c:v>
                </c:pt>
                <c:pt idx="24">
                  <c:v>0.54618090656266893</c:v>
                </c:pt>
                <c:pt idx="25">
                  <c:v>0.56267241299065418</c:v>
                </c:pt>
                <c:pt idx="26">
                  <c:v>0.83734350059610363</c:v>
                </c:pt>
                <c:pt idx="27">
                  <c:v>0.83675680322438362</c:v>
                </c:pt>
                <c:pt idx="28">
                  <c:v>0.90782338610816515</c:v>
                </c:pt>
                <c:pt idx="29">
                  <c:v>0.74202178617578463</c:v>
                </c:pt>
                <c:pt idx="30">
                  <c:v>0.70556867372303311</c:v>
                </c:pt>
                <c:pt idx="31">
                  <c:v>0.74914003113246386</c:v>
                </c:pt>
                <c:pt idx="32">
                  <c:v>0.73137015574151332</c:v>
                </c:pt>
                <c:pt idx="33">
                  <c:v>0.85600333490307057</c:v>
                </c:pt>
                <c:pt idx="34">
                  <c:v>0.69154648353873305</c:v>
                </c:pt>
                <c:pt idx="35">
                  <c:v>0.61054577798321175</c:v>
                </c:pt>
                <c:pt idx="36">
                  <c:v>0.52427404528572319</c:v>
                </c:pt>
                <c:pt idx="37">
                  <c:v>0.71923526483724776</c:v>
                </c:pt>
                <c:pt idx="38">
                  <c:v>0.74614396076028255</c:v>
                </c:pt>
                <c:pt idx="39">
                  <c:v>0.86383694578143055</c:v>
                </c:pt>
                <c:pt idx="40">
                  <c:v>0.87326675058113867</c:v>
                </c:pt>
                <c:pt idx="41">
                  <c:v>0.64048867957630129</c:v>
                </c:pt>
                <c:pt idx="42">
                  <c:v>0.641595147483491</c:v>
                </c:pt>
                <c:pt idx="43">
                  <c:v>0.8715451884062444</c:v>
                </c:pt>
                <c:pt idx="44">
                  <c:v>0.66490889303944611</c:v>
                </c:pt>
                <c:pt idx="45">
                  <c:v>0.69713865440163247</c:v>
                </c:pt>
                <c:pt idx="46">
                  <c:v>0.73207525256082584</c:v>
                </c:pt>
                <c:pt idx="47">
                  <c:v>0.73796953890132266</c:v>
                </c:pt>
                <c:pt idx="48">
                  <c:v>0.78215097398780098</c:v>
                </c:pt>
                <c:pt idx="49">
                  <c:v>0.97974433791144144</c:v>
                </c:pt>
                <c:pt idx="50">
                  <c:v>1.0380681308336641</c:v>
                </c:pt>
                <c:pt idx="51">
                  <c:v>0.91462717668632787</c:v>
                </c:pt>
                <c:pt idx="52">
                  <c:v>0.97537538442118554</c:v>
                </c:pt>
                <c:pt idx="53">
                  <c:v>0.98252240399313706</c:v>
                </c:pt>
                <c:pt idx="54">
                  <c:v>0.84445552031985327</c:v>
                </c:pt>
                <c:pt idx="55">
                  <c:v>1.0475925272342235</c:v>
                </c:pt>
                <c:pt idx="56">
                  <c:v>1.0896197999642774</c:v>
                </c:pt>
                <c:pt idx="57">
                  <c:v>1.0155987164670042</c:v>
                </c:pt>
                <c:pt idx="58">
                  <c:v>0.99339901038694345</c:v>
                </c:pt>
                <c:pt idx="59">
                  <c:v>1.0300034246285035</c:v>
                </c:pt>
                <c:pt idx="60">
                  <c:v>1.0275757832405468</c:v>
                </c:pt>
                <c:pt idx="61">
                  <c:v>0.92372047927481082</c:v>
                </c:pt>
                <c:pt idx="62">
                  <c:v>0.93318430969299437</c:v>
                </c:pt>
                <c:pt idx="63">
                  <c:v>1.1135036486159828</c:v>
                </c:pt>
                <c:pt idx="64">
                  <c:v>1.4752419074221403</c:v>
                </c:pt>
                <c:pt idx="65">
                  <c:v>1.4696761546084374</c:v>
                </c:pt>
                <c:pt idx="66">
                  <c:v>1.4009288627650944</c:v>
                </c:pt>
                <c:pt idx="67">
                  <c:v>1.5154025246380687</c:v>
                </c:pt>
                <c:pt idx="68">
                  <c:v>1.5680455074548185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DF-4DEF-B3D3-CE79A7864742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'Well_A-7'!$N$1:$N$69</c:f>
              <c:strCache>
                <c:ptCount val="69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62</c:v>
                </c:pt>
                <c:pt idx="4">
                  <c:v>91</c:v>
                </c:pt>
                <c:pt idx="5">
                  <c:v>122</c:v>
                </c:pt>
                <c:pt idx="6">
                  <c:v>152</c:v>
                </c:pt>
                <c:pt idx="7">
                  <c:v>183</c:v>
                </c:pt>
                <c:pt idx="8">
                  <c:v>213</c:v>
                </c:pt>
                <c:pt idx="9">
                  <c:v>244</c:v>
                </c:pt>
                <c:pt idx="10">
                  <c:v>275</c:v>
                </c:pt>
                <c:pt idx="11">
                  <c:v>305</c:v>
                </c:pt>
                <c:pt idx="12">
                  <c:v>336</c:v>
                </c:pt>
                <c:pt idx="13">
                  <c:v>366</c:v>
                </c:pt>
                <c:pt idx="14">
                  <c:v>397</c:v>
                </c:pt>
                <c:pt idx="15">
                  <c:v>428</c:v>
                </c:pt>
                <c:pt idx="16">
                  <c:v>456</c:v>
                </c:pt>
                <c:pt idx="17">
                  <c:v>487</c:v>
                </c:pt>
                <c:pt idx="18">
                  <c:v>517</c:v>
                </c:pt>
                <c:pt idx="19">
                  <c:v>548</c:v>
                </c:pt>
                <c:pt idx="20">
                  <c:v>578</c:v>
                </c:pt>
                <c:pt idx="21">
                  <c:v>609</c:v>
                </c:pt>
                <c:pt idx="22">
                  <c:v>640</c:v>
                </c:pt>
                <c:pt idx="23">
                  <c:v>670</c:v>
                </c:pt>
                <c:pt idx="24">
                  <c:v>701</c:v>
                </c:pt>
                <c:pt idx="25">
                  <c:v>731</c:v>
                </c:pt>
                <c:pt idx="26">
                  <c:v>762</c:v>
                </c:pt>
                <c:pt idx="27">
                  <c:v>793</c:v>
                </c:pt>
                <c:pt idx="28">
                  <c:v>821</c:v>
                </c:pt>
                <c:pt idx="29">
                  <c:v>852</c:v>
                </c:pt>
                <c:pt idx="30">
                  <c:v>882</c:v>
                </c:pt>
                <c:pt idx="31">
                  <c:v>913</c:v>
                </c:pt>
                <c:pt idx="32">
                  <c:v>943</c:v>
                </c:pt>
                <c:pt idx="33">
                  <c:v>974</c:v>
                </c:pt>
                <c:pt idx="34">
                  <c:v>1005</c:v>
                </c:pt>
                <c:pt idx="35">
                  <c:v>1035</c:v>
                </c:pt>
                <c:pt idx="36">
                  <c:v>1066</c:v>
                </c:pt>
                <c:pt idx="37">
                  <c:v>1096</c:v>
                </c:pt>
                <c:pt idx="38">
                  <c:v>1127</c:v>
                </c:pt>
                <c:pt idx="39">
                  <c:v>1158</c:v>
                </c:pt>
                <c:pt idx="40">
                  <c:v>1186</c:v>
                </c:pt>
                <c:pt idx="41">
                  <c:v>1217</c:v>
                </c:pt>
                <c:pt idx="42">
                  <c:v>1247</c:v>
                </c:pt>
                <c:pt idx="43">
                  <c:v>1278</c:v>
                </c:pt>
                <c:pt idx="44">
                  <c:v>1308</c:v>
                </c:pt>
                <c:pt idx="45">
                  <c:v>1339</c:v>
                </c:pt>
                <c:pt idx="46">
                  <c:v>1370</c:v>
                </c:pt>
                <c:pt idx="47">
                  <c:v>1400</c:v>
                </c:pt>
                <c:pt idx="48">
                  <c:v>1431</c:v>
                </c:pt>
                <c:pt idx="49">
                  <c:v>1461</c:v>
                </c:pt>
                <c:pt idx="50">
                  <c:v>1492</c:v>
                </c:pt>
                <c:pt idx="51">
                  <c:v>1523</c:v>
                </c:pt>
                <c:pt idx="52">
                  <c:v>1552</c:v>
                </c:pt>
                <c:pt idx="53">
                  <c:v>1583</c:v>
                </c:pt>
                <c:pt idx="54">
                  <c:v>1613</c:v>
                </c:pt>
                <c:pt idx="55">
                  <c:v>1644</c:v>
                </c:pt>
                <c:pt idx="56">
                  <c:v>1674</c:v>
                </c:pt>
                <c:pt idx="57">
                  <c:v>1705</c:v>
                </c:pt>
                <c:pt idx="58">
                  <c:v>1736</c:v>
                </c:pt>
                <c:pt idx="59">
                  <c:v>1766</c:v>
                </c:pt>
                <c:pt idx="60">
                  <c:v>1797</c:v>
                </c:pt>
                <c:pt idx="61">
                  <c:v>1827</c:v>
                </c:pt>
                <c:pt idx="62">
                  <c:v>1858</c:v>
                </c:pt>
                <c:pt idx="63">
                  <c:v>1889</c:v>
                </c:pt>
                <c:pt idx="64">
                  <c:v>1917</c:v>
                </c:pt>
                <c:pt idx="65">
                  <c:v>1948</c:v>
                </c:pt>
                <c:pt idx="66">
                  <c:v>1978</c:v>
                </c:pt>
                <c:pt idx="67">
                  <c:v>2009</c:v>
                </c:pt>
                <c:pt idx="68">
                  <c:v>2039</c:v>
                </c:pt>
              </c:strCache>
            </c:strRef>
          </c:xVal>
          <c:yVal>
            <c:numRef>
              <c:f>'Well_A-7'!$R:$R</c:f>
              <c:numCache>
                <c:formatCode>General</c:formatCode>
                <c:ptCount val="1048576"/>
                <c:pt idx="0">
                  <c:v>0</c:v>
                </c:pt>
                <c:pt idx="1">
                  <c:v>-3.9911197776424805E-4</c:v>
                </c:pt>
                <c:pt idx="2">
                  <c:v>2.1654912530177944E-4</c:v>
                </c:pt>
                <c:pt idx="3">
                  <c:v>2.1272900191781095E-4</c:v>
                </c:pt>
                <c:pt idx="4">
                  <c:v>6.0728272509524276E-5</c:v>
                </c:pt>
                <c:pt idx="5">
                  <c:v>5.154181038673789E-6</c:v>
                </c:pt>
                <c:pt idx="6">
                  <c:v>1.2978993232370636E-4</c:v>
                </c:pt>
                <c:pt idx="7">
                  <c:v>-7.1098141167311635E-5</c:v>
                </c:pt>
                <c:pt idx="8">
                  <c:v>9.9196168723983248E-5</c:v>
                </c:pt>
                <c:pt idx="9">
                  <c:v>9.9312464273415218E-5</c:v>
                </c:pt>
                <c:pt idx="10">
                  <c:v>2.7451158345762245E-4</c:v>
                </c:pt>
                <c:pt idx="11">
                  <c:v>1.1438073399241004E-4</c:v>
                </c:pt>
                <c:pt idx="12">
                  <c:v>-1.1496779374974726E-4</c:v>
                </c:pt>
                <c:pt idx="13">
                  <c:v>-3.8772879521645768E-4</c:v>
                </c:pt>
                <c:pt idx="14">
                  <c:v>-2.2284570137520273E-4</c:v>
                </c:pt>
                <c:pt idx="15">
                  <c:v>1.0831297972901423E-3</c:v>
                </c:pt>
                <c:pt idx="16">
                  <c:v>9.5159833346009309E-4</c:v>
                </c:pt>
                <c:pt idx="17">
                  <c:v>-9.1265302451909219E-4</c:v>
                </c:pt>
                <c:pt idx="18">
                  <c:v>1.6108555267450755E-3</c:v>
                </c:pt>
                <c:pt idx="19">
                  <c:v>2.1467640728884468E-3</c:v>
                </c:pt>
                <c:pt idx="20">
                  <c:v>-9.1928627902974859E-4</c:v>
                </c:pt>
                <c:pt idx="21">
                  <c:v>1.4229639910454744E-3</c:v>
                </c:pt>
                <c:pt idx="22">
                  <c:v>9.3410967144374468E-3</c:v>
                </c:pt>
                <c:pt idx="23">
                  <c:v>2.7694199766798433E-3</c:v>
                </c:pt>
                <c:pt idx="24">
                  <c:v>5.4971688093284155E-4</c:v>
                </c:pt>
                <c:pt idx="25">
                  <c:v>8.8603576646919171E-3</c:v>
                </c:pt>
                <c:pt idx="26">
                  <c:v>-1.8925721668387517E-5</c:v>
                </c:pt>
                <c:pt idx="27">
                  <c:v>2.5380922458493405E-3</c:v>
                </c:pt>
                <c:pt idx="28">
                  <c:v>-5.3484387074961464E-3</c:v>
                </c:pt>
                <c:pt idx="29">
                  <c:v>-1.2151037484250504E-3</c:v>
                </c:pt>
                <c:pt idx="30">
                  <c:v>1.4055276583687336E-3</c:v>
                </c:pt>
                <c:pt idx="31">
                  <c:v>-5.9232917969835131E-4</c:v>
                </c:pt>
                <c:pt idx="32">
                  <c:v>4.0204251342437821E-3</c:v>
                </c:pt>
                <c:pt idx="33">
                  <c:v>-5.3050597214302428E-3</c:v>
                </c:pt>
                <c:pt idx="34">
                  <c:v>-2.7000235185173768E-3</c:v>
                </c:pt>
                <c:pt idx="35">
                  <c:v>-2.7829591192738245E-3</c:v>
                </c:pt>
                <c:pt idx="36">
                  <c:v>6.4987073183841526E-3</c:v>
                </c:pt>
                <c:pt idx="37">
                  <c:v>8.6802244913015481E-4</c:v>
                </c:pt>
                <c:pt idx="38">
                  <c:v>3.796547903908E-3</c:v>
                </c:pt>
                <c:pt idx="39">
                  <c:v>3.3677874284671853E-4</c:v>
                </c:pt>
                <c:pt idx="40">
                  <c:v>-7.508970032414109E-3</c:v>
                </c:pt>
                <c:pt idx="41">
                  <c:v>3.6882263572990402E-5</c:v>
                </c:pt>
                <c:pt idx="42">
                  <c:v>7.4177432555726898E-3</c:v>
                </c:pt>
                <c:pt idx="43">
                  <c:v>-6.8878765122266095E-3</c:v>
                </c:pt>
                <c:pt idx="44">
                  <c:v>1.0396697213608504E-3</c:v>
                </c:pt>
                <c:pt idx="45">
                  <c:v>1.1269870373933344E-3</c:v>
                </c:pt>
                <c:pt idx="46">
                  <c:v>1.9647621134989414E-4</c:v>
                </c:pt>
                <c:pt idx="47">
                  <c:v>1.4252075834347844E-3</c:v>
                </c:pt>
                <c:pt idx="48">
                  <c:v>6.5864454641213488E-3</c:v>
                </c:pt>
                <c:pt idx="49">
                  <c:v>1.8814126749104089E-3</c:v>
                </c:pt>
                <c:pt idx="50">
                  <c:v>-3.9819662628172983E-3</c:v>
                </c:pt>
                <c:pt idx="51">
                  <c:v>2.0947657839606093E-3</c:v>
                </c:pt>
                <c:pt idx="52">
                  <c:v>2.3054901845004897E-4</c:v>
                </c:pt>
                <c:pt idx="53">
                  <c:v>-4.6022294557761263E-3</c:v>
                </c:pt>
                <c:pt idx="54">
                  <c:v>6.5528066746571032E-3</c:v>
                </c:pt>
                <c:pt idx="55">
                  <c:v>1.4009090910017971E-3</c:v>
                </c:pt>
                <c:pt idx="56">
                  <c:v>-2.3877768870088131E-3</c:v>
                </c:pt>
                <c:pt idx="57">
                  <c:v>-7.1611955096970072E-4</c:v>
                </c:pt>
                <c:pt idx="58">
                  <c:v>1.2201471413853342E-3</c:v>
                </c:pt>
                <c:pt idx="59">
                  <c:v>-7.831101251473235E-5</c:v>
                </c:pt>
                <c:pt idx="60">
                  <c:v>-3.4618434655245317E-3</c:v>
                </c:pt>
                <c:pt idx="61">
                  <c:v>3.0528485219946937E-4</c:v>
                </c:pt>
                <c:pt idx="62">
                  <c:v>5.8167528684834983E-3</c:v>
                </c:pt>
                <c:pt idx="63">
                  <c:v>1.2919223528791339E-2</c:v>
                </c:pt>
                <c:pt idx="64">
                  <c:v>-1.795404133452572E-4</c:v>
                </c:pt>
                <c:pt idx="65">
                  <c:v>-2.2915763947780978E-3</c:v>
                </c:pt>
                <c:pt idx="66">
                  <c:v>3.6926987700959435E-3</c:v>
                </c:pt>
                <c:pt idx="67">
                  <c:v>1.7547660938916612E-3</c:v>
                </c:pt>
                <c:pt idx="68">
                  <c:v>7.6902673244473693E-4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DF-4DEF-B3D3-CE79A786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295056"/>
        <c:axId val="316295536"/>
      </c:scatterChart>
      <c:valAx>
        <c:axId val="3162950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95536"/>
        <c:crosses val="autoZero"/>
        <c:crossBetween val="midCat"/>
      </c:valAx>
      <c:valAx>
        <c:axId val="316295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9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</a:t>
            </a:r>
            <a:r>
              <a:rPr lang="en-IN" baseline="0"/>
              <a:t> &amp; WOR' VS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6041311642036943E-2"/>
          <c:y val="0.13756631031159441"/>
          <c:w val="0.91470375831749495"/>
          <c:h val="0.71512547368444257"/>
        </c:manualLayout>
      </c:layout>
      <c:scatterChart>
        <c:scatterStyle val="smoothMarker"/>
        <c:varyColors val="0"/>
        <c:ser>
          <c:idx val="1"/>
          <c:order val="0"/>
          <c:tx>
            <c:v>WOR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'Well_A-8'!$N$1:$N$43</c:f>
              <c:strCache>
                <c:ptCount val="43"/>
                <c:pt idx="0">
                  <c:v>TIME</c:v>
                </c:pt>
                <c:pt idx="1">
                  <c:v>0</c:v>
                </c:pt>
                <c:pt idx="2">
                  <c:v>28</c:v>
                </c:pt>
                <c:pt idx="3">
                  <c:v>59</c:v>
                </c:pt>
                <c:pt idx="4">
                  <c:v>89</c:v>
                </c:pt>
                <c:pt idx="5">
                  <c:v>120</c:v>
                </c:pt>
                <c:pt idx="6">
                  <c:v>150</c:v>
                </c:pt>
                <c:pt idx="7">
                  <c:v>181</c:v>
                </c:pt>
                <c:pt idx="8">
                  <c:v>212</c:v>
                </c:pt>
                <c:pt idx="9">
                  <c:v>242</c:v>
                </c:pt>
                <c:pt idx="10">
                  <c:v>273</c:v>
                </c:pt>
                <c:pt idx="11">
                  <c:v>303</c:v>
                </c:pt>
                <c:pt idx="12">
                  <c:v>334</c:v>
                </c:pt>
                <c:pt idx="13">
                  <c:v>365</c:v>
                </c:pt>
                <c:pt idx="14">
                  <c:v>393</c:v>
                </c:pt>
                <c:pt idx="15">
                  <c:v>424</c:v>
                </c:pt>
                <c:pt idx="16">
                  <c:v>454</c:v>
                </c:pt>
                <c:pt idx="17">
                  <c:v>485</c:v>
                </c:pt>
                <c:pt idx="18">
                  <c:v>515</c:v>
                </c:pt>
                <c:pt idx="19">
                  <c:v>546</c:v>
                </c:pt>
                <c:pt idx="20">
                  <c:v>577</c:v>
                </c:pt>
                <c:pt idx="21">
                  <c:v>607</c:v>
                </c:pt>
                <c:pt idx="22">
                  <c:v>638</c:v>
                </c:pt>
                <c:pt idx="23">
                  <c:v>668</c:v>
                </c:pt>
                <c:pt idx="24">
                  <c:v>699</c:v>
                </c:pt>
                <c:pt idx="25">
                  <c:v>730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</c:strCache>
            </c:strRef>
          </c:xVal>
          <c:yVal>
            <c:numRef>
              <c:f>'Well_A-8'!$O$1:$O$43</c:f>
              <c:numCache>
                <c:formatCode>General</c:formatCode>
                <c:ptCount val="43"/>
                <c:pt idx="0">
                  <c:v>0</c:v>
                </c:pt>
                <c:pt idx="1">
                  <c:v>0.1287683343816893</c:v>
                </c:pt>
                <c:pt idx="2">
                  <c:v>5.4496599659643673E-2</c:v>
                </c:pt>
                <c:pt idx="3">
                  <c:v>1.7938614128946727E-2</c:v>
                </c:pt>
                <c:pt idx="4">
                  <c:v>1.6484973447720104E-2</c:v>
                </c:pt>
                <c:pt idx="5">
                  <c:v>1.7752519775602833E-2</c:v>
                </c:pt>
                <c:pt idx="6">
                  <c:v>1.9051561513041285E-2</c:v>
                </c:pt>
                <c:pt idx="7">
                  <c:v>2.1960609605636276E-2</c:v>
                </c:pt>
                <c:pt idx="8">
                  <c:v>1.721021043496241E-2</c:v>
                </c:pt>
                <c:pt idx="9">
                  <c:v>1.5817232025747922E-2</c:v>
                </c:pt>
                <c:pt idx="10">
                  <c:v>2.6952866706558224E-2</c:v>
                </c:pt>
                <c:pt idx="11">
                  <c:v>6.4455276659717814E-2</c:v>
                </c:pt>
                <c:pt idx="12">
                  <c:v>8.8050499213728983E-2</c:v>
                </c:pt>
                <c:pt idx="13">
                  <c:v>9.4171080103473567E-2</c:v>
                </c:pt>
                <c:pt idx="14">
                  <c:v>0.11207736309934077</c:v>
                </c:pt>
                <c:pt idx="15">
                  <c:v>0.13654406193172991</c:v>
                </c:pt>
                <c:pt idx="16">
                  <c:v>0.13622840207815998</c:v>
                </c:pt>
                <c:pt idx="17">
                  <c:v>0.21154024853938802</c:v>
                </c:pt>
                <c:pt idx="18">
                  <c:v>0.22548110200188431</c:v>
                </c:pt>
                <c:pt idx="19">
                  <c:v>0.26599818135296283</c:v>
                </c:pt>
                <c:pt idx="20">
                  <c:v>0.30436793660226114</c:v>
                </c:pt>
                <c:pt idx="21">
                  <c:v>0.3176505831592103</c:v>
                </c:pt>
                <c:pt idx="22">
                  <c:v>0.36226945401912147</c:v>
                </c:pt>
                <c:pt idx="23">
                  <c:v>0.50899811910946668</c:v>
                </c:pt>
                <c:pt idx="24">
                  <c:v>0.59424518742556043</c:v>
                </c:pt>
                <c:pt idx="25">
                  <c:v>0.567460476319948</c:v>
                </c:pt>
                <c:pt idx="26">
                  <c:v>0.58619133295617609</c:v>
                </c:pt>
                <c:pt idx="27">
                  <c:v>0.63638507189729654</c:v>
                </c:pt>
                <c:pt idx="28">
                  <c:v>0.5989820891179316</c:v>
                </c:pt>
                <c:pt idx="29">
                  <c:v>0.69049228635762805</c:v>
                </c:pt>
                <c:pt idx="30">
                  <c:v>0.78648479522330272</c:v>
                </c:pt>
                <c:pt idx="31">
                  <c:v>0.72924861600535995</c:v>
                </c:pt>
                <c:pt idx="32">
                  <c:v>0.69931892320478428</c:v>
                </c:pt>
                <c:pt idx="33">
                  <c:v>0.72689773709835603</c:v>
                </c:pt>
                <c:pt idx="34">
                  <c:v>0.73605416462627526</c:v>
                </c:pt>
                <c:pt idx="35">
                  <c:v>0.71741944000642166</c:v>
                </c:pt>
                <c:pt idx="36">
                  <c:v>0.83845973827061415</c:v>
                </c:pt>
                <c:pt idx="37">
                  <c:v>0.92193513771599245</c:v>
                </c:pt>
                <c:pt idx="38">
                  <c:v>1.0448621389217352</c:v>
                </c:pt>
                <c:pt idx="39">
                  <c:v>1.0352386492535144</c:v>
                </c:pt>
                <c:pt idx="40">
                  <c:v>1.0124520815530502</c:v>
                </c:pt>
                <c:pt idx="41">
                  <c:v>1.0995716387755321</c:v>
                </c:pt>
                <c:pt idx="42">
                  <c:v>1.1511570827346085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EE-444A-BE42-F2600E32C704}"/>
            </c:ext>
          </c:extLst>
        </c:ser>
        <c:ser>
          <c:idx val="2"/>
          <c:order val="1"/>
          <c:tx>
            <c:v>WOR'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'Well_A-8'!$N$1:$N$43</c:f>
              <c:strCache>
                <c:ptCount val="43"/>
                <c:pt idx="0">
                  <c:v>TIME</c:v>
                </c:pt>
                <c:pt idx="1">
                  <c:v>0</c:v>
                </c:pt>
                <c:pt idx="2">
                  <c:v>28</c:v>
                </c:pt>
                <c:pt idx="3">
                  <c:v>59</c:v>
                </c:pt>
                <c:pt idx="4">
                  <c:v>89</c:v>
                </c:pt>
                <c:pt idx="5">
                  <c:v>120</c:v>
                </c:pt>
                <c:pt idx="6">
                  <c:v>150</c:v>
                </c:pt>
                <c:pt idx="7">
                  <c:v>181</c:v>
                </c:pt>
                <c:pt idx="8">
                  <c:v>212</c:v>
                </c:pt>
                <c:pt idx="9">
                  <c:v>242</c:v>
                </c:pt>
                <c:pt idx="10">
                  <c:v>273</c:v>
                </c:pt>
                <c:pt idx="11">
                  <c:v>303</c:v>
                </c:pt>
                <c:pt idx="12">
                  <c:v>334</c:v>
                </c:pt>
                <c:pt idx="13">
                  <c:v>365</c:v>
                </c:pt>
                <c:pt idx="14">
                  <c:v>393</c:v>
                </c:pt>
                <c:pt idx="15">
                  <c:v>424</c:v>
                </c:pt>
                <c:pt idx="16">
                  <c:v>454</c:v>
                </c:pt>
                <c:pt idx="17">
                  <c:v>485</c:v>
                </c:pt>
                <c:pt idx="18">
                  <c:v>515</c:v>
                </c:pt>
                <c:pt idx="19">
                  <c:v>546</c:v>
                </c:pt>
                <c:pt idx="20">
                  <c:v>577</c:v>
                </c:pt>
                <c:pt idx="21">
                  <c:v>607</c:v>
                </c:pt>
                <c:pt idx="22">
                  <c:v>638</c:v>
                </c:pt>
                <c:pt idx="23">
                  <c:v>668</c:v>
                </c:pt>
                <c:pt idx="24">
                  <c:v>699</c:v>
                </c:pt>
                <c:pt idx="25">
                  <c:v>730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</c:strCache>
            </c:strRef>
          </c:xVal>
          <c:yVal>
            <c:numRef>
              <c:f>'Well_A-8'!$R:$R</c:f>
              <c:numCache>
                <c:formatCode>General</c:formatCode>
                <c:ptCount val="1048576"/>
                <c:pt idx="0">
                  <c:v>0</c:v>
                </c:pt>
                <c:pt idx="1">
                  <c:v>-2.6525619543587725E-3</c:v>
                </c:pt>
                <c:pt idx="2">
                  <c:v>-1.1792898558289338E-3</c:v>
                </c:pt>
                <c:pt idx="3">
                  <c:v>-4.8454689374220761E-5</c:v>
                </c:pt>
                <c:pt idx="4">
                  <c:v>4.0888591222023526E-5</c:v>
                </c:pt>
                <c:pt idx="5">
                  <c:v>4.3301391247948377E-5</c:v>
                </c:pt>
                <c:pt idx="6">
                  <c:v>9.3840261051451339E-5</c:v>
                </c:pt>
                <c:pt idx="7">
                  <c:v>-1.5323868292496342E-4</c:v>
                </c:pt>
                <c:pt idx="8">
                  <c:v>-4.6432613640482942E-5</c:v>
                </c:pt>
                <c:pt idx="9">
                  <c:v>3.5921402196162263E-4</c:v>
                </c:pt>
                <c:pt idx="10">
                  <c:v>1.2500803317719864E-3</c:v>
                </c:pt>
                <c:pt idx="11">
                  <c:v>7.6113621141971511E-4</c:v>
                </c:pt>
                <c:pt idx="12">
                  <c:v>1.9743809321756724E-4</c:v>
                </c:pt>
                <c:pt idx="13">
                  <c:v>6.3951010699525731E-4</c:v>
                </c:pt>
                <c:pt idx="14">
                  <c:v>7.8924834943190766E-4</c:v>
                </c:pt>
                <c:pt idx="15">
                  <c:v>-1.0521995118997763E-5</c:v>
                </c:pt>
                <c:pt idx="16">
                  <c:v>2.4294144019750981E-3</c:v>
                </c:pt>
                <c:pt idx="17">
                  <c:v>4.6469511541654313E-4</c:v>
                </c:pt>
                <c:pt idx="18">
                  <c:v>1.30700255971221E-3</c:v>
                </c:pt>
                <c:pt idx="19">
                  <c:v>1.2377340402999456E-3</c:v>
                </c:pt>
                <c:pt idx="20">
                  <c:v>4.4275488523163876E-4</c:v>
                </c:pt>
                <c:pt idx="21">
                  <c:v>1.4393184148358443E-3</c:v>
                </c:pt>
                <c:pt idx="22">
                  <c:v>4.8909555030115072E-3</c:v>
                </c:pt>
                <c:pt idx="23">
                  <c:v>2.7499054295514109E-3</c:v>
                </c:pt>
                <c:pt idx="24">
                  <c:v>-8.640229388907234E-4</c:v>
                </c:pt>
                <c:pt idx="25">
                  <c:v>6.4589160814579609E-4</c:v>
                </c:pt>
                <c:pt idx="26">
                  <c:v>1.6191528690684014E-3</c:v>
                </c:pt>
                <c:pt idx="27">
                  <c:v>-1.2467660926454979E-3</c:v>
                </c:pt>
                <c:pt idx="28">
                  <c:v>2.9519418464418207E-3</c:v>
                </c:pt>
                <c:pt idx="29">
                  <c:v>3.1997502955224892E-3</c:v>
                </c:pt>
                <c:pt idx="30">
                  <c:v>-1.8463283618691216E-3</c:v>
                </c:pt>
                <c:pt idx="31">
                  <c:v>-9.6547396130889252E-4</c:v>
                </c:pt>
                <c:pt idx="32">
                  <c:v>9.1929379645239173E-4</c:v>
                </c:pt>
                <c:pt idx="33">
                  <c:v>2.9536862993287844E-4</c:v>
                </c:pt>
                <c:pt idx="34">
                  <c:v>-6.2115748732845353E-4</c:v>
                </c:pt>
                <c:pt idx="35">
                  <c:v>3.9045257504578225E-3</c:v>
                </c:pt>
                <c:pt idx="36">
                  <c:v>2.6927548208186547E-3</c:v>
                </c:pt>
                <c:pt idx="37">
                  <c:v>4.3902500430622405E-3</c:v>
                </c:pt>
                <c:pt idx="38">
                  <c:v>-3.1043515058776764E-4</c:v>
                </c:pt>
                <c:pt idx="39">
                  <c:v>-7.595522566821389E-4</c:v>
                </c:pt>
                <c:pt idx="40">
                  <c:v>2.8103082974994154E-3</c:v>
                </c:pt>
                <c:pt idx="41">
                  <c:v>1.7195147986358793E-3</c:v>
                </c:pt>
                <c:pt idx="42">
                  <c:v>9.2388208887207745E-4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EE-444A-BE42-F2600E32C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964464"/>
        <c:axId val="1916966864"/>
      </c:scatterChart>
      <c:valAx>
        <c:axId val="19169644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66864"/>
        <c:crosses val="autoZero"/>
        <c:crossBetween val="midCat"/>
      </c:valAx>
      <c:valAx>
        <c:axId val="1916966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7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6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AD-4681-B2AF-880B85806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471376"/>
        <c:axId val="2083471856"/>
      </c:scatterChart>
      <c:valAx>
        <c:axId val="20834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71856"/>
        <c:crosses val="autoZero"/>
        <c:crossBetween val="midCat"/>
      </c:valAx>
      <c:valAx>
        <c:axId val="20834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7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62-40AE-A9B0-861472ECB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91632"/>
        <c:axId val="412092592"/>
      </c:scatterChart>
      <c:valAx>
        <c:axId val="41209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92592"/>
        <c:crosses val="autoZero"/>
        <c:crossBetween val="midCat"/>
      </c:valAx>
      <c:valAx>
        <c:axId val="41209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9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46-4B15-8A23-499BB5F76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91360"/>
        <c:axId val="61164512"/>
      </c:scatterChart>
      <c:valAx>
        <c:axId val="3468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4512"/>
        <c:crosses val="autoZero"/>
        <c:crossBetween val="midCat"/>
      </c:valAx>
      <c:valAx>
        <c:axId val="611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9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11952304"/>
        <c:axId val="411955184"/>
      </c:scatterChart>
      <c:valAx>
        <c:axId val="41195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5184"/>
        <c:crosses val="autoZero"/>
        <c:crossBetween val="midCat"/>
      </c:valAx>
      <c:valAx>
        <c:axId val="4119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'Well_A-9'!$O$1:$O$2</c:f>
              <c:strCache>
                <c:ptCount val="2"/>
                <c:pt idx="0">
                  <c:v>WOR</c:v>
                </c:pt>
                <c:pt idx="1">
                  <c:v>0.278513007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'Well_A-9'!$O$3:$O$43</c:f>
              <c:numCache>
                <c:formatCode>General</c:formatCode>
                <c:ptCount val="41"/>
                <c:pt idx="0">
                  <c:v>0.28377207279310374</c:v>
                </c:pt>
                <c:pt idx="1">
                  <c:v>0.39404849470574238</c:v>
                </c:pt>
                <c:pt idx="2">
                  <c:v>0.54192395992565123</c:v>
                </c:pt>
                <c:pt idx="3">
                  <c:v>0.92079603687328271</c:v>
                </c:pt>
                <c:pt idx="4">
                  <c:v>1.0777225551348137</c:v>
                </c:pt>
                <c:pt idx="5">
                  <c:v>0.93197801746004449</c:v>
                </c:pt>
                <c:pt idx="6">
                  <c:v>1.0725367066028895</c:v>
                </c:pt>
                <c:pt idx="7">
                  <c:v>0.81779650067770548</c:v>
                </c:pt>
                <c:pt idx="8">
                  <c:v>1.1696398942647586</c:v>
                </c:pt>
                <c:pt idx="9">
                  <c:v>1.3957715908628621</c:v>
                </c:pt>
                <c:pt idx="10">
                  <c:v>1.5334163509134175</c:v>
                </c:pt>
                <c:pt idx="11">
                  <c:v>1.657520871375918</c:v>
                </c:pt>
                <c:pt idx="12">
                  <c:v>1.5523861663910319</c:v>
                </c:pt>
                <c:pt idx="13">
                  <c:v>1.4838876763328726</c:v>
                </c:pt>
                <c:pt idx="14">
                  <c:v>1.942807689227962</c:v>
                </c:pt>
                <c:pt idx="15">
                  <c:v>1.6828032434537668</c:v>
                </c:pt>
                <c:pt idx="16">
                  <c:v>1.7231450216921194</c:v>
                </c:pt>
                <c:pt idx="17">
                  <c:v>1.7697316413039113</c:v>
                </c:pt>
                <c:pt idx="18">
                  <c:v>1.6016522160409559</c:v>
                </c:pt>
                <c:pt idx="19">
                  <c:v>1.7006463918200676</c:v>
                </c:pt>
                <c:pt idx="20">
                  <c:v>2.3095008768649072</c:v>
                </c:pt>
                <c:pt idx="21">
                  <c:v>2.7921715523542603</c:v>
                </c:pt>
                <c:pt idx="22">
                  <c:v>2.3456792936570716</c:v>
                </c:pt>
                <c:pt idx="23">
                  <c:v>2.3766278785735619</c:v>
                </c:pt>
                <c:pt idx="24">
                  <c:v>2.2698618152089147</c:v>
                </c:pt>
                <c:pt idx="25">
                  <c:v>3.2172228352752392</c:v>
                </c:pt>
                <c:pt idx="26">
                  <c:v>3.5382473441922939</c:v>
                </c:pt>
                <c:pt idx="27">
                  <c:v>3.4016901272607813</c:v>
                </c:pt>
                <c:pt idx="28">
                  <c:v>2.7289097498913635</c:v>
                </c:pt>
                <c:pt idx="29">
                  <c:v>2.0722041531931836</c:v>
                </c:pt>
                <c:pt idx="30">
                  <c:v>2.4292896664469987</c:v>
                </c:pt>
                <c:pt idx="31">
                  <c:v>2.4390882166978569</c:v>
                </c:pt>
                <c:pt idx="32">
                  <c:v>1.9678076706273833</c:v>
                </c:pt>
                <c:pt idx="33">
                  <c:v>2.382684265080337</c:v>
                </c:pt>
                <c:pt idx="34">
                  <c:v>2.6335655504848283</c:v>
                </c:pt>
                <c:pt idx="35">
                  <c:v>2.9678318544547051</c:v>
                </c:pt>
                <c:pt idx="36">
                  <c:v>2.8932501268974513</c:v>
                </c:pt>
                <c:pt idx="37">
                  <c:v>2.9351490804767941</c:v>
                </c:pt>
                <c:pt idx="38">
                  <c:v>3.591260459759587</c:v>
                </c:pt>
                <c:pt idx="39">
                  <c:v>3.6799043085576941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5D-4719-8BB6-4EF902DF3A51}"/>
            </c:ext>
          </c:extLst>
        </c:ser>
        <c:ser>
          <c:idx val="1"/>
          <c:order val="1"/>
          <c:tx>
            <c:strRef>
              <c:f>'Well_A-9'!$P$1:$P$2</c:f>
              <c:strCache>
                <c:ptCount val="2"/>
                <c:pt idx="0">
                  <c:v>WOR'</c:v>
                </c:pt>
                <c:pt idx="1">
                  <c:v>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'Well_A-9'!$P$3:$P$43</c:f>
              <c:numCache>
                <c:formatCode>General</c:formatCode>
                <c:ptCount val="41"/>
                <c:pt idx="0">
                  <c:v>0.23731527983283954</c:v>
                </c:pt>
                <c:pt idx="1">
                  <c:v>0.75993606688556037</c:v>
                </c:pt>
                <c:pt idx="2">
                  <c:v>1.0533751810902541</c:v>
                </c:pt>
                <c:pt idx="3">
                  <c:v>2.7212412299638191E-2</c:v>
                </c:pt>
                <c:pt idx="4">
                  <c:v>-1.5455319769599012E-2</c:v>
                </c:pt>
                <c:pt idx="5">
                  <c:v>-0.39878645775629901</c:v>
                </c:pt>
                <c:pt idx="6">
                  <c:v>0.38718138584649486</c:v>
                </c:pt>
                <c:pt idx="7">
                  <c:v>2.599663434889643</c:v>
                </c:pt>
                <c:pt idx="8">
                  <c:v>1.7892537381769638</c:v>
                </c:pt>
                <c:pt idx="9">
                  <c:v>1.4845779467565605</c:v>
                </c:pt>
                <c:pt idx="10">
                  <c:v>0.11758299674768886</c:v>
                </c:pt>
                <c:pt idx="11">
                  <c:v>-1.12353407655903</c:v>
                </c:pt>
                <c:pt idx="12">
                  <c:v>2.7250907963507118</c:v>
                </c:pt>
                <c:pt idx="13">
                  <c:v>1.486388185040828</c:v>
                </c:pt>
                <c:pt idx="14">
                  <c:v>-1.7532079312599105</c:v>
                </c:pt>
                <c:pt idx="15">
                  <c:v>0.72540486724712328</c:v>
                </c:pt>
                <c:pt idx="16">
                  <c:v>-1.091312519429976</c:v>
                </c:pt>
                <c:pt idx="17">
                  <c:v>-0.65570341083188877</c:v>
                </c:pt>
                <c:pt idx="18">
                  <c:v>7.0667770448398866</c:v>
                </c:pt>
                <c:pt idx="19">
                  <c:v>11.452346042942455</c:v>
                </c:pt>
                <c:pt idx="20">
                  <c:v>0.39126510260119385</c:v>
                </c:pt>
                <c:pt idx="21">
                  <c:v>-4.85196987145744</c:v>
                </c:pt>
                <c:pt idx="22">
                  <c:v>-0.92445512594978663</c:v>
                </c:pt>
                <c:pt idx="23">
                  <c:v>10.488042985608756</c:v>
                </c:pt>
                <c:pt idx="24">
                  <c:v>16.470476251917717</c:v>
                </c:pt>
                <c:pt idx="25">
                  <c:v>2.4861438980766164</c:v>
                </c:pt>
                <c:pt idx="26">
                  <c:v>-11.319270455050036</c:v>
                </c:pt>
                <c:pt idx="27">
                  <c:v>-18.948123867442401</c:v>
                </c:pt>
                <c:pt idx="28">
                  <c:v>-4.4901793889329795</c:v>
                </c:pt>
                <c:pt idx="29">
                  <c:v>5.6847299417137069</c:v>
                </c:pt>
                <c:pt idx="30">
                  <c:v>-7.3775238825741027</c:v>
                </c:pt>
                <c:pt idx="31">
                  <c:v>-0.93038026345640057</c:v>
                </c:pt>
                <c:pt idx="32">
                  <c:v>11.132019631965891</c:v>
                </c:pt>
                <c:pt idx="33">
                  <c:v>10.574588372850044</c:v>
                </c:pt>
                <c:pt idx="34">
                  <c:v>4.8294096850477537</c:v>
                </c:pt>
                <c:pt idx="35">
                  <c:v>-0.60341224231248358</c:v>
                </c:pt>
                <c:pt idx="36">
                  <c:v>13.241966151947086</c:v>
                </c:pt>
                <c:pt idx="37">
                  <c:v>14.495120107344853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5D-4719-8BB6-4EF902DF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58048"/>
        <c:axId val="313461408"/>
      </c:scatterChart>
      <c:valAx>
        <c:axId val="3134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61408"/>
        <c:crosses val="autoZero"/>
        <c:crossBetween val="midCat"/>
      </c:valAx>
      <c:valAx>
        <c:axId val="31346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5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'Well_A-9'!$O$1:$O$2</c:f>
              <c:strCache>
                <c:ptCount val="2"/>
                <c:pt idx="0">
                  <c:v>WOR</c:v>
                </c:pt>
                <c:pt idx="1">
                  <c:v>0.278513007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'Well_A-9'!$O$3:$O$43</c:f>
              <c:numCache>
                <c:formatCode>General</c:formatCode>
                <c:ptCount val="41"/>
                <c:pt idx="0">
                  <c:v>0.28377207279310374</c:v>
                </c:pt>
                <c:pt idx="1">
                  <c:v>0.39404849470574238</c:v>
                </c:pt>
                <c:pt idx="2">
                  <c:v>0.54192395992565123</c:v>
                </c:pt>
                <c:pt idx="3">
                  <c:v>0.92079603687328271</c:v>
                </c:pt>
                <c:pt idx="4">
                  <c:v>1.0777225551348137</c:v>
                </c:pt>
                <c:pt idx="5">
                  <c:v>0.93197801746004449</c:v>
                </c:pt>
                <c:pt idx="6">
                  <c:v>1.0725367066028895</c:v>
                </c:pt>
                <c:pt idx="7">
                  <c:v>0.81779650067770548</c:v>
                </c:pt>
                <c:pt idx="8">
                  <c:v>1.1696398942647586</c:v>
                </c:pt>
                <c:pt idx="9">
                  <c:v>1.3957715908628621</c:v>
                </c:pt>
                <c:pt idx="10">
                  <c:v>1.5334163509134175</c:v>
                </c:pt>
                <c:pt idx="11">
                  <c:v>1.657520871375918</c:v>
                </c:pt>
                <c:pt idx="12">
                  <c:v>1.5523861663910319</c:v>
                </c:pt>
                <c:pt idx="13">
                  <c:v>1.4838876763328726</c:v>
                </c:pt>
                <c:pt idx="14">
                  <c:v>1.942807689227962</c:v>
                </c:pt>
                <c:pt idx="15">
                  <c:v>1.6828032434537668</c:v>
                </c:pt>
                <c:pt idx="16">
                  <c:v>1.7231450216921194</c:v>
                </c:pt>
                <c:pt idx="17">
                  <c:v>1.7697316413039113</c:v>
                </c:pt>
                <c:pt idx="18">
                  <c:v>1.6016522160409559</c:v>
                </c:pt>
                <c:pt idx="19">
                  <c:v>1.7006463918200676</c:v>
                </c:pt>
                <c:pt idx="20">
                  <c:v>2.3095008768649072</c:v>
                </c:pt>
                <c:pt idx="21">
                  <c:v>2.7921715523542603</c:v>
                </c:pt>
                <c:pt idx="22">
                  <c:v>2.3456792936570716</c:v>
                </c:pt>
                <c:pt idx="23">
                  <c:v>2.3766278785735619</c:v>
                </c:pt>
                <c:pt idx="24">
                  <c:v>2.2698618152089147</c:v>
                </c:pt>
                <c:pt idx="25">
                  <c:v>3.2172228352752392</c:v>
                </c:pt>
                <c:pt idx="26">
                  <c:v>3.5382473441922939</c:v>
                </c:pt>
                <c:pt idx="27">
                  <c:v>3.4016901272607813</c:v>
                </c:pt>
                <c:pt idx="28">
                  <c:v>2.7289097498913635</c:v>
                </c:pt>
                <c:pt idx="29">
                  <c:v>2.0722041531931836</c:v>
                </c:pt>
                <c:pt idx="30">
                  <c:v>2.4292896664469987</c:v>
                </c:pt>
                <c:pt idx="31">
                  <c:v>2.4390882166978569</c:v>
                </c:pt>
                <c:pt idx="32">
                  <c:v>1.9678076706273833</c:v>
                </c:pt>
                <c:pt idx="33">
                  <c:v>2.382684265080337</c:v>
                </c:pt>
                <c:pt idx="34">
                  <c:v>2.6335655504848283</c:v>
                </c:pt>
                <c:pt idx="35">
                  <c:v>2.9678318544547051</c:v>
                </c:pt>
                <c:pt idx="36">
                  <c:v>2.8932501268974513</c:v>
                </c:pt>
                <c:pt idx="37">
                  <c:v>2.9351490804767941</c:v>
                </c:pt>
                <c:pt idx="38">
                  <c:v>3.591260459759587</c:v>
                </c:pt>
                <c:pt idx="39">
                  <c:v>3.6799043085576941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65-48BF-9F51-789FBAEEB23E}"/>
            </c:ext>
          </c:extLst>
        </c:ser>
        <c:ser>
          <c:idx val="1"/>
          <c:order val="1"/>
          <c:tx>
            <c:strRef>
              <c:f>'Well_A-9'!$P$1:$P$2</c:f>
              <c:strCache>
                <c:ptCount val="2"/>
                <c:pt idx="0">
                  <c:v>WOR'</c:v>
                </c:pt>
                <c:pt idx="1">
                  <c:v>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'Well_A-9'!$P$3:$P$43</c:f>
              <c:numCache>
                <c:formatCode>General</c:formatCode>
                <c:ptCount val="41"/>
                <c:pt idx="0">
                  <c:v>0.23731527983283954</c:v>
                </c:pt>
                <c:pt idx="1">
                  <c:v>0.75993606688556037</c:v>
                </c:pt>
                <c:pt idx="2">
                  <c:v>1.0533751810902541</c:v>
                </c:pt>
                <c:pt idx="3">
                  <c:v>2.7212412299638191E-2</c:v>
                </c:pt>
                <c:pt idx="4">
                  <c:v>-1.5455319769599012E-2</c:v>
                </c:pt>
                <c:pt idx="5">
                  <c:v>-0.39878645775629901</c:v>
                </c:pt>
                <c:pt idx="6">
                  <c:v>0.38718138584649486</c:v>
                </c:pt>
                <c:pt idx="7">
                  <c:v>2.599663434889643</c:v>
                </c:pt>
                <c:pt idx="8">
                  <c:v>1.7892537381769638</c:v>
                </c:pt>
                <c:pt idx="9">
                  <c:v>1.4845779467565605</c:v>
                </c:pt>
                <c:pt idx="10">
                  <c:v>0.11758299674768886</c:v>
                </c:pt>
                <c:pt idx="11">
                  <c:v>-1.12353407655903</c:v>
                </c:pt>
                <c:pt idx="12">
                  <c:v>2.7250907963507118</c:v>
                </c:pt>
                <c:pt idx="13">
                  <c:v>1.486388185040828</c:v>
                </c:pt>
                <c:pt idx="14">
                  <c:v>-1.7532079312599105</c:v>
                </c:pt>
                <c:pt idx="15">
                  <c:v>0.72540486724712328</c:v>
                </c:pt>
                <c:pt idx="16">
                  <c:v>-1.091312519429976</c:v>
                </c:pt>
                <c:pt idx="17">
                  <c:v>-0.65570341083188877</c:v>
                </c:pt>
                <c:pt idx="18">
                  <c:v>7.0667770448398866</c:v>
                </c:pt>
                <c:pt idx="19">
                  <c:v>11.452346042942455</c:v>
                </c:pt>
                <c:pt idx="20">
                  <c:v>0.39126510260119385</c:v>
                </c:pt>
                <c:pt idx="21">
                  <c:v>-4.85196987145744</c:v>
                </c:pt>
                <c:pt idx="22">
                  <c:v>-0.92445512594978663</c:v>
                </c:pt>
                <c:pt idx="23">
                  <c:v>10.488042985608756</c:v>
                </c:pt>
                <c:pt idx="24">
                  <c:v>16.470476251917717</c:v>
                </c:pt>
                <c:pt idx="25">
                  <c:v>2.4861438980766164</c:v>
                </c:pt>
                <c:pt idx="26">
                  <c:v>-11.319270455050036</c:v>
                </c:pt>
                <c:pt idx="27">
                  <c:v>-18.948123867442401</c:v>
                </c:pt>
                <c:pt idx="28">
                  <c:v>-4.4901793889329795</c:v>
                </c:pt>
                <c:pt idx="29">
                  <c:v>5.6847299417137069</c:v>
                </c:pt>
                <c:pt idx="30">
                  <c:v>-7.3775238825741027</c:v>
                </c:pt>
                <c:pt idx="31">
                  <c:v>-0.93038026345640057</c:v>
                </c:pt>
                <c:pt idx="32">
                  <c:v>11.132019631965891</c:v>
                </c:pt>
                <c:pt idx="33">
                  <c:v>10.574588372850044</c:v>
                </c:pt>
                <c:pt idx="34">
                  <c:v>4.8294096850477537</c:v>
                </c:pt>
                <c:pt idx="35">
                  <c:v>-0.60341224231248358</c:v>
                </c:pt>
                <c:pt idx="36">
                  <c:v>13.241966151947086</c:v>
                </c:pt>
                <c:pt idx="37">
                  <c:v>14.495120107344853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65-48BF-9F51-789FBAEEB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437664"/>
        <c:axId val="308603984"/>
      </c:scatterChart>
      <c:valAx>
        <c:axId val="31043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03984"/>
        <c:crosses val="autoZero"/>
        <c:crossBetween val="midCat"/>
      </c:valAx>
      <c:valAx>
        <c:axId val="3086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43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B-40A2-B999-3214433F0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18672"/>
        <c:axId val="338021552"/>
      </c:scatterChart>
      <c:valAx>
        <c:axId val="33801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21552"/>
        <c:crosses val="autoZero"/>
        <c:crossBetween val="midCat"/>
      </c:valAx>
      <c:valAx>
        <c:axId val="3380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1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C5-4FF2-B04F-C2655B31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955120"/>
        <c:axId val="461952240"/>
      </c:scatterChart>
      <c:valAx>
        <c:axId val="46195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52240"/>
        <c:crosses val="autoZero"/>
        <c:crossBetween val="midCat"/>
      </c:valAx>
      <c:valAx>
        <c:axId val="4619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5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'Well_A-9'!$R$1</c:f>
              <c:strCache>
                <c:ptCount val="1"/>
                <c:pt idx="0">
                  <c:v>WOR'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'Well_A-9'!$R$2:$R$42</c:f>
              <c:numCache>
                <c:formatCode>General</c:formatCode>
                <c:ptCount val="41"/>
                <c:pt idx="0">
                  <c:v>1.6964729134437192E-4</c:v>
                </c:pt>
                <c:pt idx="1">
                  <c:v>3.675880730421288E-3</c:v>
                </c:pt>
                <c:pt idx="2">
                  <c:v>4.7701762974164145E-3</c:v>
                </c:pt>
                <c:pt idx="3">
                  <c:v>1.2629069231587716E-2</c:v>
                </c:pt>
                <c:pt idx="4">
                  <c:v>5.0621457503719691E-3</c:v>
                </c:pt>
                <c:pt idx="5">
                  <c:v>-4.7014366991861047E-3</c:v>
                </c:pt>
                <c:pt idx="6">
                  <c:v>4.6852896380948326E-3</c:v>
                </c:pt>
                <c:pt idx="7">
                  <c:v>-8.2174259975865797E-3</c:v>
                </c:pt>
                <c:pt idx="8">
                  <c:v>1.1728113119568435E-2</c:v>
                </c:pt>
                <c:pt idx="9">
                  <c:v>7.2945708580033387E-3</c:v>
                </c:pt>
                <c:pt idx="10">
                  <c:v>4.4401535500179189E-3</c:v>
                </c:pt>
                <c:pt idx="11">
                  <c:v>4.4323043022321583E-3</c:v>
                </c:pt>
                <c:pt idx="12">
                  <c:v>-3.3914420962866481E-3</c:v>
                </c:pt>
                <c:pt idx="13">
                  <c:v>-2.2832830019386447E-3</c:v>
                </c:pt>
                <c:pt idx="14">
                  <c:v>1.4803871383712563E-2</c:v>
                </c:pt>
                <c:pt idx="15">
                  <c:v>-8.666814859139841E-3</c:v>
                </c:pt>
                <c:pt idx="16">
                  <c:v>1.3013476851081488E-3</c:v>
                </c:pt>
                <c:pt idx="17">
                  <c:v>1.5027941810255448E-3</c:v>
                </c:pt>
                <c:pt idx="18">
                  <c:v>-5.6026475087651798E-3</c:v>
                </c:pt>
                <c:pt idx="19">
                  <c:v>3.1933605090036046E-3</c:v>
                </c:pt>
                <c:pt idx="20">
                  <c:v>2.0295149501494653E-2</c:v>
                </c:pt>
                <c:pt idx="21">
                  <c:v>1.5570021789979131E-2</c:v>
                </c:pt>
                <c:pt idx="22">
                  <c:v>-1.4402976087006086E-2</c:v>
                </c:pt>
                <c:pt idx="23">
                  <c:v>1.0671925833272528E-3</c:v>
                </c:pt>
                <c:pt idx="24">
                  <c:v>-3.4440665601499104E-3</c:v>
                </c:pt>
                <c:pt idx="25">
                  <c:v>3.1578700668877482E-2</c:v>
                </c:pt>
                <c:pt idx="26">
                  <c:v>1.035562931990499E-2</c:v>
                </c:pt>
                <c:pt idx="27">
                  <c:v>-4.5519072310504193E-3</c:v>
                </c:pt>
                <c:pt idx="28">
                  <c:v>-2.1702592818368317E-2</c:v>
                </c:pt>
                <c:pt idx="29">
                  <c:v>-2.1184051506392899E-2</c:v>
                </c:pt>
                <c:pt idx="30">
                  <c:v>1.1902850441793837E-2</c:v>
                </c:pt>
                <c:pt idx="31">
                  <c:v>3.1608226615671562E-4</c:v>
                </c:pt>
                <c:pt idx="32">
                  <c:v>-1.5709351535682457E-2</c:v>
                </c:pt>
                <c:pt idx="33">
                  <c:v>1.3383115950095283E-2</c:v>
                </c:pt>
                <c:pt idx="34">
                  <c:v>8.0929446904674605E-3</c:v>
                </c:pt>
                <c:pt idx="35">
                  <c:v>1.1938082284638456E-2</c:v>
                </c:pt>
                <c:pt idx="36">
                  <c:v>-2.4058621792662511E-3</c:v>
                </c:pt>
                <c:pt idx="37">
                  <c:v>1.3966317859780938E-3</c:v>
                </c:pt>
                <c:pt idx="38">
                  <c:v>2.1164883202670737E-2</c:v>
                </c:pt>
                <c:pt idx="39">
                  <c:v>2.9547949599369053E-3</c:v>
                </c:pt>
                <c:pt idx="40">
                  <c:v>3.0212679052197817E-3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E-4630-913C-D131AD6F3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20112"/>
        <c:axId val="316296496"/>
      </c:scatterChart>
      <c:valAx>
        <c:axId val="33802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96496"/>
        <c:crosses val="autoZero"/>
        <c:crossBetween val="midCat"/>
      </c:valAx>
      <c:valAx>
        <c:axId val="3162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2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61934960"/>
        <c:axId val="461935440"/>
      </c:scatterChart>
      <c:valAx>
        <c:axId val="4619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35440"/>
        <c:crosses val="autoZero"/>
        <c:crossBetween val="midCat"/>
      </c:valAx>
      <c:valAx>
        <c:axId val="4619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N(OOIP)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(OOIP)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'M-BAL'!$B$2:$B$30</c:f>
              <c:strCache>
                <c:ptCount val="29"/>
                <c:pt idx="0">
                  <c:v>Date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  <c:pt idx="13">
                  <c:v>Nov-20</c:v>
                </c:pt>
                <c:pt idx="14">
                  <c:v>Dec-20</c:v>
                </c:pt>
                <c:pt idx="15">
                  <c:v>Jan-21</c:v>
                </c:pt>
                <c:pt idx="16">
                  <c:v>Feb-21</c:v>
                </c:pt>
                <c:pt idx="17">
                  <c:v>Mar-21</c:v>
                </c:pt>
                <c:pt idx="18">
                  <c:v>Apr-21</c:v>
                </c:pt>
                <c:pt idx="19">
                  <c:v>May-21</c:v>
                </c:pt>
                <c:pt idx="20">
                  <c:v>Jun-21</c:v>
                </c:pt>
                <c:pt idx="21">
                  <c:v>Jul-21</c:v>
                </c:pt>
                <c:pt idx="22">
                  <c:v>Aug-21</c:v>
                </c:pt>
                <c:pt idx="23">
                  <c:v>Sep-21</c:v>
                </c:pt>
                <c:pt idx="24">
                  <c:v>Oct-21</c:v>
                </c:pt>
                <c:pt idx="25">
                  <c:v>Nov-21</c:v>
                </c:pt>
                <c:pt idx="26">
                  <c:v>Dec-21</c:v>
                </c:pt>
                <c:pt idx="27">
                  <c:v>Jan-22</c:v>
                </c:pt>
                <c:pt idx="28">
                  <c:v>Feb-22</c:v>
                </c:pt>
              </c:strCache>
            </c:strRef>
          </c:xVal>
          <c:yVal>
            <c:numRef>
              <c:f>'M-BAL'!$BB$2:$BB$30</c:f>
              <c:numCache>
                <c:formatCode>General</c:formatCode>
                <c:ptCount val="29"/>
                <c:pt idx="0">
                  <c:v>0</c:v>
                </c:pt>
                <c:pt idx="1">
                  <c:v>35.000000000000007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35.000000000000007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34.999999999999979</c:v>
                </c:pt>
                <c:pt idx="13">
                  <c:v>34.999999999999979</c:v>
                </c:pt>
                <c:pt idx="14">
                  <c:v>35</c:v>
                </c:pt>
                <c:pt idx="15">
                  <c:v>35.000000000000007</c:v>
                </c:pt>
                <c:pt idx="16">
                  <c:v>35.000000000000007</c:v>
                </c:pt>
                <c:pt idx="17">
                  <c:v>35</c:v>
                </c:pt>
                <c:pt idx="18">
                  <c:v>34.999999999999993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35.000000000000014</c:v>
                </c:pt>
                <c:pt idx="24">
                  <c:v>34.999999999999979</c:v>
                </c:pt>
                <c:pt idx="25">
                  <c:v>34.999999999999993</c:v>
                </c:pt>
                <c:pt idx="26">
                  <c:v>34.999999999999979</c:v>
                </c:pt>
                <c:pt idx="27">
                  <c:v>34.999999999999979</c:v>
                </c:pt>
                <c:pt idx="28">
                  <c:v>34.999999999999986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F1-4A0C-98A6-E9F2690A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7360"/>
        <c:axId val="303098320"/>
      </c:scatterChart>
      <c:valAx>
        <c:axId val="303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8320"/>
        <c:crosses val="autoZero"/>
        <c:crossBetween val="midCat"/>
      </c:valAx>
      <c:valAx>
        <c:axId val="30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N(OOIP)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We(BBL)</a:t>
            </a:r>
            <a:r>
              <a:rPr lang="en-US" baseline="0"/>
              <a:t> V/S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5943616416424E-2"/>
          <c:y val="0.11709375088606871"/>
          <c:w val="0.90180594180067897"/>
          <c:h val="0.834073114524562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'M-BAL'!$BG$1</c:f>
              <c:strCache>
                <c:ptCount val="1"/>
                <c:pt idx="0">
                  <c:v>We=Np[Bo+(Rp-Rs)Bg] + Wp*Bw - N { [(Bo-Boi)+(Rsi-Rs)Bg] + [Boi*(Pi-P)* ( (Swc*Cw +Cf) / (1-Swc) )] }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'M-BAL'!$B$2:$B$30</c:f>
              <c:strCache>
                <c:ptCount val="29"/>
                <c:pt idx="0">
                  <c:v>Date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  <c:pt idx="13">
                  <c:v>Nov-20</c:v>
                </c:pt>
                <c:pt idx="14">
                  <c:v>Dec-20</c:v>
                </c:pt>
                <c:pt idx="15">
                  <c:v>Jan-21</c:v>
                </c:pt>
                <c:pt idx="16">
                  <c:v>Feb-21</c:v>
                </c:pt>
                <c:pt idx="17">
                  <c:v>Mar-21</c:v>
                </c:pt>
                <c:pt idx="18">
                  <c:v>Apr-21</c:v>
                </c:pt>
                <c:pt idx="19">
                  <c:v>May-21</c:v>
                </c:pt>
                <c:pt idx="20">
                  <c:v>Jun-21</c:v>
                </c:pt>
                <c:pt idx="21">
                  <c:v>Jul-21</c:v>
                </c:pt>
                <c:pt idx="22">
                  <c:v>Aug-21</c:v>
                </c:pt>
                <c:pt idx="23">
                  <c:v>Sep-21</c:v>
                </c:pt>
                <c:pt idx="24">
                  <c:v>Oct-21</c:v>
                </c:pt>
                <c:pt idx="25">
                  <c:v>Nov-21</c:v>
                </c:pt>
                <c:pt idx="26">
                  <c:v>Dec-21</c:v>
                </c:pt>
                <c:pt idx="27">
                  <c:v>Jan-22</c:v>
                </c:pt>
                <c:pt idx="28">
                  <c:v>Feb-22</c:v>
                </c:pt>
              </c:strCache>
            </c:strRef>
          </c:xVal>
          <c:yVal>
            <c:numRef>
              <c:f>'M-BAL'!$BG$2:$BG$30</c:f>
              <c:numCache>
                <c:formatCode>General</c:formatCode>
                <c:ptCount val="29"/>
                <c:pt idx="1">
                  <c:v>-556861.85247367108</c:v>
                </c:pt>
                <c:pt idx="2">
                  <c:v>-546237.44556380971</c:v>
                </c:pt>
                <c:pt idx="3">
                  <c:v>-567050.95087593782</c:v>
                </c:pt>
                <c:pt idx="4">
                  <c:v>-467678.01176446956</c:v>
                </c:pt>
                <c:pt idx="5">
                  <c:v>-216098.57757634926</c:v>
                </c:pt>
                <c:pt idx="6">
                  <c:v>25999.595043690759</c:v>
                </c:pt>
                <c:pt idx="7">
                  <c:v>287086.43462822924</c:v>
                </c:pt>
                <c:pt idx="8">
                  <c:v>556837.12080875027</c:v>
                </c:pt>
                <c:pt idx="9">
                  <c:v>818438.72248891473</c:v>
                </c:pt>
                <c:pt idx="10">
                  <c:v>1100892.4853490896</c:v>
                </c:pt>
                <c:pt idx="11">
                  <c:v>1387038.6350088886</c:v>
                </c:pt>
                <c:pt idx="12">
                  <c:v>1705856.3409001771</c:v>
                </c:pt>
                <c:pt idx="13">
                  <c:v>2038623.099099013</c:v>
                </c:pt>
                <c:pt idx="14">
                  <c:v>2257796.6927008396</c:v>
                </c:pt>
                <c:pt idx="15">
                  <c:v>2476258.9991370058</c:v>
                </c:pt>
                <c:pt idx="16">
                  <c:v>2671931.0358181968</c:v>
                </c:pt>
                <c:pt idx="17">
                  <c:v>2829377.9347047745</c:v>
                </c:pt>
                <c:pt idx="18">
                  <c:v>2931851.2539684661</c:v>
                </c:pt>
                <c:pt idx="19">
                  <c:v>3086459.449123783</c:v>
                </c:pt>
                <c:pt idx="20">
                  <c:v>3253078.3300079838</c:v>
                </c:pt>
                <c:pt idx="21">
                  <c:v>3430243.9081056211</c:v>
                </c:pt>
                <c:pt idx="22">
                  <c:v>3608246.8470880869</c:v>
                </c:pt>
                <c:pt idx="23">
                  <c:v>3783506.6822309047</c:v>
                </c:pt>
                <c:pt idx="24">
                  <c:v>3996790.8269868437</c:v>
                </c:pt>
                <c:pt idx="25">
                  <c:v>4163255.9501572596</c:v>
                </c:pt>
                <c:pt idx="26">
                  <c:v>4331486.3327789325</c:v>
                </c:pt>
                <c:pt idx="27">
                  <c:v>4500710.2132334681</c:v>
                </c:pt>
                <c:pt idx="28">
                  <c:v>4657089.9803172471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1A-45F7-A17C-FA864C0E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482336"/>
        <c:axId val="771479936"/>
      </c:scatterChart>
      <c:valAx>
        <c:axId val="7714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79936"/>
        <c:crosses val="autoZero"/>
        <c:crossBetween val="midCat"/>
      </c:valAx>
      <c:valAx>
        <c:axId val="771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We(BBL)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DRIVE INDEX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DDI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'M-BAL'!$B$1:$B$30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'M-BAL'!$BL$16:$BL$30</c:f>
              <c:numCache>
                <c:formatCode>General</c:formatCode>
                <c:ptCount val="15"/>
                <c:pt idx="0">
                  <c:v>0.77139680165094393</c:v>
                </c:pt>
                <c:pt idx="1">
                  <c:v>0.71771680905486424</c:v>
                </c:pt>
                <c:pt idx="2">
                  <c:v>0.6731739198076917</c:v>
                </c:pt>
                <c:pt idx="3">
                  <c:v>0.64180234515273726</c:v>
                </c:pt>
                <c:pt idx="4">
                  <c:v>0.62213548479570924</c:v>
                </c:pt>
                <c:pt idx="5">
                  <c:v>0.59408723110255468</c:v>
                </c:pt>
                <c:pt idx="6">
                  <c:v>0.56698869040123279</c:v>
                </c:pt>
                <c:pt idx="7">
                  <c:v>0.54124462373764193</c:v>
                </c:pt>
                <c:pt idx="8">
                  <c:v>0.51742669927475149</c:v>
                </c:pt>
                <c:pt idx="9">
                  <c:v>0.49620949202006498</c:v>
                </c:pt>
                <c:pt idx="10">
                  <c:v>0.47400863930711606</c:v>
                </c:pt>
                <c:pt idx="11">
                  <c:v>0.45925188705854997</c:v>
                </c:pt>
                <c:pt idx="12">
                  <c:v>0.44530429100656665</c:v>
                </c:pt>
                <c:pt idx="13">
                  <c:v>0.43237364394072453</c:v>
                </c:pt>
                <c:pt idx="14">
                  <c:v>0.42199330655176798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FF-4DE2-B110-DE16E9DC80D3}"/>
            </c:ext>
          </c:extLst>
        </c:ser>
        <c:ser>
          <c:idx val="2"/>
          <c:order val="2"/>
          <c:tx>
            <c:v>WDI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'M-BAL'!$B$1:$B$30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'M-BAL'!$BN$16:$BN$30</c:f>
              <c:numCache>
                <c:formatCode>General</c:formatCode>
                <c:ptCount val="15"/>
                <c:pt idx="0">
                  <c:v>1.5596517356260942E-2</c:v>
                </c:pt>
                <c:pt idx="1">
                  <c:v>8.4099227695190043E-2</c:v>
                </c:pt>
                <c:pt idx="2">
                  <c:v>0.14094179588848188</c:v>
                </c:pt>
                <c:pt idx="3">
                  <c:v>0.18097603932877218</c:v>
                </c:pt>
                <c:pt idx="4">
                  <c:v>0.20607353232678816</c:v>
                </c:pt>
                <c:pt idx="5">
                  <c:v>0.24186678238761783</c:v>
                </c:pt>
                <c:pt idx="6">
                  <c:v>0.27644807412210859</c:v>
                </c:pt>
                <c:pt idx="7">
                  <c:v>0.30930087935388201</c:v>
                </c:pt>
                <c:pt idx="8">
                  <c:v>0.3396956745363805</c:v>
                </c:pt>
                <c:pt idx="9">
                  <c:v>0.36677161349384896</c:v>
                </c:pt>
                <c:pt idx="10">
                  <c:v>0.39510281305484585</c:v>
                </c:pt>
                <c:pt idx="11">
                  <c:v>0.41393436417731544</c:v>
                </c:pt>
                <c:pt idx="12">
                  <c:v>0.43173332587730612</c:v>
                </c:pt>
                <c:pt idx="13">
                  <c:v>0.4482345273046513</c:v>
                </c:pt>
                <c:pt idx="14">
                  <c:v>0.46148119912755264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FF-4DE2-B110-DE16E9DC8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10007616"/>
        <c:axId val="410008096"/>
      </c:areaChart>
      <c:lineChart>
        <c:grouping val="standard"/>
        <c:varyColors val="0"/>
        <c:ser>
          <c:idx val="1"/>
          <c:order val="1"/>
          <c:tx>
            <c:v>EDI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'M-BAL'!$B$1:$B$30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'M-BAL'!$BM$16:$BM$30</c:f>
              <c:numCache>
                <c:formatCode>General</c:formatCode>
                <c:ptCount val="15"/>
                <c:pt idx="0">
                  <c:v>0.21300668099279513</c:v>
                </c:pt>
                <c:pt idx="1">
                  <c:v>0.19818396324994572</c:v>
                </c:pt>
                <c:pt idx="2">
                  <c:v>0.18588428430382642</c:v>
                </c:pt>
                <c:pt idx="3">
                  <c:v>0.17722161551849056</c:v>
                </c:pt>
                <c:pt idx="4">
                  <c:v>0.17179098287750261</c:v>
                </c:pt>
                <c:pt idx="5">
                  <c:v>0.16404598650982749</c:v>
                </c:pt>
                <c:pt idx="6">
                  <c:v>0.15656323547665865</c:v>
                </c:pt>
                <c:pt idx="7">
                  <c:v>0.14945449690847606</c:v>
                </c:pt>
                <c:pt idx="8">
                  <c:v>0.14287762618886801</c:v>
                </c:pt>
                <c:pt idx="9">
                  <c:v>0.13701889448608601</c:v>
                </c:pt>
                <c:pt idx="10">
                  <c:v>0.13088854763803806</c:v>
                </c:pt>
                <c:pt idx="11">
                  <c:v>0.12681374876413457</c:v>
                </c:pt>
                <c:pt idx="12">
                  <c:v>0.12296238311612721</c:v>
                </c:pt>
                <c:pt idx="13">
                  <c:v>0.11939182875462419</c:v>
                </c:pt>
                <c:pt idx="14">
                  <c:v>0.11652549432067931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FF-4DE2-B110-DE16E9DC8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07616"/>
        <c:axId val="410008096"/>
      </c:lineChart>
      <c:catAx>
        <c:axId val="41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8096"/>
        <c:crosses val="autoZero"/>
        <c:auto val="1"/>
        <c:lblAlgn val="ctr"/>
        <c:lblOffset val="100"/>
        <c:noMultiLvlLbl val="0"/>
      </c:catAx>
      <c:valAx>
        <c:axId val="410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571499</xdr:colOff>
      <xdr:row>1</xdr:row>
      <xdr:rowOff>142875</xdr:rowOff>
    </xdr:from>
    <xdr:to>
      <xdr:col>42</xdr:col>
      <xdr:colOff>238124</xdr:colOff>
      <xdr:row>43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EAB2-8E23-2987-F825-83479201A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1026531</xdr:colOff>
      <xdr:row>7</xdr:row>
      <xdr:rowOff>143552</xdr:rowOff>
    </xdr:from>
    <xdr:to>
      <xdr:col>15</xdr:col>
      <xdr:colOff>495644</xdr:colOff>
      <xdr:row>19</xdr:row>
      <xdr:rowOff>50467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A3FC6-DE58-5CE3-BA27-1932C2CE7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1702293</xdr:colOff>
      <xdr:row>13</xdr:row>
      <xdr:rowOff>142521</xdr:rowOff>
    </xdr:from>
    <xdr:to>
      <xdr:col>9</xdr:col>
      <xdr:colOff>459419</xdr:colOff>
      <xdr:row>28</xdr:row>
      <xdr:rowOff>111401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515210-E9F1-AD84-F865-74D80531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5774</xdr:colOff>
      <xdr:row>0</xdr:row>
      <xdr:rowOff>473364</xdr:rowOff>
    </xdr:from>
    <xdr:to>
      <xdr:col>28</xdr:col>
      <xdr:colOff>11207</xdr:colOff>
      <xdr:row>25</xdr:row>
      <xdr:rowOff>78441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40849CC6-7E58-ED6A-540D-877A4AB62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372028</xdr:colOff>
      <xdr:row>14</xdr:row>
      <xdr:rowOff>28202</xdr:rowOff>
    </xdr:from>
    <xdr:to>
      <xdr:col>39</xdr:col>
      <xdr:colOff>451036</xdr:colOff>
      <xdr:row>39</xdr:row>
      <xdr:rowOff>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FC46C1-9113-DBF9-E13B-E726F9E5E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400373</xdr:colOff>
      <xdr:row>0</xdr:row>
      <xdr:rowOff>516194</xdr:rowOff>
    </xdr:from>
    <xdr:to>
      <xdr:col>32</xdr:col>
      <xdr:colOff>467032</xdr:colOff>
      <xdr:row>34</xdr:row>
      <xdr:rowOff>98323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88672865-395E-A973-D5B6-2D2434572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543128</xdr:colOff>
      <xdr:row>0</xdr:row>
      <xdr:rowOff>345175</xdr:rowOff>
    </xdr:from>
    <xdr:to>
      <xdr:col>28</xdr:col>
      <xdr:colOff>85305</xdr:colOff>
      <xdr:row>14</xdr:row>
      <xdr:rowOff>47072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BFA210-FEED-A20B-0179-4D2922B28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228600</xdr:colOff>
      <xdr:row>1</xdr:row>
      <xdr:rowOff>102870</xdr:rowOff>
    </xdr:from>
    <xdr:to>
      <xdr:col>24</xdr:col>
      <xdr:colOff>586740</xdr:colOff>
      <xdr:row>17</xdr:row>
      <xdr:rowOff>38878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68BAD462-C1EF-F9A8-1786-E1ABA4BAF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264367</xdr:colOff>
      <xdr:row>4</xdr:row>
      <xdr:rowOff>16328</xdr:rowOff>
    </xdr:from>
    <xdr:to>
      <xdr:col>33</xdr:col>
      <xdr:colOff>342123</xdr:colOff>
      <xdr:row>18</xdr:row>
      <xdr:rowOff>146956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2B9B9-7328-C36F-FC44-BD8DB44CE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502920</xdr:colOff>
      <xdr:row>0</xdr:row>
      <xdr:rowOff>552450</xdr:rowOff>
    </xdr:from>
    <xdr:to>
      <xdr:col>26</xdr:col>
      <xdr:colOff>76200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DAD88-F3AC-3A4D-3248-50BB1BF7A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151087</xdr:colOff>
      <xdr:row>2</xdr:row>
      <xdr:rowOff>105104</xdr:rowOff>
    </xdr:from>
    <xdr:to>
      <xdr:col>31</xdr:col>
      <xdr:colOff>420414</xdr:colOff>
      <xdr:row>32</xdr:row>
      <xdr:rowOff>26276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92B6D-E232-660B-4640-62A0058C1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233946</xdr:colOff>
      <xdr:row>0</xdr:row>
      <xdr:rowOff>588211</xdr:rowOff>
    </xdr:from>
    <xdr:to>
      <xdr:col>33</xdr:col>
      <xdr:colOff>307474</xdr:colOff>
      <xdr:row>39</xdr:row>
      <xdr:rowOff>53474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0FABE-9910-674C-E35B-E067D79A3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501316</xdr:colOff>
      <xdr:row>13</xdr:row>
      <xdr:rowOff>179137</xdr:rowOff>
    </xdr:from>
    <xdr:to>
      <xdr:col>23</xdr:col>
      <xdr:colOff>260684</xdr:colOff>
      <xdr:row>28</xdr:row>
      <xdr:rowOff>114968</xdr:rowOff>
    </xdr:to>
    <xdr:graphicFrame macro="">
      <xdr:nvGraphicFramePr>
        <xdr:cNvPr id="3" name="Chart 2" hidden="1">
          <a:extLst>
            <a:ext uri="{FF2B5EF4-FFF2-40B4-BE49-F238E27FC236}">
              <a16:creationId xmlns:a16="http://schemas.microsoft.com/office/drawing/2014/main" id="{1C05987F-B8D9-A6BB-9A4D-ABC28E0B7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501316</xdr:colOff>
      <xdr:row>13</xdr:row>
      <xdr:rowOff>179137</xdr:rowOff>
    </xdr:from>
    <xdr:to>
      <xdr:col>23</xdr:col>
      <xdr:colOff>260684</xdr:colOff>
      <xdr:row>28</xdr:row>
      <xdr:rowOff>114968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ABECFF-3B5F-AB5E-28D4-78CB1BC7E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501316</xdr:colOff>
      <xdr:row>13</xdr:row>
      <xdr:rowOff>179137</xdr:rowOff>
    </xdr:from>
    <xdr:to>
      <xdr:col>23</xdr:col>
      <xdr:colOff>260684</xdr:colOff>
      <xdr:row>28</xdr:row>
      <xdr:rowOff>114968</xdr:rowOff>
    </xdr:to>
    <xdr:graphicFrame macro="">
      <xdr:nvGraphicFramePr>
        <xdr:cNvPr id="5" name="Chart 4" hidden="1">
          <a:extLst>
            <a:ext uri="{FF2B5EF4-FFF2-40B4-BE49-F238E27FC236}">
              <a16:creationId xmlns:a16="http://schemas.microsoft.com/office/drawing/2014/main" id="{B319C4F2-882A-F723-2721-27DA921D8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501316</xdr:colOff>
      <xdr:row>13</xdr:row>
      <xdr:rowOff>179137</xdr:rowOff>
    </xdr:from>
    <xdr:to>
      <xdr:col>23</xdr:col>
      <xdr:colOff>260684</xdr:colOff>
      <xdr:row>28</xdr:row>
      <xdr:rowOff>114968</xdr:rowOff>
    </xdr:to>
    <xdr:graphicFrame macro="">
      <xdr:nvGraphicFramePr>
        <xdr:cNvPr id="7" name="Chart 6" hidden="1">
          <a:extLst>
            <a:ext uri="{FF2B5EF4-FFF2-40B4-BE49-F238E27FC236}">
              <a16:creationId xmlns:a16="http://schemas.microsoft.com/office/drawing/2014/main" id="{712BB200-E391-A345-F28C-EA4DD7F4B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501316</xdr:colOff>
      <xdr:row>13</xdr:row>
      <xdr:rowOff>179137</xdr:rowOff>
    </xdr:from>
    <xdr:to>
      <xdr:col>23</xdr:col>
      <xdr:colOff>260684</xdr:colOff>
      <xdr:row>28</xdr:row>
      <xdr:rowOff>114968</xdr:rowOff>
    </xdr:to>
    <xdr:graphicFrame macro="">
      <xdr:nvGraphicFramePr>
        <xdr:cNvPr id="8" name="Chart 7" hidden="1">
          <a:extLst>
            <a:ext uri="{FF2B5EF4-FFF2-40B4-BE49-F238E27FC236}">
              <a16:creationId xmlns:a16="http://schemas.microsoft.com/office/drawing/2014/main" id="{6440EA62-A593-DD10-6C90-7D59AE6DE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501316</xdr:colOff>
      <xdr:row>13</xdr:row>
      <xdr:rowOff>179137</xdr:rowOff>
    </xdr:from>
    <xdr:to>
      <xdr:col>25</xdr:col>
      <xdr:colOff>260684</xdr:colOff>
      <xdr:row>28</xdr:row>
      <xdr:rowOff>114968</xdr:rowOff>
    </xdr:to>
    <xdr:graphicFrame macro="">
      <xdr:nvGraphicFramePr>
        <xdr:cNvPr id="9" name="Chart 8" hidden="1">
          <a:extLst>
            <a:ext uri="{FF2B5EF4-FFF2-40B4-BE49-F238E27FC236}">
              <a16:creationId xmlns:a16="http://schemas.microsoft.com/office/drawing/2014/main" id="{A4064EC8-FDBD-3327-CA66-B80CF6676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206375</xdr:colOff>
      <xdr:row>4</xdr:row>
      <xdr:rowOff>21431</xdr:rowOff>
    </xdr:from>
    <xdr:to>
      <xdr:col>16</xdr:col>
      <xdr:colOff>555625</xdr:colOff>
      <xdr:row>19</xdr:row>
      <xdr:rowOff>26193</xdr:rowOff>
    </xdr:to>
    <xdr:graphicFrame macro="">
      <xdr:nvGraphicFramePr>
        <xdr:cNvPr id="10" name="Chart 9" hidden="1">
          <a:extLst>
            <a:ext uri="{FF2B5EF4-FFF2-40B4-BE49-F238E27FC236}">
              <a16:creationId xmlns:a16="http://schemas.microsoft.com/office/drawing/2014/main" id="{AAC4F504-AF50-E22C-E500-49B7B2CB0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323850</xdr:colOff>
      <xdr:row>27</xdr:row>
      <xdr:rowOff>76200</xdr:rowOff>
    </xdr:from>
    <xdr:to>
      <xdr:col>27</xdr:col>
      <xdr:colOff>19050</xdr:colOff>
      <xdr:row>41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2FA9DB4-06D7-1BCE-6E51-D40E26861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529936</xdr:colOff>
      <xdr:row>2</xdr:row>
      <xdr:rowOff>45027</xdr:rowOff>
    </xdr:from>
    <xdr:to>
      <xdr:col>25</xdr:col>
      <xdr:colOff>280554</xdr:colOff>
      <xdr:row>17</xdr:row>
      <xdr:rowOff>86591</xdr:rowOff>
    </xdr:to>
    <xdr:graphicFrame macro="">
      <xdr:nvGraphicFramePr>
        <xdr:cNvPr id="12" name="Chart 11" hidden="1">
          <a:extLst>
            <a:ext uri="{FF2B5EF4-FFF2-40B4-BE49-F238E27FC236}">
              <a16:creationId xmlns:a16="http://schemas.microsoft.com/office/drawing/2014/main" id="{DEBDF05C-B78C-7E40-BF67-F49722B1C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529936</xdr:colOff>
      <xdr:row>2</xdr:row>
      <xdr:rowOff>45027</xdr:rowOff>
    </xdr:from>
    <xdr:to>
      <xdr:col>25</xdr:col>
      <xdr:colOff>280554</xdr:colOff>
      <xdr:row>17</xdr:row>
      <xdr:rowOff>86591</xdr:rowOff>
    </xdr:to>
    <xdr:graphicFrame macro="">
      <xdr:nvGraphicFramePr>
        <xdr:cNvPr id="13" name="Chart 12" hidden="1">
          <a:extLst>
            <a:ext uri="{FF2B5EF4-FFF2-40B4-BE49-F238E27FC236}">
              <a16:creationId xmlns:a16="http://schemas.microsoft.com/office/drawing/2014/main" id="{1BB6CD5F-F082-E3F0-FD5D-6D9EFC987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1556650</xdr:colOff>
      <xdr:row>46</xdr:row>
      <xdr:rowOff>140199</xdr:rowOff>
    </xdr:from>
    <xdr:to>
      <xdr:col>66</xdr:col>
      <xdr:colOff>277380</xdr:colOff>
      <xdr:row>67</xdr:row>
      <xdr:rowOff>98287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903F9-6C74-2756-4258-7594EB1E8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325932</xdr:colOff>
      <xdr:row>46</xdr:row>
      <xdr:rowOff>38100</xdr:rowOff>
    </xdr:from>
    <xdr:to>
      <xdr:col>86</xdr:col>
      <xdr:colOff>135433</xdr:colOff>
      <xdr:row>83</xdr:row>
      <xdr:rowOff>183710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C1591-A414-AB1E-6D02-E41F4D120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520700</xdr:colOff>
      <xdr:row>1</xdr:row>
      <xdr:rowOff>123687</xdr:rowOff>
    </xdr:from>
    <xdr:to>
      <xdr:col>86</xdr:col>
      <xdr:colOff>276087</xdr:colOff>
      <xdr:row>40</xdr:row>
      <xdr:rowOff>32026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8F7AAC-E8D7-4417-EA41-B7FA7A25B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4D97-2290-4CD3-BD16-C0E557525DF3}">
  <dimension ref="A1:R70"/>
  <sheetViews>
    <sheetView zoomScale="74" workbookViewId="0">
      <selection activeCell="S10" sqref="S10"/>
    </sheetView>
  </sheetViews>
  <sheetFormatPr defaultRowHeight="14.4" x14ac:dyDescent="0.3"/>
  <cols>
    <col min="8" max="8" width="15.5546875" bestFit="1" customWidth="1"/>
    <col min="14" max="15" width="9.33203125" bestFit="1" customWidth="1"/>
  </cols>
  <sheetData>
    <row r="1" spans="1:18" ht="52.8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12</v>
      </c>
      <c r="K1" s="12" t="s">
        <v>9</v>
      </c>
      <c r="L1" s="12" t="s">
        <v>13</v>
      </c>
      <c r="M1" s="12" t="s">
        <v>14</v>
      </c>
      <c r="N1" s="13" t="s">
        <v>15</v>
      </c>
      <c r="O1" s="13" t="s">
        <v>16</v>
      </c>
      <c r="P1" s="13" t="s">
        <v>10</v>
      </c>
      <c r="Q1" s="13" t="s">
        <v>11</v>
      </c>
      <c r="R1" s="24" t="s">
        <v>41</v>
      </c>
    </row>
    <row r="2" spans="1:18" x14ac:dyDescent="0.3">
      <c r="A2" s="14">
        <v>43770</v>
      </c>
      <c r="B2" s="15">
        <v>516.57791476666659</v>
      </c>
      <c r="C2" s="15">
        <v>515.61683333333326</v>
      </c>
      <c r="D2" s="15">
        <v>0.9610814333333334</v>
      </c>
      <c r="E2" s="15">
        <v>2427.7333333333331</v>
      </c>
      <c r="F2" s="15">
        <v>0</v>
      </c>
      <c r="G2" s="15">
        <v>15468.504999999999</v>
      </c>
      <c r="H2" s="17">
        <v>2.0706707029999995E-3</v>
      </c>
      <c r="I2" s="15">
        <v>72832</v>
      </c>
      <c r="J2" s="15"/>
      <c r="K2" s="15">
        <v>28.832443000000001</v>
      </c>
      <c r="L2" s="15">
        <v>0</v>
      </c>
      <c r="M2" s="16">
        <v>1</v>
      </c>
      <c r="N2" s="18">
        <f>H2</f>
        <v>2.0706707029999995E-3</v>
      </c>
      <c r="O2" s="20">
        <f>I2/1000000</f>
        <v>7.2831999999999994E-2</v>
      </c>
      <c r="P2" s="15">
        <f t="shared" ref="P2:P33" si="0">IF(G2&gt;0,K2/(G2+K2)*100,0)</f>
        <v>0.18604772017159207</v>
      </c>
      <c r="Q2" s="15">
        <f t="shared" ref="Q2:Q33" si="1">I2/(G2/6.2898)</f>
        <v>29.614931345983337</v>
      </c>
      <c r="R2">
        <f>A2-$A$2</f>
        <v>0</v>
      </c>
    </row>
    <row r="3" spans="1:18" x14ac:dyDescent="0.3">
      <c r="A3" s="14">
        <v>43800</v>
      </c>
      <c r="B3" s="15">
        <v>1331.7231766451612</v>
      </c>
      <c r="C3" s="15">
        <v>1320.7742580645161</v>
      </c>
      <c r="D3" s="15">
        <v>10.948918580645163</v>
      </c>
      <c r="E3" s="15">
        <v>4109.5161290322585</v>
      </c>
      <c r="F3" s="15">
        <v>0</v>
      </c>
      <c r="G3" s="15">
        <v>40944.001999999993</v>
      </c>
      <c r="H3" s="17">
        <v>5.4809139909999995E-3</v>
      </c>
      <c r="I3" s="15">
        <v>127395</v>
      </c>
      <c r="J3" s="15"/>
      <c r="K3" s="15">
        <v>339.41647600000005</v>
      </c>
      <c r="L3" s="15">
        <v>0</v>
      </c>
      <c r="M3" s="16">
        <v>2</v>
      </c>
      <c r="N3" s="18">
        <f t="shared" ref="N3:N34" si="2">N2+H3</f>
        <v>7.551584693999999E-3</v>
      </c>
      <c r="O3" s="20">
        <f t="shared" ref="O3:O34" si="3">O2+I3/1000000</f>
        <v>0.20022699999999999</v>
      </c>
      <c r="P3" s="15">
        <f t="shared" si="0"/>
        <v>0.82216175047935758</v>
      </c>
      <c r="Q3" s="15">
        <f t="shared" si="1"/>
        <v>19.570365178274468</v>
      </c>
      <c r="R3">
        <f t="shared" ref="R3:R66" si="4">A3-$A$2</f>
        <v>30</v>
      </c>
    </row>
    <row r="4" spans="1:18" x14ac:dyDescent="0.3">
      <c r="A4" s="14">
        <v>43831</v>
      </c>
      <c r="B4" s="15">
        <v>2233.3469898709682</v>
      </c>
      <c r="C4" s="15">
        <v>2221.5150645161293</v>
      </c>
      <c r="D4" s="15">
        <v>11.83192535483871</v>
      </c>
      <c r="E4" s="15">
        <v>2463.9677419354839</v>
      </c>
      <c r="F4" s="15">
        <v>0</v>
      </c>
      <c r="G4" s="15">
        <v>68866.967000000004</v>
      </c>
      <c r="H4" s="17">
        <v>9.2187842969999999E-3</v>
      </c>
      <c r="I4" s="15">
        <v>76383</v>
      </c>
      <c r="J4" s="15"/>
      <c r="K4" s="15">
        <v>366.78968599999996</v>
      </c>
      <c r="L4" s="15">
        <v>0</v>
      </c>
      <c r="M4" s="16">
        <v>2</v>
      </c>
      <c r="N4" s="18">
        <f t="shared" si="2"/>
        <v>1.6770368990999998E-2</v>
      </c>
      <c r="O4" s="20">
        <f t="shared" si="3"/>
        <v>0.27661000000000002</v>
      </c>
      <c r="P4" s="15">
        <f t="shared" si="0"/>
        <v>0.52978446289361869</v>
      </c>
      <c r="Q4" s="15">
        <f t="shared" si="1"/>
        <v>6.976258928319</v>
      </c>
      <c r="R4">
        <f t="shared" si="4"/>
        <v>61</v>
      </c>
    </row>
    <row r="5" spans="1:18" x14ac:dyDescent="0.3">
      <c r="A5" s="14">
        <v>43862</v>
      </c>
      <c r="B5" s="15">
        <v>3074.8418097931035</v>
      </c>
      <c r="C5" s="15">
        <v>3003.1211724137934</v>
      </c>
      <c r="D5" s="15">
        <v>71.720637379310347</v>
      </c>
      <c r="E5" s="15">
        <v>18664.862068965514</v>
      </c>
      <c r="F5" s="15">
        <v>0</v>
      </c>
      <c r="G5" s="15">
        <v>87090.51400000001</v>
      </c>
      <c r="H5" s="17">
        <v>1.1658255007000001E-2</v>
      </c>
      <c r="I5" s="15">
        <v>541281</v>
      </c>
      <c r="J5" s="15"/>
      <c r="K5" s="15">
        <v>2079.8984839999998</v>
      </c>
      <c r="L5" s="15">
        <v>0</v>
      </c>
      <c r="M5" s="16">
        <v>4</v>
      </c>
      <c r="N5" s="18">
        <f t="shared" si="2"/>
        <v>2.8428623997999999E-2</v>
      </c>
      <c r="O5" s="20">
        <f t="shared" si="3"/>
        <v>0.81789100000000003</v>
      </c>
      <c r="P5" s="15">
        <f t="shared" si="0"/>
        <v>2.3324984443390337</v>
      </c>
      <c r="Q5" s="15">
        <f t="shared" si="1"/>
        <v>39.092078774503491</v>
      </c>
      <c r="R5">
        <f t="shared" si="4"/>
        <v>92</v>
      </c>
    </row>
    <row r="6" spans="1:18" x14ac:dyDescent="0.3">
      <c r="A6" s="14">
        <v>43891</v>
      </c>
      <c r="B6" s="15">
        <v>4551.2038123548391</v>
      </c>
      <c r="C6" s="15">
        <v>4350.1426451612906</v>
      </c>
      <c r="D6" s="15">
        <v>201.06116719354836</v>
      </c>
      <c r="E6" s="15">
        <v>37983.129032258061</v>
      </c>
      <c r="F6" s="15">
        <v>0</v>
      </c>
      <c r="G6" s="15">
        <v>134854.42199999999</v>
      </c>
      <c r="H6" s="17">
        <v>1.8052106583999999E-2</v>
      </c>
      <c r="I6" s="15">
        <v>1177477</v>
      </c>
      <c r="J6" s="15"/>
      <c r="K6" s="15">
        <v>6232.8961829999998</v>
      </c>
      <c r="L6" s="15">
        <v>0</v>
      </c>
      <c r="M6" s="16">
        <v>4</v>
      </c>
      <c r="N6" s="18">
        <f t="shared" si="2"/>
        <v>4.6480730582000002E-2</v>
      </c>
      <c r="O6" s="20">
        <f t="shared" si="3"/>
        <v>1.995368</v>
      </c>
      <c r="P6" s="15">
        <f t="shared" si="0"/>
        <v>4.4177579269849776</v>
      </c>
      <c r="Q6" s="15">
        <f t="shared" si="1"/>
        <v>54.919184145107231</v>
      </c>
      <c r="R6">
        <f t="shared" si="4"/>
        <v>121</v>
      </c>
    </row>
    <row r="7" spans="1:18" x14ac:dyDescent="0.3">
      <c r="A7" s="14">
        <v>43922</v>
      </c>
      <c r="B7" s="15">
        <v>4554.8624885999998</v>
      </c>
      <c r="C7" s="15">
        <v>4333.8428999999996</v>
      </c>
      <c r="D7" s="15">
        <v>221.01958859999999</v>
      </c>
      <c r="E7" s="15">
        <v>37711.800000000003</v>
      </c>
      <c r="F7" s="15">
        <v>0</v>
      </c>
      <c r="G7" s="15">
        <v>130015.287</v>
      </c>
      <c r="H7" s="17">
        <v>1.7404322242999998E-2</v>
      </c>
      <c r="I7" s="15">
        <v>1131354</v>
      </c>
      <c r="J7" s="15"/>
      <c r="K7" s="15">
        <v>6630.5876579999995</v>
      </c>
      <c r="L7" s="15">
        <v>0</v>
      </c>
      <c r="M7" s="16">
        <v>4</v>
      </c>
      <c r="N7" s="18">
        <f t="shared" si="2"/>
        <v>6.3885052824999997E-2</v>
      </c>
      <c r="O7" s="20">
        <f t="shared" si="3"/>
        <v>3.126722</v>
      </c>
      <c r="P7" s="15">
        <f t="shared" si="0"/>
        <v>4.852387731861767</v>
      </c>
      <c r="Q7" s="15">
        <f t="shared" si="1"/>
        <v>54.731951552743183</v>
      </c>
      <c r="R7">
        <f t="shared" si="4"/>
        <v>152</v>
      </c>
    </row>
    <row r="8" spans="1:18" x14ac:dyDescent="0.3">
      <c r="A8" s="14">
        <v>43952</v>
      </c>
      <c r="B8" s="15">
        <v>4741.1337682580643</v>
      </c>
      <c r="C8" s="15">
        <v>4452.3483548387103</v>
      </c>
      <c r="D8" s="15">
        <v>288.78541341935482</v>
      </c>
      <c r="E8" s="15">
        <v>38992.580645161288</v>
      </c>
      <c r="F8" s="15">
        <v>0</v>
      </c>
      <c r="G8" s="15">
        <v>138022.799</v>
      </c>
      <c r="H8" s="17">
        <v>1.8476237120000003E-2</v>
      </c>
      <c r="I8" s="15">
        <v>1208770</v>
      </c>
      <c r="J8" s="15"/>
      <c r="K8" s="15">
        <v>8952.3478159999995</v>
      </c>
      <c r="L8" s="15">
        <v>0</v>
      </c>
      <c r="M8" s="16">
        <v>4</v>
      </c>
      <c r="N8" s="18">
        <f t="shared" si="2"/>
        <v>8.2361289944999999E-2</v>
      </c>
      <c r="O8" s="20">
        <f t="shared" si="3"/>
        <v>4.3354920000000003</v>
      </c>
      <c r="P8" s="15">
        <f t="shared" si="0"/>
        <v>6.091062339408686</v>
      </c>
      <c r="Q8" s="15">
        <f t="shared" si="1"/>
        <v>55.084533867480836</v>
      </c>
      <c r="R8">
        <f t="shared" si="4"/>
        <v>182</v>
      </c>
    </row>
    <row r="9" spans="1:18" x14ac:dyDescent="0.3">
      <c r="A9" s="14">
        <v>43983</v>
      </c>
      <c r="B9" s="15">
        <v>5157.0676500333338</v>
      </c>
      <c r="C9" s="15">
        <v>4628.2003000000004</v>
      </c>
      <c r="D9" s="15">
        <v>528.86735003333331</v>
      </c>
      <c r="E9" s="15">
        <v>40561.4</v>
      </c>
      <c r="F9" s="15">
        <v>0</v>
      </c>
      <c r="G9" s="15">
        <v>138846.00900000002</v>
      </c>
      <c r="H9" s="17">
        <v>1.8586435024000002E-2</v>
      </c>
      <c r="I9" s="15">
        <v>1216842</v>
      </c>
      <c r="J9" s="15"/>
      <c r="K9" s="15">
        <v>15866.020500999999</v>
      </c>
      <c r="L9" s="15">
        <v>0</v>
      </c>
      <c r="M9" s="16">
        <v>4</v>
      </c>
      <c r="N9" s="18">
        <f t="shared" si="2"/>
        <v>0.10094772496900001</v>
      </c>
      <c r="O9" s="20">
        <f t="shared" si="3"/>
        <v>5.5523340000000001</v>
      </c>
      <c r="P9" s="15">
        <f t="shared" si="0"/>
        <v>10.255195121008638</v>
      </c>
      <c r="Q9" s="15">
        <f t="shared" si="1"/>
        <v>55.123606841302866</v>
      </c>
      <c r="R9">
        <f t="shared" si="4"/>
        <v>213</v>
      </c>
    </row>
    <row r="10" spans="1:18" x14ac:dyDescent="0.3">
      <c r="A10" s="14">
        <v>44013</v>
      </c>
      <c r="B10" s="15">
        <v>5075.399374723419</v>
      </c>
      <c r="C10" s="15">
        <v>4233.7312081105165</v>
      </c>
      <c r="D10" s="15">
        <v>841.66816661290329</v>
      </c>
      <c r="E10" s="15">
        <v>36586.129032258068</v>
      </c>
      <c r="F10" s="15">
        <v>0</v>
      </c>
      <c r="G10" s="15">
        <v>131245.66745142598</v>
      </c>
      <c r="H10" s="17">
        <v>1.7577880099E-2</v>
      </c>
      <c r="I10" s="15">
        <v>1134170</v>
      </c>
      <c r="J10" s="15"/>
      <c r="K10" s="15">
        <v>26091.713165000001</v>
      </c>
      <c r="L10" s="15">
        <v>0</v>
      </c>
      <c r="M10" s="16">
        <v>4</v>
      </c>
      <c r="N10" s="18">
        <f t="shared" si="2"/>
        <v>0.118525605068</v>
      </c>
      <c r="O10" s="20">
        <f t="shared" si="3"/>
        <v>6.6865040000000002</v>
      </c>
      <c r="P10" s="15">
        <f t="shared" si="0"/>
        <v>16.583289401905827</v>
      </c>
      <c r="Q10" s="15">
        <f t="shared" si="1"/>
        <v>54.353813002171542</v>
      </c>
      <c r="R10">
        <f t="shared" si="4"/>
        <v>243</v>
      </c>
    </row>
    <row r="11" spans="1:18" x14ac:dyDescent="0.3">
      <c r="A11" s="14">
        <v>44044</v>
      </c>
      <c r="B11" s="15">
        <v>5198.5133242580641</v>
      </c>
      <c r="C11" s="15">
        <v>4272.1095806451613</v>
      </c>
      <c r="D11" s="15">
        <v>926.40374361290321</v>
      </c>
      <c r="E11" s="15">
        <v>38776.93548387097</v>
      </c>
      <c r="F11" s="15">
        <v>0</v>
      </c>
      <c r="G11" s="15">
        <v>132435.397</v>
      </c>
      <c r="H11" s="17">
        <v>1.7728287028999999E-2</v>
      </c>
      <c r="I11" s="15">
        <v>1202085</v>
      </c>
      <c r="J11" s="15"/>
      <c r="K11" s="15">
        <v>28718.516051999999</v>
      </c>
      <c r="L11" s="15">
        <v>0</v>
      </c>
      <c r="M11" s="16">
        <v>4</v>
      </c>
      <c r="N11" s="18">
        <f t="shared" si="2"/>
        <v>0.13625389209700001</v>
      </c>
      <c r="O11" s="20">
        <f t="shared" si="3"/>
        <v>7.8885890000000005</v>
      </c>
      <c r="P11" s="15">
        <f t="shared" si="0"/>
        <v>17.820551489018648</v>
      </c>
      <c r="Q11" s="15">
        <f t="shared" si="1"/>
        <v>57.091037624933463</v>
      </c>
      <c r="R11">
        <f t="shared" si="4"/>
        <v>274</v>
      </c>
    </row>
    <row r="12" spans="1:18" x14ac:dyDescent="0.3">
      <c r="A12" s="14">
        <v>44075</v>
      </c>
      <c r="B12" s="15">
        <v>5011.4444383</v>
      </c>
      <c r="C12" s="15">
        <v>3869.2075333333332</v>
      </c>
      <c r="D12" s="15">
        <v>1142.2369049666665</v>
      </c>
      <c r="E12" s="15">
        <v>38640.633333333331</v>
      </c>
      <c r="F12" s="15">
        <v>0</v>
      </c>
      <c r="G12" s="15">
        <v>116076.226</v>
      </c>
      <c r="H12" s="17">
        <v>1.5538388516999999E-2</v>
      </c>
      <c r="I12" s="15">
        <v>1159219</v>
      </c>
      <c r="J12" s="15"/>
      <c r="K12" s="15">
        <v>34267.107148999996</v>
      </c>
      <c r="L12" s="15">
        <v>0</v>
      </c>
      <c r="M12" s="16">
        <v>4</v>
      </c>
      <c r="N12" s="18">
        <f t="shared" si="2"/>
        <v>0.15179228061400002</v>
      </c>
      <c r="O12" s="20">
        <f t="shared" si="3"/>
        <v>9.0478079999999999</v>
      </c>
      <c r="P12" s="15">
        <f t="shared" si="0"/>
        <v>22.792568470621223</v>
      </c>
      <c r="Q12" s="15">
        <f t="shared" si="1"/>
        <v>62.814375668967735</v>
      </c>
      <c r="R12">
        <f t="shared" si="4"/>
        <v>305</v>
      </c>
    </row>
    <row r="13" spans="1:18" x14ac:dyDescent="0.3">
      <c r="A13" s="14">
        <v>44105</v>
      </c>
      <c r="B13" s="15">
        <v>4790.9731789677417</v>
      </c>
      <c r="C13" s="15">
        <v>3468.8251612903227</v>
      </c>
      <c r="D13" s="15">
        <v>1322.1480176774194</v>
      </c>
      <c r="E13" s="15">
        <v>39782.93548387097</v>
      </c>
      <c r="F13" s="15">
        <v>0</v>
      </c>
      <c r="G13" s="15">
        <v>107533.57999999999</v>
      </c>
      <c r="H13" s="17">
        <v>1.4394838648000001E-2</v>
      </c>
      <c r="I13" s="15">
        <v>1233271</v>
      </c>
      <c r="J13" s="15"/>
      <c r="K13" s="15">
        <v>40986.588548</v>
      </c>
      <c r="L13" s="15">
        <v>0</v>
      </c>
      <c r="M13" s="16">
        <v>4</v>
      </c>
      <c r="N13" s="18">
        <f t="shared" si="2"/>
        <v>0.16618711926200003</v>
      </c>
      <c r="O13" s="20">
        <f t="shared" si="3"/>
        <v>10.281079</v>
      </c>
      <c r="P13" s="15">
        <f t="shared" si="0"/>
        <v>27.59664828602293</v>
      </c>
      <c r="Q13" s="15">
        <f t="shared" si="1"/>
        <v>72.135866171292733</v>
      </c>
      <c r="R13">
        <f t="shared" si="4"/>
        <v>335</v>
      </c>
    </row>
    <row r="14" spans="1:18" x14ac:dyDescent="0.3">
      <c r="A14" s="14">
        <v>44136</v>
      </c>
      <c r="B14" s="15">
        <v>4682.9043930333337</v>
      </c>
      <c r="C14" s="15">
        <v>3548.8819666666668</v>
      </c>
      <c r="D14" s="15">
        <v>1134.0224263666667</v>
      </c>
      <c r="E14" s="15">
        <v>43526.833333333336</v>
      </c>
      <c r="F14" s="15">
        <v>0</v>
      </c>
      <c r="G14" s="15">
        <v>106466.45900000002</v>
      </c>
      <c r="H14" s="17">
        <v>1.4251989924999996E-2</v>
      </c>
      <c r="I14" s="15">
        <v>1305805</v>
      </c>
      <c r="J14" s="15"/>
      <c r="K14" s="15">
        <v>34020.672791000005</v>
      </c>
      <c r="L14" s="15">
        <v>0</v>
      </c>
      <c r="M14" s="16">
        <v>4</v>
      </c>
      <c r="N14" s="18">
        <f t="shared" si="2"/>
        <v>0.18043910918700001</v>
      </c>
      <c r="O14" s="20">
        <f t="shared" si="3"/>
        <v>11.586884</v>
      </c>
      <c r="P14" s="15">
        <f t="shared" si="0"/>
        <v>24.216219918000675</v>
      </c>
      <c r="Q14" s="15">
        <f t="shared" si="1"/>
        <v>77.144035465667159</v>
      </c>
      <c r="R14">
        <f t="shared" si="4"/>
        <v>366</v>
      </c>
    </row>
    <row r="15" spans="1:18" x14ac:dyDescent="0.3">
      <c r="A15" s="14">
        <v>44166</v>
      </c>
      <c r="B15" s="15">
        <v>3958.3229507096776</v>
      </c>
      <c r="C15" s="15">
        <v>2990.836870967742</v>
      </c>
      <c r="D15" s="15">
        <v>967.48607974193544</v>
      </c>
      <c r="E15" s="15">
        <v>28478.096774193546</v>
      </c>
      <c r="F15" s="15">
        <v>0</v>
      </c>
      <c r="G15" s="15">
        <v>92715.942999999999</v>
      </c>
      <c r="H15" s="17">
        <v>1.2411295518999998E-2</v>
      </c>
      <c r="I15" s="15">
        <v>882821</v>
      </c>
      <c r="J15" s="15"/>
      <c r="K15" s="15">
        <v>29992.068472000003</v>
      </c>
      <c r="L15" s="15">
        <v>0</v>
      </c>
      <c r="M15" s="16">
        <v>4</v>
      </c>
      <c r="N15" s="18">
        <f t="shared" si="2"/>
        <v>0.19285040470600001</v>
      </c>
      <c r="O15" s="20">
        <f t="shared" si="3"/>
        <v>12.469704999999999</v>
      </c>
      <c r="P15" s="15">
        <f t="shared" si="0"/>
        <v>24.441817703845452</v>
      </c>
      <c r="Q15" s="15">
        <f t="shared" si="1"/>
        <v>59.890104615556787</v>
      </c>
      <c r="R15">
        <f t="shared" si="4"/>
        <v>396</v>
      </c>
    </row>
    <row r="16" spans="1:18" x14ac:dyDescent="0.3">
      <c r="A16" s="14">
        <v>44197</v>
      </c>
      <c r="B16" s="15">
        <v>3412.3246129354839</v>
      </c>
      <c r="C16" s="15">
        <v>2616.1179032258065</v>
      </c>
      <c r="D16" s="15">
        <v>796.2067097096774</v>
      </c>
      <c r="E16" s="15">
        <v>28179.645161290322</v>
      </c>
      <c r="F16" s="15">
        <v>0</v>
      </c>
      <c r="G16" s="15">
        <v>81099.654999999999</v>
      </c>
      <c r="H16" s="17">
        <v>1.0856296692E-2</v>
      </c>
      <c r="I16" s="15">
        <v>873569</v>
      </c>
      <c r="J16" s="15"/>
      <c r="K16" s="15">
        <v>24682.408001</v>
      </c>
      <c r="L16" s="15">
        <v>0</v>
      </c>
      <c r="M16" s="16">
        <v>4</v>
      </c>
      <c r="N16" s="18">
        <f t="shared" si="2"/>
        <v>0.20370670139800001</v>
      </c>
      <c r="O16" s="20">
        <f t="shared" si="3"/>
        <v>13.343273999999999</v>
      </c>
      <c r="P16" s="15">
        <f t="shared" si="0"/>
        <v>23.333263977624132</v>
      </c>
      <c r="Q16" s="15">
        <f t="shared" si="1"/>
        <v>67.750896057449324</v>
      </c>
      <c r="R16">
        <f t="shared" si="4"/>
        <v>427</v>
      </c>
    </row>
    <row r="17" spans="1:18" x14ac:dyDescent="0.3">
      <c r="A17" s="14">
        <v>44228</v>
      </c>
      <c r="B17" s="15">
        <v>2729.8568438571428</v>
      </c>
      <c r="C17" s="15">
        <v>2322.1944642857143</v>
      </c>
      <c r="D17" s="15">
        <v>407.66237957142852</v>
      </c>
      <c r="E17" s="15">
        <v>28708.96428571429</v>
      </c>
      <c r="F17" s="15">
        <v>0</v>
      </c>
      <c r="G17" s="15">
        <v>65021.445</v>
      </c>
      <c r="H17" s="17">
        <v>8.7040086379999992E-3</v>
      </c>
      <c r="I17" s="15">
        <v>803851</v>
      </c>
      <c r="J17" s="15"/>
      <c r="K17" s="15">
        <v>11414.546628</v>
      </c>
      <c r="L17" s="15">
        <v>0</v>
      </c>
      <c r="M17" s="16">
        <v>4</v>
      </c>
      <c r="N17" s="18">
        <f t="shared" si="2"/>
        <v>0.21241071003600001</v>
      </c>
      <c r="O17" s="20">
        <f t="shared" si="3"/>
        <v>14.147124999999999</v>
      </c>
      <c r="P17" s="15">
        <f t="shared" si="0"/>
        <v>14.933470979944255</v>
      </c>
      <c r="Q17" s="15">
        <f t="shared" si="1"/>
        <v>77.759914745050651</v>
      </c>
      <c r="R17">
        <f t="shared" si="4"/>
        <v>458</v>
      </c>
    </row>
    <row r="18" spans="1:18" x14ac:dyDescent="0.3">
      <c r="A18" s="14">
        <v>44256</v>
      </c>
      <c r="B18" s="15">
        <v>4074.3102437419357</v>
      </c>
      <c r="C18" s="15">
        <v>3676.7469999999998</v>
      </c>
      <c r="D18" s="15">
        <v>397.56324374193548</v>
      </c>
      <c r="E18" s="15">
        <v>24903.096774193546</v>
      </c>
      <c r="F18" s="15">
        <v>0</v>
      </c>
      <c r="G18" s="15">
        <v>113979.15699999999</v>
      </c>
      <c r="H18" s="17">
        <v>1.5257667184999999E-2</v>
      </c>
      <c r="I18" s="15">
        <v>771996</v>
      </c>
      <c r="J18" s="15"/>
      <c r="K18" s="15">
        <v>12324.460556</v>
      </c>
      <c r="L18" s="15">
        <v>0</v>
      </c>
      <c r="M18" s="16">
        <v>5</v>
      </c>
      <c r="N18" s="18">
        <f t="shared" si="2"/>
        <v>0.227668377221</v>
      </c>
      <c r="O18" s="20">
        <f t="shared" si="3"/>
        <v>14.919120999999999</v>
      </c>
      <c r="P18" s="15">
        <f t="shared" si="0"/>
        <v>9.7578048788156284</v>
      </c>
      <c r="Q18" s="15">
        <f t="shared" si="1"/>
        <v>42.601652517924833</v>
      </c>
      <c r="R18">
        <f t="shared" si="4"/>
        <v>486</v>
      </c>
    </row>
    <row r="19" spans="1:18" x14ac:dyDescent="0.3">
      <c r="A19" s="14">
        <v>44287</v>
      </c>
      <c r="B19" s="15">
        <v>3471.0138587333331</v>
      </c>
      <c r="C19" s="15">
        <v>3336.5943333333335</v>
      </c>
      <c r="D19" s="15">
        <v>134.4195254</v>
      </c>
      <c r="E19" s="15">
        <v>19135.133333333331</v>
      </c>
      <c r="F19" s="15">
        <v>0</v>
      </c>
      <c r="G19" s="15">
        <v>100097.83000000002</v>
      </c>
      <c r="H19" s="17">
        <v>1.3397504747000001E-2</v>
      </c>
      <c r="I19" s="15">
        <v>574054</v>
      </c>
      <c r="J19" s="15"/>
      <c r="K19" s="15">
        <v>4032.5857620000002</v>
      </c>
      <c r="L19" s="15">
        <v>0</v>
      </c>
      <c r="M19" s="16">
        <v>5</v>
      </c>
      <c r="N19" s="18">
        <f t="shared" si="2"/>
        <v>0.241065881968</v>
      </c>
      <c r="O19" s="20">
        <f t="shared" si="3"/>
        <v>15.493174999999999</v>
      </c>
      <c r="P19" s="15">
        <f t="shared" si="0"/>
        <v>3.8726300404070781</v>
      </c>
      <c r="Q19" s="15">
        <f t="shared" si="1"/>
        <v>36.071559685159997</v>
      </c>
      <c r="R19">
        <f t="shared" si="4"/>
        <v>517</v>
      </c>
    </row>
    <row r="20" spans="1:18" x14ac:dyDescent="0.3">
      <c r="A20" s="19">
        <v>44317</v>
      </c>
      <c r="B20" s="15">
        <v>4114.4267350967739</v>
      </c>
      <c r="C20" s="15">
        <v>4019.6219999999998</v>
      </c>
      <c r="D20" s="15">
        <v>94.804735096774209</v>
      </c>
      <c r="E20" s="15">
        <v>26418.548387096773</v>
      </c>
      <c r="F20" s="15">
        <v>0</v>
      </c>
      <c r="G20" s="15">
        <v>124608.28199999999</v>
      </c>
      <c r="H20" s="17">
        <v>1.6672600285999997E-2</v>
      </c>
      <c r="I20" s="15">
        <v>818975</v>
      </c>
      <c r="J20" s="15"/>
      <c r="K20" s="15">
        <v>2938.9467879999997</v>
      </c>
      <c r="L20" s="15">
        <v>0</v>
      </c>
      <c r="M20" s="16">
        <v>5</v>
      </c>
      <c r="N20" s="18">
        <f t="shared" si="2"/>
        <v>0.25773848225399998</v>
      </c>
      <c r="O20" s="20">
        <f t="shared" si="3"/>
        <v>16.312149999999999</v>
      </c>
      <c r="P20" s="15">
        <f t="shared" si="0"/>
        <v>2.304202777219809</v>
      </c>
      <c r="Q20" s="15">
        <f t="shared" si="1"/>
        <v>41.339057663919959</v>
      </c>
      <c r="R20">
        <f t="shared" si="4"/>
        <v>547</v>
      </c>
    </row>
    <row r="21" spans="1:18" x14ac:dyDescent="0.3">
      <c r="A21" s="19">
        <v>44348</v>
      </c>
      <c r="B21" s="15">
        <v>4364.4313966999998</v>
      </c>
      <c r="C21" s="15">
        <v>4170.0025666666661</v>
      </c>
      <c r="D21" s="15">
        <v>194.42883003333333</v>
      </c>
      <c r="E21" s="15">
        <v>28423.933333333334</v>
      </c>
      <c r="F21" s="15">
        <v>0</v>
      </c>
      <c r="G21" s="15">
        <v>125100.07699999999</v>
      </c>
      <c r="H21" s="17">
        <v>1.6738402505E-2</v>
      </c>
      <c r="I21" s="15">
        <v>852718</v>
      </c>
      <c r="J21" s="15"/>
      <c r="K21" s="15">
        <v>5832.8649009999999</v>
      </c>
      <c r="L21" s="15">
        <v>0</v>
      </c>
      <c r="M21" s="16">
        <v>5</v>
      </c>
      <c r="N21" s="18">
        <f t="shared" si="2"/>
        <v>0.27447688475900001</v>
      </c>
      <c r="O21" s="20">
        <f t="shared" si="3"/>
        <v>17.164867999999998</v>
      </c>
      <c r="P21" s="15">
        <f t="shared" si="0"/>
        <v>4.4548490367002529</v>
      </c>
      <c r="Q21" s="15">
        <f t="shared" si="1"/>
        <v>42.873080536952827</v>
      </c>
      <c r="R21">
        <f t="shared" si="4"/>
        <v>578</v>
      </c>
    </row>
    <row r="22" spans="1:18" x14ac:dyDescent="0.3">
      <c r="A22" s="19">
        <v>44378</v>
      </c>
      <c r="B22" s="15">
        <v>4306.9242510645163</v>
      </c>
      <c r="C22" s="15">
        <v>4000.3766451612901</v>
      </c>
      <c r="D22" s="15">
        <v>306.54760590322576</v>
      </c>
      <c r="E22" s="15">
        <v>28223.741935483871</v>
      </c>
      <c r="F22" s="15">
        <v>0</v>
      </c>
      <c r="G22" s="15">
        <v>124011.67599999999</v>
      </c>
      <c r="H22" s="17">
        <v>1.6592774349999999E-2</v>
      </c>
      <c r="I22" s="15">
        <v>874936</v>
      </c>
      <c r="J22" s="15"/>
      <c r="K22" s="15">
        <v>9502.9757829999999</v>
      </c>
      <c r="L22" s="15">
        <v>0</v>
      </c>
      <c r="M22" s="16">
        <v>5</v>
      </c>
      <c r="N22" s="18">
        <f t="shared" si="2"/>
        <v>0.29106965910900001</v>
      </c>
      <c r="O22" s="20">
        <f t="shared" si="3"/>
        <v>18.039804</v>
      </c>
      <c r="P22" s="15">
        <f t="shared" si="0"/>
        <v>7.117552760011006</v>
      </c>
      <c r="Q22" s="15">
        <f t="shared" si="1"/>
        <v>44.376244482011515</v>
      </c>
      <c r="R22">
        <f t="shared" si="4"/>
        <v>608</v>
      </c>
    </row>
    <row r="23" spans="1:18" x14ac:dyDescent="0.3">
      <c r="A23" s="19">
        <v>44409</v>
      </c>
      <c r="B23" s="15">
        <v>4335.7342911935484</v>
      </c>
      <c r="C23" s="15">
        <v>4076.8126451612907</v>
      </c>
      <c r="D23" s="15">
        <v>258.92164603225808</v>
      </c>
      <c r="E23" s="15">
        <v>28660.161290322583</v>
      </c>
      <c r="F23" s="15">
        <v>0</v>
      </c>
      <c r="G23" s="15">
        <v>126381.192</v>
      </c>
      <c r="H23" s="17">
        <v>1.6909815821000002E-2</v>
      </c>
      <c r="I23" s="15">
        <v>888465</v>
      </c>
      <c r="J23" s="15"/>
      <c r="K23" s="15">
        <v>8026.571027</v>
      </c>
      <c r="L23" s="15">
        <v>0</v>
      </c>
      <c r="M23" s="16">
        <v>5</v>
      </c>
      <c r="N23" s="18">
        <f t="shared" si="2"/>
        <v>0.30797947493</v>
      </c>
      <c r="O23" s="20">
        <f t="shared" si="3"/>
        <v>18.928269</v>
      </c>
      <c r="P23" s="15">
        <f t="shared" si="0"/>
        <v>5.9718061265461371</v>
      </c>
      <c r="Q23" s="15">
        <f t="shared" si="1"/>
        <v>44.217553803417204</v>
      </c>
      <c r="R23">
        <f t="shared" si="4"/>
        <v>639</v>
      </c>
    </row>
    <row r="24" spans="1:18" x14ac:dyDescent="0.3">
      <c r="A24" s="19">
        <v>44440</v>
      </c>
      <c r="B24" s="15">
        <v>4336.5430260666662</v>
      </c>
      <c r="C24" s="15">
        <v>3999.8370333333337</v>
      </c>
      <c r="D24" s="15">
        <v>336.70599273333335</v>
      </c>
      <c r="E24" s="15">
        <v>28568.9</v>
      </c>
      <c r="F24" s="15">
        <v>0</v>
      </c>
      <c r="G24" s="15">
        <v>119995.111</v>
      </c>
      <c r="H24" s="17">
        <v>1.6055357560999999E-2</v>
      </c>
      <c r="I24" s="15">
        <v>857067</v>
      </c>
      <c r="J24" s="15"/>
      <c r="K24" s="15">
        <v>10101.179781999999</v>
      </c>
      <c r="L24" s="15">
        <v>0</v>
      </c>
      <c r="M24" s="16">
        <v>5</v>
      </c>
      <c r="N24" s="18">
        <f t="shared" si="2"/>
        <v>0.32403483249100001</v>
      </c>
      <c r="O24" s="20">
        <f t="shared" si="3"/>
        <v>19.785336000000001</v>
      </c>
      <c r="P24" s="15">
        <f t="shared" si="0"/>
        <v>7.7643872252486918</v>
      </c>
      <c r="Q24" s="15">
        <f t="shared" si="1"/>
        <v>44.924997124257835</v>
      </c>
      <c r="R24">
        <f t="shared" si="4"/>
        <v>670</v>
      </c>
    </row>
    <row r="25" spans="1:18" x14ac:dyDescent="0.3">
      <c r="A25" s="19">
        <v>44470</v>
      </c>
      <c r="B25" s="15">
        <v>4670.8837780645154</v>
      </c>
      <c r="C25" s="15">
        <v>3876.0758387096776</v>
      </c>
      <c r="D25" s="15">
        <v>794.80793935483871</v>
      </c>
      <c r="E25" s="15">
        <v>30372.129032258061</v>
      </c>
      <c r="F25" s="15">
        <v>0</v>
      </c>
      <c r="G25" s="15">
        <v>120158.351</v>
      </c>
      <c r="H25" s="17">
        <v>1.6077199089000002E-2</v>
      </c>
      <c r="I25" s="15">
        <v>941536</v>
      </c>
      <c r="J25" s="15"/>
      <c r="K25" s="15">
        <v>24639.046119999999</v>
      </c>
      <c r="L25" s="15">
        <v>0</v>
      </c>
      <c r="M25" s="16">
        <v>5</v>
      </c>
      <c r="N25" s="18">
        <f t="shared" si="2"/>
        <v>0.34011203158000003</v>
      </c>
      <c r="O25" s="20">
        <f t="shared" si="3"/>
        <v>20.726872</v>
      </c>
      <c r="P25" s="15">
        <f t="shared" si="0"/>
        <v>17.016221707066002</v>
      </c>
      <c r="Q25" s="15">
        <f t="shared" si="1"/>
        <v>49.285572609098132</v>
      </c>
      <c r="R25">
        <f t="shared" si="4"/>
        <v>700</v>
      </c>
    </row>
    <row r="26" spans="1:18" x14ac:dyDescent="0.3">
      <c r="A26" s="19">
        <v>44501</v>
      </c>
      <c r="B26" s="15">
        <v>5015.567054733333</v>
      </c>
      <c r="C26" s="15">
        <v>3982.7827333333335</v>
      </c>
      <c r="D26" s="15">
        <v>1032.7843214</v>
      </c>
      <c r="E26" s="15">
        <v>24988.1</v>
      </c>
      <c r="F26" s="15">
        <v>0</v>
      </c>
      <c r="G26" s="15">
        <v>119483.48199999999</v>
      </c>
      <c r="H26" s="17">
        <v>1.5986901547999997E-2</v>
      </c>
      <c r="I26" s="15">
        <v>749643</v>
      </c>
      <c r="J26" s="15"/>
      <c r="K26" s="15">
        <v>30983.529642000001</v>
      </c>
      <c r="L26" s="15">
        <v>0</v>
      </c>
      <c r="M26" s="16">
        <v>5</v>
      </c>
      <c r="N26" s="18">
        <f t="shared" si="2"/>
        <v>0.35609893312800001</v>
      </c>
      <c r="O26" s="20">
        <f t="shared" si="3"/>
        <v>21.476514999999999</v>
      </c>
      <c r="P26" s="15">
        <f t="shared" si="0"/>
        <v>20.591576388662418</v>
      </c>
      <c r="Q26" s="15">
        <f t="shared" si="1"/>
        <v>39.462396495944098</v>
      </c>
      <c r="R26">
        <f t="shared" si="4"/>
        <v>731</v>
      </c>
    </row>
    <row r="27" spans="1:18" x14ac:dyDescent="0.3">
      <c r="A27" s="19">
        <v>44531</v>
      </c>
      <c r="B27" s="15">
        <v>4972.8667276451615</v>
      </c>
      <c r="C27" s="15">
        <v>3943.0811935483871</v>
      </c>
      <c r="D27" s="15">
        <v>1029.7855340967742</v>
      </c>
      <c r="E27" s="15">
        <v>24474.064516129034</v>
      </c>
      <c r="F27" s="15">
        <v>0</v>
      </c>
      <c r="G27" s="15">
        <v>122235.51699999999</v>
      </c>
      <c r="H27" s="17">
        <v>1.6355124103999998E-2</v>
      </c>
      <c r="I27" s="15">
        <v>758696</v>
      </c>
      <c r="J27" s="15"/>
      <c r="K27" s="15">
        <v>31923.351557000002</v>
      </c>
      <c r="L27" s="15">
        <v>0</v>
      </c>
      <c r="M27" s="16">
        <v>5</v>
      </c>
      <c r="N27" s="18">
        <f t="shared" si="2"/>
        <v>0.37245405723199998</v>
      </c>
      <c r="O27" s="20">
        <f t="shared" si="3"/>
        <v>22.235211</v>
      </c>
      <c r="P27" s="15">
        <f t="shared" si="0"/>
        <v>20.708086311100804</v>
      </c>
      <c r="Q27" s="15">
        <f t="shared" si="1"/>
        <v>39.039766983601012</v>
      </c>
      <c r="R27">
        <f t="shared" si="4"/>
        <v>761</v>
      </c>
    </row>
    <row r="28" spans="1:18" x14ac:dyDescent="0.3">
      <c r="A28" s="19">
        <v>44562</v>
      </c>
      <c r="B28" s="15">
        <v>4580.7267282580642</v>
      </c>
      <c r="C28" s="15">
        <v>3451.7051935483869</v>
      </c>
      <c r="D28" s="15">
        <v>1129.0215347096773</v>
      </c>
      <c r="E28" s="15">
        <v>23145.290322580644</v>
      </c>
      <c r="F28" s="15">
        <v>0</v>
      </c>
      <c r="G28" s="15">
        <v>107002.86099999999</v>
      </c>
      <c r="H28" s="17">
        <v>1.4316993241999998E-2</v>
      </c>
      <c r="I28" s="15">
        <v>717504</v>
      </c>
      <c r="J28" s="15"/>
      <c r="K28" s="15">
        <v>34999.667576</v>
      </c>
      <c r="L28" s="15">
        <v>0</v>
      </c>
      <c r="M28" s="16">
        <v>5</v>
      </c>
      <c r="N28" s="18">
        <f t="shared" si="2"/>
        <v>0.38677105047399996</v>
      </c>
      <c r="O28" s="20">
        <f t="shared" si="3"/>
        <v>22.952715000000001</v>
      </c>
      <c r="P28" s="15">
        <f t="shared" si="0"/>
        <v>24.647214332713887</v>
      </c>
      <c r="Q28" s="15">
        <f t="shared" si="1"/>
        <v>42.176037322964667</v>
      </c>
      <c r="R28">
        <f t="shared" si="4"/>
        <v>792</v>
      </c>
    </row>
    <row r="29" spans="1:18" x14ac:dyDescent="0.3">
      <c r="A29" s="19">
        <v>44593</v>
      </c>
      <c r="B29" s="15">
        <v>4863.3997439642862</v>
      </c>
      <c r="C29" s="15">
        <v>3339.2403571428572</v>
      </c>
      <c r="D29" s="15">
        <v>1524.1593868214286</v>
      </c>
      <c r="E29" s="15">
        <v>21932.535714285714</v>
      </c>
      <c r="F29" s="15">
        <v>0</v>
      </c>
      <c r="G29" s="15">
        <v>93498.73000000001</v>
      </c>
      <c r="H29" s="17">
        <v>1.2510139195000002E-2</v>
      </c>
      <c r="I29" s="15">
        <v>614111</v>
      </c>
      <c r="J29" s="15"/>
      <c r="K29" s="15">
        <v>42676.462830999997</v>
      </c>
      <c r="L29" s="15">
        <v>0</v>
      </c>
      <c r="M29" s="16">
        <v>6</v>
      </c>
      <c r="N29" s="18">
        <f t="shared" si="2"/>
        <v>0.39928118966899995</v>
      </c>
      <c r="O29" s="20">
        <f t="shared" si="3"/>
        <v>23.566826000000002</v>
      </c>
      <c r="P29" s="15">
        <f t="shared" si="0"/>
        <v>31.339381236613008</v>
      </c>
      <c r="Q29" s="15">
        <f t="shared" si="1"/>
        <v>41.312169350321653</v>
      </c>
      <c r="R29">
        <f t="shared" si="4"/>
        <v>823</v>
      </c>
    </row>
    <row r="30" spans="1:18" x14ac:dyDescent="0.3">
      <c r="A30" s="19">
        <v>44621</v>
      </c>
      <c r="B30" s="15">
        <v>4993.8569247096775</v>
      </c>
      <c r="C30" s="15">
        <v>3401.5382580645164</v>
      </c>
      <c r="D30" s="15">
        <v>1592.3186666451611</v>
      </c>
      <c r="E30" s="15">
        <v>25188.709677419356</v>
      </c>
      <c r="F30" s="15">
        <v>0</v>
      </c>
      <c r="G30" s="15">
        <v>105447.686</v>
      </c>
      <c r="H30" s="17">
        <v>1.4108910679000001E-2</v>
      </c>
      <c r="I30" s="15">
        <v>780850</v>
      </c>
      <c r="J30" s="15"/>
      <c r="K30" s="15">
        <v>49361.878665999997</v>
      </c>
      <c r="L30" s="15">
        <v>0</v>
      </c>
      <c r="M30" s="16">
        <v>7</v>
      </c>
      <c r="N30" s="18">
        <f t="shared" si="2"/>
        <v>0.41339010034799994</v>
      </c>
      <c r="O30" s="20">
        <f t="shared" si="3"/>
        <v>24.347676000000003</v>
      </c>
      <c r="P30" s="15">
        <f t="shared" si="0"/>
        <v>31.885548397799408</v>
      </c>
      <c r="Q30" s="15">
        <f t="shared" si="1"/>
        <v>46.576558635909748</v>
      </c>
      <c r="R30">
        <f t="shared" si="4"/>
        <v>851</v>
      </c>
    </row>
    <row r="31" spans="1:18" x14ac:dyDescent="0.3">
      <c r="A31" s="19">
        <v>44652</v>
      </c>
      <c r="B31" s="15">
        <v>5176.5577974333337</v>
      </c>
      <c r="C31" s="15">
        <v>3821.0220333333327</v>
      </c>
      <c r="D31" s="15">
        <v>1355.5357641000001</v>
      </c>
      <c r="E31" s="15">
        <v>29630.233333333334</v>
      </c>
      <c r="F31" s="15">
        <v>0</v>
      </c>
      <c r="G31" s="15">
        <v>114630.66100000001</v>
      </c>
      <c r="H31" s="17">
        <v>1.5337593625999998E-2</v>
      </c>
      <c r="I31" s="15">
        <v>888907</v>
      </c>
      <c r="J31" s="15"/>
      <c r="K31" s="15">
        <v>40666.072923</v>
      </c>
      <c r="L31" s="15">
        <v>0</v>
      </c>
      <c r="M31" s="16">
        <v>7</v>
      </c>
      <c r="N31" s="18">
        <f t="shared" si="2"/>
        <v>0.42872769397399996</v>
      </c>
      <c r="O31" s="20">
        <f t="shared" si="3"/>
        <v>25.236583000000003</v>
      </c>
      <c r="P31" s="15">
        <f t="shared" si="0"/>
        <v>26.186045189568031</v>
      </c>
      <c r="Q31" s="15">
        <f t="shared" si="1"/>
        <v>48.774448300529293</v>
      </c>
      <c r="R31">
        <f t="shared" si="4"/>
        <v>882</v>
      </c>
    </row>
    <row r="32" spans="1:18" x14ac:dyDescent="0.3">
      <c r="A32" s="19">
        <v>44682</v>
      </c>
      <c r="B32" s="15">
        <v>5390.3114322258061</v>
      </c>
      <c r="C32" s="15">
        <v>3861.6134838709672</v>
      </c>
      <c r="D32" s="15">
        <v>1528.6979483548389</v>
      </c>
      <c r="E32" s="15">
        <v>30295.838709677417</v>
      </c>
      <c r="F32" s="15">
        <v>0</v>
      </c>
      <c r="G32" s="15">
        <v>119710.018</v>
      </c>
      <c r="H32" s="17">
        <v>1.6017212090000003E-2</v>
      </c>
      <c r="I32" s="15">
        <v>939171</v>
      </c>
      <c r="J32" s="15"/>
      <c r="K32" s="15">
        <v>47389.636399000003</v>
      </c>
      <c r="L32" s="15">
        <v>0</v>
      </c>
      <c r="M32" s="16">
        <v>7</v>
      </c>
      <c r="N32" s="18">
        <f t="shared" si="2"/>
        <v>0.44474490606399997</v>
      </c>
      <c r="O32" s="20">
        <f t="shared" si="3"/>
        <v>26.175754000000005</v>
      </c>
      <c r="P32" s="15">
        <f t="shared" si="0"/>
        <v>28.360104375705763</v>
      </c>
      <c r="Q32" s="15">
        <f t="shared" si="1"/>
        <v>49.345893138200005</v>
      </c>
      <c r="R32">
        <f t="shared" si="4"/>
        <v>912</v>
      </c>
    </row>
    <row r="33" spans="1:18" x14ac:dyDescent="0.3">
      <c r="A33" s="19">
        <v>44713</v>
      </c>
      <c r="B33" s="15">
        <v>5092.026302133333</v>
      </c>
      <c r="C33" s="15">
        <v>3517.777</v>
      </c>
      <c r="D33" s="15">
        <v>1574.2493021333332</v>
      </c>
      <c r="E33" s="15">
        <v>26858.733333333337</v>
      </c>
      <c r="F33" s="15">
        <v>0</v>
      </c>
      <c r="G33" s="15">
        <v>105533.31000000001</v>
      </c>
      <c r="H33" s="17">
        <v>1.4120367163999999E-2</v>
      </c>
      <c r="I33" s="15">
        <v>805762</v>
      </c>
      <c r="J33" s="15"/>
      <c r="K33" s="15">
        <v>47227.479063999999</v>
      </c>
      <c r="L33" s="15">
        <v>0</v>
      </c>
      <c r="M33" s="16">
        <v>7</v>
      </c>
      <c r="N33" s="18">
        <f t="shared" si="2"/>
        <v>0.45886527322799997</v>
      </c>
      <c r="O33" s="20">
        <f t="shared" si="3"/>
        <v>26.981516000000006</v>
      </c>
      <c r="P33" s="15">
        <f t="shared" si="0"/>
        <v>30.91596957136283</v>
      </c>
      <c r="Q33" s="15">
        <f t="shared" si="1"/>
        <v>48.023527619857646</v>
      </c>
      <c r="R33">
        <f t="shared" si="4"/>
        <v>943</v>
      </c>
    </row>
    <row r="34" spans="1:18" x14ac:dyDescent="0.3">
      <c r="A34" s="19">
        <v>44743</v>
      </c>
      <c r="B34" s="15">
        <v>4644.2221437419348</v>
      </c>
      <c r="C34" s="15">
        <v>3009.1139677419355</v>
      </c>
      <c r="D34" s="15">
        <v>1635.1081760000002</v>
      </c>
      <c r="E34" s="15">
        <v>20856.806451612905</v>
      </c>
      <c r="F34" s="15">
        <v>0</v>
      </c>
      <c r="G34" s="15">
        <v>93282.53300000001</v>
      </c>
      <c r="H34" s="17">
        <v>1.2481212014000001E-2</v>
      </c>
      <c r="I34" s="15">
        <v>646561</v>
      </c>
      <c r="J34" s="15"/>
      <c r="K34" s="15">
        <v>50688.353455999997</v>
      </c>
      <c r="L34" s="15">
        <v>0</v>
      </c>
      <c r="M34" s="16">
        <v>7</v>
      </c>
      <c r="N34" s="18">
        <f t="shared" si="2"/>
        <v>0.47134648524199996</v>
      </c>
      <c r="O34" s="20">
        <f t="shared" si="3"/>
        <v>27.628077000000005</v>
      </c>
      <c r="P34" s="15">
        <f t="shared" ref="P34:P70" si="5">IF(G34&gt;0,K34/(G34+K34)*100,0)</f>
        <v>35.207363588395509</v>
      </c>
      <c r="Q34" s="15">
        <f t="shared" ref="Q34:Q70" si="6">I34/(G34/6.2898)</f>
        <v>43.595936420379999</v>
      </c>
      <c r="R34">
        <f t="shared" si="4"/>
        <v>973</v>
      </c>
    </row>
    <row r="35" spans="1:18" x14ac:dyDescent="0.3">
      <c r="A35" s="19">
        <v>44774</v>
      </c>
      <c r="B35" s="15">
        <v>5096.1346319032182</v>
      </c>
      <c r="C35" s="15">
        <v>3102.8148387096762</v>
      </c>
      <c r="D35" s="15">
        <v>1993.319793193546</v>
      </c>
      <c r="E35" s="15">
        <v>21461.935483870941</v>
      </c>
      <c r="F35" s="15">
        <v>0</v>
      </c>
      <c r="G35" s="15">
        <v>96187.26</v>
      </c>
      <c r="H35" s="17">
        <v>1.286986477999999E-2</v>
      </c>
      <c r="I35" s="15">
        <v>665320</v>
      </c>
      <c r="J35" s="15"/>
      <c r="K35" s="15">
        <v>61792.913589000003</v>
      </c>
      <c r="L35" s="15">
        <v>0</v>
      </c>
      <c r="M35" s="16">
        <v>7</v>
      </c>
      <c r="N35" s="18">
        <f t="shared" ref="N35:N70" si="7">N34+H35</f>
        <v>0.48421635002199992</v>
      </c>
      <c r="O35" s="20">
        <f t="shared" ref="O35:O70" si="8">O34+I35/1000000</f>
        <v>28.293397000000006</v>
      </c>
      <c r="P35" s="15">
        <f t="shared" si="5"/>
        <v>39.114347190021434</v>
      </c>
      <c r="Q35" s="15">
        <f t="shared" si="6"/>
        <v>43.506070720800238</v>
      </c>
      <c r="R35">
        <f t="shared" si="4"/>
        <v>1004</v>
      </c>
    </row>
    <row r="36" spans="1:18" x14ac:dyDescent="0.3">
      <c r="A36" s="19">
        <v>44805</v>
      </c>
      <c r="B36" s="15">
        <v>4857.2669413333251</v>
      </c>
      <c r="C36" s="15">
        <v>3178.479066666664</v>
      </c>
      <c r="D36" s="15">
        <v>1678.7878746666656</v>
      </c>
      <c r="E36" s="15">
        <v>22216.933333333309</v>
      </c>
      <c r="F36" s="15">
        <v>0</v>
      </c>
      <c r="G36" s="15">
        <v>95354.372000000003</v>
      </c>
      <c r="H36" s="17">
        <v>1.2758424279999998E-2</v>
      </c>
      <c r="I36" s="15">
        <v>666508</v>
      </c>
      <c r="J36" s="15"/>
      <c r="K36" s="15">
        <v>50363.636240000007</v>
      </c>
      <c r="L36" s="15">
        <v>0</v>
      </c>
      <c r="M36" s="16">
        <v>7</v>
      </c>
      <c r="N36" s="18">
        <f t="shared" si="7"/>
        <v>0.49697477430199993</v>
      </c>
      <c r="O36" s="20">
        <f t="shared" si="8"/>
        <v>28.959905000000006</v>
      </c>
      <c r="P36" s="15">
        <f t="shared" si="5"/>
        <v>34.562396815807595</v>
      </c>
      <c r="Q36" s="15">
        <f t="shared" si="6"/>
        <v>43.964444738831688</v>
      </c>
      <c r="R36">
        <f t="shared" si="4"/>
        <v>1035</v>
      </c>
    </row>
    <row r="37" spans="1:18" x14ac:dyDescent="0.3">
      <c r="A37" s="19">
        <v>44835</v>
      </c>
      <c r="B37" s="15">
        <v>4721.1618671612832</v>
      </c>
      <c r="C37" s="15">
        <v>3185.3740967741855</v>
      </c>
      <c r="D37" s="15">
        <v>1535.7877703870956</v>
      </c>
      <c r="E37" s="15">
        <v>21743.645161290278</v>
      </c>
      <c r="F37" s="15">
        <v>0</v>
      </c>
      <c r="G37" s="15">
        <v>98746.596999999994</v>
      </c>
      <c r="H37" s="17">
        <v>1.3212304310000001E-2</v>
      </c>
      <c r="I37" s="15">
        <v>674053</v>
      </c>
      <c r="J37" s="15"/>
      <c r="K37" s="15">
        <v>47609.420882000006</v>
      </c>
      <c r="L37" s="15">
        <v>0</v>
      </c>
      <c r="M37" s="16">
        <v>7</v>
      </c>
      <c r="N37" s="18">
        <f t="shared" si="7"/>
        <v>0.51018707861199997</v>
      </c>
      <c r="O37" s="20">
        <f t="shared" si="8"/>
        <v>29.633958000000007</v>
      </c>
      <c r="P37" s="15">
        <f t="shared" si="5"/>
        <v>32.529868994102614</v>
      </c>
      <c r="Q37" s="15">
        <f t="shared" si="6"/>
        <v>42.934730797862329</v>
      </c>
      <c r="R37">
        <f t="shared" si="4"/>
        <v>1065</v>
      </c>
    </row>
    <row r="38" spans="1:18" x14ac:dyDescent="0.3">
      <c r="A38" s="19">
        <v>44866</v>
      </c>
      <c r="B38" s="15">
        <v>4150.7155398333334</v>
      </c>
      <c r="C38" s="15">
        <v>2904.8560666666663</v>
      </c>
      <c r="D38" s="15">
        <v>1245.8594731666667</v>
      </c>
      <c r="E38" s="15">
        <v>20819.466666666667</v>
      </c>
      <c r="F38" s="15">
        <v>0</v>
      </c>
      <c r="G38" s="15">
        <v>87145.682000000015</v>
      </c>
      <c r="H38" s="17">
        <v>1.1660100755E-2</v>
      </c>
      <c r="I38" s="15">
        <v>624584</v>
      </c>
      <c r="J38" s="15"/>
      <c r="K38" s="15">
        <v>37375.784195</v>
      </c>
      <c r="L38" s="15">
        <v>0</v>
      </c>
      <c r="M38" s="16">
        <v>7</v>
      </c>
      <c r="N38" s="18">
        <f t="shared" si="7"/>
        <v>0.52184717936699998</v>
      </c>
      <c r="O38" s="20">
        <f t="shared" si="8"/>
        <v>30.258542000000006</v>
      </c>
      <c r="P38" s="15">
        <f t="shared" si="5"/>
        <v>30.015534941156012</v>
      </c>
      <c r="Q38" s="15">
        <f t="shared" si="6"/>
        <v>45.079783106178446</v>
      </c>
      <c r="R38">
        <f t="shared" si="4"/>
        <v>1096</v>
      </c>
    </row>
    <row r="39" spans="1:18" x14ac:dyDescent="0.3">
      <c r="A39" s="19">
        <v>44896</v>
      </c>
      <c r="B39" s="15">
        <v>4621.9457286451616</v>
      </c>
      <c r="C39" s="15">
        <v>2858.8003548387101</v>
      </c>
      <c r="D39" s="15">
        <v>1763.1453738064515</v>
      </c>
      <c r="E39" s="15">
        <v>19349.870967741936</v>
      </c>
      <c r="F39" s="15">
        <v>0</v>
      </c>
      <c r="G39" s="15">
        <v>88622.811000000016</v>
      </c>
      <c r="H39" s="17">
        <v>1.1857740761000001E-2</v>
      </c>
      <c r="I39" s="15">
        <v>599846</v>
      </c>
      <c r="J39" s="15">
        <v>0</v>
      </c>
      <c r="K39" s="15">
        <v>54657.506588000004</v>
      </c>
      <c r="L39" s="15">
        <v>0</v>
      </c>
      <c r="M39" s="16">
        <v>7</v>
      </c>
      <c r="N39" s="18">
        <f t="shared" si="7"/>
        <v>0.53370492012799997</v>
      </c>
      <c r="O39" s="20">
        <f t="shared" si="8"/>
        <v>30.858388000000005</v>
      </c>
      <c r="P39" s="15">
        <f t="shared" si="5"/>
        <v>38.147253934184235</v>
      </c>
      <c r="Q39" s="15">
        <f t="shared" si="6"/>
        <v>42.572688997644171</v>
      </c>
      <c r="R39">
        <f t="shared" si="4"/>
        <v>1126</v>
      </c>
    </row>
    <row r="40" spans="1:18" x14ac:dyDescent="0.3">
      <c r="A40" s="19">
        <v>44927</v>
      </c>
      <c r="B40" s="15">
        <v>5112.3091026128859</v>
      </c>
      <c r="C40" s="15">
        <v>3088.0215806451579</v>
      </c>
      <c r="D40" s="15">
        <v>2024.2875219677403</v>
      </c>
      <c r="E40" s="15">
        <v>20697.419354838676</v>
      </c>
      <c r="F40" s="15">
        <v>0</v>
      </c>
      <c r="G40" s="15">
        <v>95728.668999999994</v>
      </c>
      <c r="H40" s="17">
        <v>1.2808505253999991E-2</v>
      </c>
      <c r="I40" s="15">
        <v>641620</v>
      </c>
      <c r="J40" s="15">
        <v>0</v>
      </c>
      <c r="K40" s="15">
        <v>62752.913180999996</v>
      </c>
      <c r="L40" s="15">
        <v>0</v>
      </c>
      <c r="M40" s="16">
        <v>7</v>
      </c>
      <c r="N40" s="18">
        <f t="shared" si="7"/>
        <v>0.54651342538199998</v>
      </c>
      <c r="O40" s="20">
        <f t="shared" si="8"/>
        <v>31.500008000000005</v>
      </c>
      <c r="P40" s="15">
        <f t="shared" si="5"/>
        <v>39.596344456815572</v>
      </c>
      <c r="Q40" s="15">
        <f t="shared" si="6"/>
        <v>42.157292252752413</v>
      </c>
      <c r="R40">
        <f t="shared" si="4"/>
        <v>1157</v>
      </c>
    </row>
    <row r="41" spans="1:18" x14ac:dyDescent="0.3">
      <c r="A41" s="19">
        <v>44958</v>
      </c>
      <c r="B41" s="15">
        <v>5212.2559660357019</v>
      </c>
      <c r="C41" s="15">
        <v>3001.4606785714268</v>
      </c>
      <c r="D41" s="15">
        <v>2210.7952874642829</v>
      </c>
      <c r="E41" s="15">
        <v>21019.107142857109</v>
      </c>
      <c r="F41" s="15">
        <v>0</v>
      </c>
      <c r="G41" s="15">
        <v>84040.899000000005</v>
      </c>
      <c r="H41" s="17">
        <v>1.1244680483999991E-2</v>
      </c>
      <c r="I41" s="15">
        <v>588535</v>
      </c>
      <c r="J41" s="15">
        <v>0</v>
      </c>
      <c r="K41" s="15">
        <v>61902.268049000006</v>
      </c>
      <c r="L41" s="15">
        <v>0</v>
      </c>
      <c r="M41" s="16">
        <v>7</v>
      </c>
      <c r="N41" s="18">
        <f t="shared" si="7"/>
        <v>0.55775810586599994</v>
      </c>
      <c r="O41" s="20">
        <f t="shared" si="8"/>
        <v>32.088543000000001</v>
      </c>
      <c r="P41" s="15">
        <f t="shared" si="5"/>
        <v>42.415324609350499</v>
      </c>
      <c r="Q41" s="15">
        <f t="shared" si="6"/>
        <v>44.047213761956542</v>
      </c>
      <c r="R41">
        <f t="shared" si="4"/>
        <v>1188</v>
      </c>
    </row>
    <row r="42" spans="1:18" x14ac:dyDescent="0.3">
      <c r="A42" s="19">
        <v>44986</v>
      </c>
      <c r="B42" s="15">
        <v>5544.9852581290188</v>
      </c>
      <c r="C42" s="15">
        <v>3076.0080645161247</v>
      </c>
      <c r="D42" s="15">
        <v>2468.9771936129</v>
      </c>
      <c r="E42" s="15">
        <v>20633.6451612903</v>
      </c>
      <c r="F42" s="15">
        <v>0</v>
      </c>
      <c r="G42" s="15">
        <v>95356.25</v>
      </c>
      <c r="H42" s="17">
        <v>1.275867555299999E-2</v>
      </c>
      <c r="I42" s="15">
        <v>639643</v>
      </c>
      <c r="J42" s="15">
        <v>0</v>
      </c>
      <c r="K42" s="15">
        <v>76538.293001999991</v>
      </c>
      <c r="L42" s="15">
        <v>0</v>
      </c>
      <c r="M42" s="16">
        <v>7</v>
      </c>
      <c r="N42" s="18">
        <f t="shared" si="7"/>
        <v>0.57051678141899997</v>
      </c>
      <c r="O42" s="20">
        <f t="shared" si="8"/>
        <v>32.728186000000001</v>
      </c>
      <c r="P42" s="15">
        <f t="shared" si="5"/>
        <v>44.526307621708192</v>
      </c>
      <c r="Q42" s="15">
        <f t="shared" si="6"/>
        <v>42.191534811824077</v>
      </c>
      <c r="R42">
        <f t="shared" si="4"/>
        <v>1216</v>
      </c>
    </row>
    <row r="43" spans="1:18" x14ac:dyDescent="0.3">
      <c r="A43" s="19">
        <v>45017</v>
      </c>
      <c r="B43" s="15">
        <v>5317.5180490333223</v>
      </c>
      <c r="C43" s="15">
        <v>3055.3868666666631</v>
      </c>
      <c r="D43" s="15">
        <v>2262.1311823666638</v>
      </c>
      <c r="E43" s="15">
        <v>20907.233333333319</v>
      </c>
      <c r="F43" s="15">
        <v>0</v>
      </c>
      <c r="G43" s="15">
        <v>91661.606</v>
      </c>
      <c r="H43" s="17">
        <v>1.2264331818000001E-2</v>
      </c>
      <c r="I43" s="15">
        <v>627217</v>
      </c>
      <c r="J43" s="15">
        <v>0</v>
      </c>
      <c r="K43" s="15">
        <v>67863.93547099999</v>
      </c>
      <c r="L43" s="15">
        <v>0</v>
      </c>
      <c r="M43" s="16">
        <v>7</v>
      </c>
      <c r="N43" s="18">
        <f t="shared" si="7"/>
        <v>0.58278111323699999</v>
      </c>
      <c r="O43" s="20">
        <f t="shared" si="8"/>
        <v>33.355403000000003</v>
      </c>
      <c r="P43" s="15">
        <f t="shared" si="5"/>
        <v>42.541109621205649</v>
      </c>
      <c r="Q43" s="15">
        <f t="shared" si="6"/>
        <v>43.039497765291173</v>
      </c>
      <c r="R43">
        <f t="shared" si="4"/>
        <v>1247</v>
      </c>
    </row>
    <row r="44" spans="1:18" x14ac:dyDescent="0.3">
      <c r="A44" s="19">
        <v>45047</v>
      </c>
      <c r="B44" s="15">
        <v>5008.435325870968</v>
      </c>
      <c r="C44" s="15">
        <v>2903.2341935483869</v>
      </c>
      <c r="D44" s="15">
        <v>2105.2011323225806</v>
      </c>
      <c r="E44" s="15">
        <v>20072.16129032258</v>
      </c>
      <c r="F44" s="15">
        <v>0</v>
      </c>
      <c r="G44" s="15">
        <v>90000.26</v>
      </c>
      <c r="H44" s="17">
        <v>1.2042043568E-2</v>
      </c>
      <c r="I44" s="15">
        <v>622237</v>
      </c>
      <c r="J44" s="15">
        <v>0</v>
      </c>
      <c r="K44" s="15">
        <v>65261.235101999999</v>
      </c>
      <c r="L44" s="15">
        <v>0</v>
      </c>
      <c r="M44" s="16">
        <v>7</v>
      </c>
      <c r="N44" s="18">
        <f t="shared" si="7"/>
        <v>0.59482315680499998</v>
      </c>
      <c r="O44" s="20">
        <f t="shared" si="8"/>
        <v>33.977640000000001</v>
      </c>
      <c r="P44" s="15">
        <f t="shared" si="5"/>
        <v>42.033110050322669</v>
      </c>
      <c r="Q44" s="15">
        <f t="shared" si="6"/>
        <v>43.485944180605699</v>
      </c>
      <c r="R44">
        <f t="shared" si="4"/>
        <v>1277</v>
      </c>
    </row>
    <row r="45" spans="1:18" x14ac:dyDescent="0.3">
      <c r="A45" s="19">
        <v>45078</v>
      </c>
      <c r="B45" s="15">
        <v>6432.0413528333338</v>
      </c>
      <c r="C45" s="15">
        <v>3227.7025333333336</v>
      </c>
      <c r="D45" s="15">
        <v>3204.3388195000007</v>
      </c>
      <c r="E45" s="15">
        <v>21242.766666666666</v>
      </c>
      <c r="F45" s="15">
        <v>0</v>
      </c>
      <c r="G45" s="15">
        <v>96831.076000000015</v>
      </c>
      <c r="H45" s="17">
        <v>1.2956007416E-2</v>
      </c>
      <c r="I45" s="15">
        <v>637283</v>
      </c>
      <c r="J45" s="15">
        <v>0</v>
      </c>
      <c r="K45" s="15">
        <v>96130.164585000006</v>
      </c>
      <c r="L45" s="15">
        <v>0</v>
      </c>
      <c r="M45" s="16">
        <v>7</v>
      </c>
      <c r="N45" s="18">
        <f t="shared" si="7"/>
        <v>0.60777916422099998</v>
      </c>
      <c r="O45" s="20">
        <f t="shared" si="8"/>
        <v>34.614923000000005</v>
      </c>
      <c r="P45" s="15">
        <f t="shared" si="5"/>
        <v>49.818380257901779</v>
      </c>
      <c r="Q45" s="15">
        <f t="shared" si="6"/>
        <v>41.395621932363937</v>
      </c>
      <c r="R45">
        <f t="shared" si="4"/>
        <v>1308</v>
      </c>
    </row>
    <row r="46" spans="1:18" x14ac:dyDescent="0.3">
      <c r="A46" s="19">
        <v>45108</v>
      </c>
      <c r="B46" s="15">
        <v>6050.4763610645168</v>
      </c>
      <c r="C46" s="15">
        <v>3359.1121290322581</v>
      </c>
      <c r="D46" s="15">
        <v>2691.3642320322583</v>
      </c>
      <c r="E46" s="15">
        <v>21667.806451612902</v>
      </c>
      <c r="F46" s="15">
        <v>0</v>
      </c>
      <c r="G46" s="15">
        <v>104132.47599999998</v>
      </c>
      <c r="H46" s="17">
        <v>1.3932935444999999E-2</v>
      </c>
      <c r="I46" s="15">
        <v>671702</v>
      </c>
      <c r="J46" s="15">
        <v>0</v>
      </c>
      <c r="K46" s="15">
        <v>83432.291192999997</v>
      </c>
      <c r="L46" s="15">
        <v>0</v>
      </c>
      <c r="M46" s="16">
        <v>7</v>
      </c>
      <c r="N46" s="18">
        <f t="shared" si="7"/>
        <v>0.62171209966599994</v>
      </c>
      <c r="O46" s="20">
        <f t="shared" si="8"/>
        <v>35.286625000000008</v>
      </c>
      <c r="P46" s="15">
        <f t="shared" si="5"/>
        <v>44.481856822902152</v>
      </c>
      <c r="Q46" s="15">
        <f t="shared" si="6"/>
        <v>40.572080890499528</v>
      </c>
      <c r="R46">
        <f t="shared" si="4"/>
        <v>1338</v>
      </c>
    </row>
    <row r="47" spans="1:18" x14ac:dyDescent="0.3">
      <c r="A47" s="19">
        <v>45139</v>
      </c>
      <c r="B47" s="15">
        <v>5912.9051225161293</v>
      </c>
      <c r="C47" s="15">
        <v>3220.7871290322582</v>
      </c>
      <c r="D47" s="15">
        <v>2692.117993483871</v>
      </c>
      <c r="E47" s="15">
        <v>17576.741935483871</v>
      </c>
      <c r="F47" s="15">
        <v>0</v>
      </c>
      <c r="G47" s="15">
        <v>99844.400999999983</v>
      </c>
      <c r="H47" s="17">
        <v>1.3359190593000001E-2</v>
      </c>
      <c r="I47" s="15">
        <v>544879</v>
      </c>
      <c r="J47" s="15">
        <v>0</v>
      </c>
      <c r="K47" s="15">
        <v>83455.657798</v>
      </c>
      <c r="L47" s="15">
        <v>0</v>
      </c>
      <c r="M47" s="16">
        <v>7</v>
      </c>
      <c r="N47" s="18">
        <f t="shared" si="7"/>
        <v>0.63507129025899989</v>
      </c>
      <c r="O47" s="20">
        <f t="shared" si="8"/>
        <v>35.83150400000001</v>
      </c>
      <c r="P47" s="15">
        <f t="shared" si="5"/>
        <v>45.529531384367786</v>
      </c>
      <c r="Q47" s="15">
        <f t="shared" si="6"/>
        <v>34.325209023989245</v>
      </c>
      <c r="R47">
        <f t="shared" si="4"/>
        <v>1369</v>
      </c>
    </row>
    <row r="48" spans="1:18" x14ac:dyDescent="0.3">
      <c r="A48" s="19">
        <v>45170</v>
      </c>
      <c r="B48" s="15">
        <v>5132.4030230000008</v>
      </c>
      <c r="C48" s="15">
        <v>2848.7963666666665</v>
      </c>
      <c r="D48" s="15">
        <v>2283.6066563333334</v>
      </c>
      <c r="E48" s="15">
        <v>14753.2</v>
      </c>
      <c r="F48" s="15">
        <v>0</v>
      </c>
      <c r="G48" s="15">
        <v>85463.891000000003</v>
      </c>
      <c r="H48" s="17">
        <v>1.1435076947000002E-2</v>
      </c>
      <c r="I48" s="15">
        <v>442596</v>
      </c>
      <c r="J48" s="15">
        <v>0</v>
      </c>
      <c r="K48" s="15">
        <v>68508.199690000009</v>
      </c>
      <c r="L48" s="15">
        <v>0</v>
      </c>
      <c r="M48" s="16">
        <v>7</v>
      </c>
      <c r="N48" s="18">
        <f t="shared" si="7"/>
        <v>0.64650636720599985</v>
      </c>
      <c r="O48" s="20">
        <f t="shared" si="8"/>
        <v>36.274100000000011</v>
      </c>
      <c r="P48" s="15">
        <f t="shared" si="5"/>
        <v>44.493907553630038</v>
      </c>
      <c r="Q48" s="15">
        <f t="shared" si="6"/>
        <v>32.573292512506825</v>
      </c>
      <c r="R48">
        <f t="shared" si="4"/>
        <v>1400</v>
      </c>
    </row>
    <row r="49" spans="1:18" x14ac:dyDescent="0.3">
      <c r="A49" s="19">
        <v>45200</v>
      </c>
      <c r="B49" s="15">
        <v>5014.0519576129027</v>
      </c>
      <c r="C49" s="15">
        <v>2796.6186774193548</v>
      </c>
      <c r="D49" s="15">
        <v>2217.4332801935484</v>
      </c>
      <c r="E49" s="15">
        <v>18139.387096774193</v>
      </c>
      <c r="F49" s="15">
        <v>0</v>
      </c>
      <c r="G49" s="15">
        <v>86695.179000000004</v>
      </c>
      <c r="H49" s="17">
        <v>1.1599823408000001E-2</v>
      </c>
      <c r="I49" s="15">
        <v>562321</v>
      </c>
      <c r="J49" s="15">
        <v>0</v>
      </c>
      <c r="K49" s="15">
        <v>68740.431685999996</v>
      </c>
      <c r="L49" s="15">
        <v>0</v>
      </c>
      <c r="M49" s="16">
        <v>7</v>
      </c>
      <c r="N49" s="18">
        <f t="shared" si="7"/>
        <v>0.65810619061399989</v>
      </c>
      <c r="O49" s="20">
        <f t="shared" si="8"/>
        <v>36.836421000000009</v>
      </c>
      <c r="P49" s="15">
        <f t="shared" si="5"/>
        <v>44.224377787445725</v>
      </c>
      <c r="Q49" s="15">
        <f t="shared" si="6"/>
        <v>40.796808618389264</v>
      </c>
      <c r="R49">
        <f t="shared" si="4"/>
        <v>1430</v>
      </c>
    </row>
    <row r="50" spans="1:18" x14ac:dyDescent="0.3">
      <c r="A50" s="19">
        <v>45231</v>
      </c>
      <c r="B50" s="15">
        <v>6368.5892640333332</v>
      </c>
      <c r="C50" s="15">
        <v>3319.3009333333334</v>
      </c>
      <c r="D50" s="15">
        <v>3049.2883307000002</v>
      </c>
      <c r="E50" s="15">
        <v>25270.533333333333</v>
      </c>
      <c r="F50" s="15">
        <v>0</v>
      </c>
      <c r="G50" s="15">
        <v>99579.027999999991</v>
      </c>
      <c r="H50" s="17">
        <v>1.3323683672E-2</v>
      </c>
      <c r="I50" s="15">
        <v>758116</v>
      </c>
      <c r="J50" s="15">
        <v>0</v>
      </c>
      <c r="K50" s="15">
        <v>91478.649921000004</v>
      </c>
      <c r="L50" s="15">
        <v>0</v>
      </c>
      <c r="M50" s="16">
        <v>7</v>
      </c>
      <c r="N50" s="18">
        <f t="shared" si="7"/>
        <v>0.67142987428599987</v>
      </c>
      <c r="O50" s="20">
        <f t="shared" si="8"/>
        <v>37.59453700000001</v>
      </c>
      <c r="P50" s="15">
        <f t="shared" si="5"/>
        <v>47.880122336054612</v>
      </c>
      <c r="Q50" s="15">
        <f t="shared" si="6"/>
        <v>47.885564988643999</v>
      </c>
      <c r="R50">
        <f t="shared" si="4"/>
        <v>1461</v>
      </c>
    </row>
    <row r="51" spans="1:18" x14ac:dyDescent="0.3">
      <c r="A51" s="19">
        <v>45261</v>
      </c>
      <c r="B51" s="15">
        <v>6609.2190880967737</v>
      </c>
      <c r="C51" s="15">
        <v>3216.6563870967743</v>
      </c>
      <c r="D51" s="15">
        <v>3392.5627010000003</v>
      </c>
      <c r="E51" s="15">
        <v>35279.258064516129</v>
      </c>
      <c r="F51" s="15">
        <v>0</v>
      </c>
      <c r="G51" s="15">
        <v>99716.348000000013</v>
      </c>
      <c r="H51" s="17">
        <v>1.3342057095E-2</v>
      </c>
      <c r="I51" s="15">
        <v>1093657</v>
      </c>
      <c r="J51" s="15">
        <v>0</v>
      </c>
      <c r="K51" s="15">
        <v>105169.44373100001</v>
      </c>
      <c r="L51" s="15">
        <v>0</v>
      </c>
      <c r="M51" s="16">
        <v>7</v>
      </c>
      <c r="N51" s="18">
        <f t="shared" si="7"/>
        <v>0.6847719313809999</v>
      </c>
      <c r="O51" s="20">
        <f t="shared" si="8"/>
        <v>38.68819400000001</v>
      </c>
      <c r="P51" s="15">
        <f t="shared" si="5"/>
        <v>51.330764736033899</v>
      </c>
      <c r="Q51" s="15">
        <f t="shared" si="6"/>
        <v>68.984513939479598</v>
      </c>
      <c r="R51">
        <f t="shared" si="4"/>
        <v>1491</v>
      </c>
    </row>
    <row r="52" spans="1:18" x14ac:dyDescent="0.3">
      <c r="A52" s="19">
        <v>45292</v>
      </c>
      <c r="B52" s="15">
        <v>6679.887416967742</v>
      </c>
      <c r="C52" s="15">
        <v>3049.5852903225805</v>
      </c>
      <c r="D52" s="15">
        <v>3630.3021266451615</v>
      </c>
      <c r="E52" s="15">
        <v>32800.096774193553</v>
      </c>
      <c r="F52" s="15">
        <v>0</v>
      </c>
      <c r="G52" s="15">
        <v>94537.143999999986</v>
      </c>
      <c r="H52" s="17">
        <v>1.2649079093000001E-2</v>
      </c>
      <c r="I52" s="15">
        <v>1016803</v>
      </c>
      <c r="J52" s="15">
        <v>0</v>
      </c>
      <c r="K52" s="15">
        <v>112539.36592600001</v>
      </c>
      <c r="L52" s="15">
        <v>0</v>
      </c>
      <c r="M52" s="16">
        <v>7</v>
      </c>
      <c r="N52" s="18">
        <f t="shared" si="7"/>
        <v>0.69742101047399985</v>
      </c>
      <c r="O52" s="20">
        <f t="shared" si="8"/>
        <v>39.704997000000013</v>
      </c>
      <c r="P52" s="15">
        <f t="shared" si="5"/>
        <v>54.346756165736331</v>
      </c>
      <c r="Q52" s="15">
        <f t="shared" si="6"/>
        <v>67.650525907573439</v>
      </c>
      <c r="R52">
        <f t="shared" si="4"/>
        <v>1522</v>
      </c>
    </row>
    <row r="53" spans="1:18" x14ac:dyDescent="0.3">
      <c r="A53" s="19">
        <v>45323</v>
      </c>
      <c r="B53" s="15">
        <v>6647.4331037586207</v>
      </c>
      <c r="C53" s="15">
        <v>3178.4492068965519</v>
      </c>
      <c r="D53" s="15">
        <v>3468.9838968620688</v>
      </c>
      <c r="E53" s="15">
        <v>31644.413793103449</v>
      </c>
      <c r="F53" s="15">
        <v>0</v>
      </c>
      <c r="G53" s="15">
        <v>92175.027000000002</v>
      </c>
      <c r="H53" s="17">
        <v>1.2333027601999998E-2</v>
      </c>
      <c r="I53" s="15">
        <v>917688</v>
      </c>
      <c r="J53" s="15">
        <v>0</v>
      </c>
      <c r="K53" s="15">
        <v>100600.53300899999</v>
      </c>
      <c r="L53" s="15">
        <v>0</v>
      </c>
      <c r="M53" s="16">
        <v>7</v>
      </c>
      <c r="N53" s="18">
        <f t="shared" si="7"/>
        <v>0.70975403807599979</v>
      </c>
      <c r="O53" s="20">
        <f t="shared" si="8"/>
        <v>40.622685000000011</v>
      </c>
      <c r="P53" s="15">
        <f t="shared" si="5"/>
        <v>52.185314883434032</v>
      </c>
      <c r="Q53" s="15">
        <f t="shared" si="6"/>
        <v>62.620800560221149</v>
      </c>
      <c r="R53">
        <f t="shared" si="4"/>
        <v>1553</v>
      </c>
    </row>
    <row r="54" spans="1:18" x14ac:dyDescent="0.3">
      <c r="A54" s="19">
        <v>45352</v>
      </c>
      <c r="B54" s="15">
        <v>6782.6351359677419</v>
      </c>
      <c r="C54" s="15">
        <v>3093.9044193548389</v>
      </c>
      <c r="D54" s="15">
        <v>3688.7307166129035</v>
      </c>
      <c r="E54" s="15">
        <v>24819.451612903227</v>
      </c>
      <c r="F54" s="15">
        <v>0</v>
      </c>
      <c r="G54" s="15">
        <v>95911.037000000011</v>
      </c>
      <c r="H54" s="17">
        <v>1.2832906105E-2</v>
      </c>
      <c r="I54" s="15">
        <v>769403</v>
      </c>
      <c r="J54" s="15">
        <v>0</v>
      </c>
      <c r="K54" s="15">
        <v>114350.65221500001</v>
      </c>
      <c r="L54" s="15">
        <v>0</v>
      </c>
      <c r="M54" s="16">
        <v>7</v>
      </c>
      <c r="N54" s="18">
        <f t="shared" si="7"/>
        <v>0.72258694418099978</v>
      </c>
      <c r="O54" s="20">
        <f t="shared" si="8"/>
        <v>41.392088000000008</v>
      </c>
      <c r="P54" s="15">
        <f t="shared" si="5"/>
        <v>54.38492035421271</v>
      </c>
      <c r="Q54" s="15">
        <f t="shared" si="6"/>
        <v>50.457081278351723</v>
      </c>
      <c r="R54">
        <f t="shared" si="4"/>
        <v>1582</v>
      </c>
    </row>
    <row r="55" spans="1:18" x14ac:dyDescent="0.3">
      <c r="A55" s="19">
        <v>45383</v>
      </c>
      <c r="B55" s="15">
        <v>7004.1497088333326</v>
      </c>
      <c r="C55" s="15">
        <v>3030.0601333333334</v>
      </c>
      <c r="D55" s="15">
        <v>3974.0895755000001</v>
      </c>
      <c r="E55" s="15">
        <v>21792.833333333332</v>
      </c>
      <c r="F55" s="15">
        <v>0</v>
      </c>
      <c r="G55" s="15">
        <v>90901.804000000004</v>
      </c>
      <c r="H55" s="17">
        <v>1.2162670246E-2</v>
      </c>
      <c r="I55" s="15">
        <v>653785</v>
      </c>
      <c r="J55" s="15">
        <v>0</v>
      </c>
      <c r="K55" s="15">
        <v>119222.687265</v>
      </c>
      <c r="L55" s="15">
        <v>0</v>
      </c>
      <c r="M55" s="16">
        <v>7</v>
      </c>
      <c r="N55" s="18">
        <f t="shared" si="7"/>
        <v>0.73474961442699982</v>
      </c>
      <c r="O55" s="20">
        <f t="shared" si="8"/>
        <v>42.045873000000007</v>
      </c>
      <c r="P55" s="15">
        <f t="shared" si="5"/>
        <v>56.739072417142197</v>
      </c>
      <c r="Q55" s="15">
        <f t="shared" si="6"/>
        <v>45.237571885812073</v>
      </c>
      <c r="R55">
        <f t="shared" si="4"/>
        <v>1613</v>
      </c>
    </row>
    <row r="56" spans="1:18" x14ac:dyDescent="0.3">
      <c r="A56" s="19">
        <v>45413</v>
      </c>
      <c r="B56" s="15">
        <v>6146.2786168709681</v>
      </c>
      <c r="C56" s="15">
        <v>2879.4640322580653</v>
      </c>
      <c r="D56" s="15">
        <v>3266.8145846129028</v>
      </c>
      <c r="E56" s="15">
        <v>21850.451612903224</v>
      </c>
      <c r="F56" s="15">
        <v>0</v>
      </c>
      <c r="G56" s="15">
        <v>89263.384999999995</v>
      </c>
      <c r="H56" s="17">
        <v>1.194344963E-2</v>
      </c>
      <c r="I56" s="15">
        <v>677364</v>
      </c>
      <c r="J56" s="15">
        <v>0</v>
      </c>
      <c r="K56" s="15">
        <v>101271.252123</v>
      </c>
      <c r="L56" s="15">
        <v>0</v>
      </c>
      <c r="M56" s="16">
        <v>7</v>
      </c>
      <c r="N56" s="18">
        <f t="shared" si="7"/>
        <v>0.74669306405699987</v>
      </c>
      <c r="O56" s="20">
        <f t="shared" si="8"/>
        <v>42.723237000000005</v>
      </c>
      <c r="P56" s="15">
        <f t="shared" si="5"/>
        <v>53.151098221382263</v>
      </c>
      <c r="Q56" s="15">
        <f t="shared" si="6"/>
        <v>47.729358316402632</v>
      </c>
      <c r="R56">
        <f t="shared" si="4"/>
        <v>1643</v>
      </c>
    </row>
    <row r="57" spans="1:18" x14ac:dyDescent="0.3">
      <c r="A57" s="19">
        <v>45444</v>
      </c>
      <c r="B57" s="15">
        <v>6530.0884353666661</v>
      </c>
      <c r="C57" s="15">
        <v>2762.6414333333337</v>
      </c>
      <c r="D57" s="15">
        <v>3767.4470020333329</v>
      </c>
      <c r="E57" s="15">
        <v>22883.200000000001</v>
      </c>
      <c r="F57" s="15">
        <v>0</v>
      </c>
      <c r="G57" s="15">
        <v>82879.242999999988</v>
      </c>
      <c r="H57" s="17">
        <v>1.1089250795000002E-2</v>
      </c>
      <c r="I57" s="15">
        <v>686496</v>
      </c>
      <c r="J57" s="15">
        <v>0</v>
      </c>
      <c r="K57" s="15">
        <v>113023.410061</v>
      </c>
      <c r="L57" s="15">
        <v>0</v>
      </c>
      <c r="M57" s="16">
        <v>7</v>
      </c>
      <c r="N57" s="18">
        <f t="shared" si="7"/>
        <v>0.75778231485199987</v>
      </c>
      <c r="O57" s="20">
        <f t="shared" si="8"/>
        <v>43.409733000000003</v>
      </c>
      <c r="P57" s="15">
        <f t="shared" si="5"/>
        <v>57.693659730992451</v>
      </c>
      <c r="Q57" s="15">
        <f t="shared" si="6"/>
        <v>52.098962110452675</v>
      </c>
      <c r="R57">
        <f t="shared" si="4"/>
        <v>1674</v>
      </c>
    </row>
    <row r="58" spans="1:18" x14ac:dyDescent="0.3">
      <c r="A58" s="19">
        <v>45474</v>
      </c>
      <c r="B58" s="15">
        <v>7304.7066175806458</v>
      </c>
      <c r="C58" s="15">
        <v>2755.7041290322582</v>
      </c>
      <c r="D58" s="15">
        <v>4549.0024885483872</v>
      </c>
      <c r="E58" s="15">
        <v>21635.709677419356</v>
      </c>
      <c r="F58" s="15">
        <v>0</v>
      </c>
      <c r="G58" s="15">
        <v>85426.828000000009</v>
      </c>
      <c r="H58" s="17">
        <v>1.1430117911000001E-2</v>
      </c>
      <c r="I58" s="15">
        <v>670707</v>
      </c>
      <c r="J58" s="15">
        <v>0</v>
      </c>
      <c r="K58" s="15">
        <v>141019.07714499999</v>
      </c>
      <c r="L58" s="15">
        <v>0</v>
      </c>
      <c r="M58" s="16">
        <v>7</v>
      </c>
      <c r="N58" s="18">
        <f t="shared" si="7"/>
        <v>0.76921243276299989</v>
      </c>
      <c r="O58" s="20">
        <f t="shared" si="8"/>
        <v>44.080440000000003</v>
      </c>
      <c r="P58" s="15">
        <f t="shared" si="5"/>
        <v>62.274951297839245</v>
      </c>
      <c r="Q58" s="15">
        <f t="shared" si="6"/>
        <v>49.382764025839748</v>
      </c>
      <c r="R58">
        <f t="shared" si="4"/>
        <v>1704</v>
      </c>
    </row>
    <row r="59" spans="1:18" x14ac:dyDescent="0.3">
      <c r="A59" s="19">
        <v>45505</v>
      </c>
      <c r="B59" s="15">
        <v>7370.9136512580635</v>
      </c>
      <c r="C59" s="15">
        <v>2899.0525161290325</v>
      </c>
      <c r="D59" s="15">
        <v>4471.8611351290319</v>
      </c>
      <c r="E59" s="15">
        <v>20939.06451612903</v>
      </c>
      <c r="F59" s="15">
        <v>0</v>
      </c>
      <c r="G59" s="15">
        <v>89870.627999999997</v>
      </c>
      <c r="H59" s="17">
        <v>1.2024698792000001E-2</v>
      </c>
      <c r="I59" s="15">
        <v>649111</v>
      </c>
      <c r="J59" s="15">
        <v>0</v>
      </c>
      <c r="K59" s="15">
        <v>138627.69518900002</v>
      </c>
      <c r="L59" s="15">
        <v>0</v>
      </c>
      <c r="M59" s="16">
        <v>7</v>
      </c>
      <c r="N59" s="18">
        <f t="shared" si="7"/>
        <v>0.78123713155499985</v>
      </c>
      <c r="O59" s="20">
        <f t="shared" si="8"/>
        <v>44.729551000000001</v>
      </c>
      <c r="P59" s="15">
        <f t="shared" si="5"/>
        <v>60.66902078503901</v>
      </c>
      <c r="Q59" s="15">
        <f t="shared" si="6"/>
        <v>45.429507489365712</v>
      </c>
      <c r="R59">
        <f t="shared" si="4"/>
        <v>1735</v>
      </c>
    </row>
    <row r="60" spans="1:18" x14ac:dyDescent="0.3">
      <c r="A60" s="19">
        <v>45536</v>
      </c>
      <c r="B60" s="15">
        <v>6764.3401853000005</v>
      </c>
      <c r="C60" s="15">
        <v>2788.7108666666663</v>
      </c>
      <c r="D60" s="15">
        <v>3975.6293186333337</v>
      </c>
      <c r="E60" s="15">
        <v>19837.899999999998</v>
      </c>
      <c r="F60" s="15">
        <v>0</v>
      </c>
      <c r="G60" s="15">
        <v>83661.326000000001</v>
      </c>
      <c r="H60" s="17">
        <v>1.1193893574000002E-2</v>
      </c>
      <c r="I60" s="15">
        <v>595137</v>
      </c>
      <c r="J60" s="15">
        <v>0</v>
      </c>
      <c r="K60" s="15">
        <v>119268.87955899999</v>
      </c>
      <c r="L60" s="15">
        <v>0</v>
      </c>
      <c r="M60" s="16">
        <v>7</v>
      </c>
      <c r="N60" s="18">
        <f t="shared" si="7"/>
        <v>0.79243102512899988</v>
      </c>
      <c r="O60" s="20">
        <f t="shared" si="8"/>
        <v>45.324688000000002</v>
      </c>
      <c r="P60" s="15">
        <f t="shared" si="5"/>
        <v>58.773349798004183</v>
      </c>
      <c r="Q60" s="15">
        <f t="shared" si="6"/>
        <v>44.743406321338966</v>
      </c>
      <c r="R60">
        <f t="shared" si="4"/>
        <v>1766</v>
      </c>
    </row>
    <row r="61" spans="1:18" x14ac:dyDescent="0.3">
      <c r="A61" s="19">
        <v>45566</v>
      </c>
      <c r="B61" s="15">
        <v>6482.9180115806448</v>
      </c>
      <c r="C61" s="15">
        <v>2591.2834193548388</v>
      </c>
      <c r="D61" s="15">
        <v>3891.6345922258065</v>
      </c>
      <c r="E61" s="15">
        <v>20438.935483870966</v>
      </c>
      <c r="F61" s="15">
        <v>0</v>
      </c>
      <c r="G61" s="15">
        <v>80329.785999999993</v>
      </c>
      <c r="H61" s="17">
        <v>1.0748133204999998E-2</v>
      </c>
      <c r="I61" s="15">
        <v>633607</v>
      </c>
      <c r="J61" s="15">
        <v>0</v>
      </c>
      <c r="K61" s="15">
        <v>120640.67235900002</v>
      </c>
      <c r="L61" s="15">
        <v>0</v>
      </c>
      <c r="M61" s="16">
        <v>7</v>
      </c>
      <c r="N61" s="18">
        <f t="shared" si="7"/>
        <v>0.80317915833399989</v>
      </c>
      <c r="O61" s="20">
        <f t="shared" si="8"/>
        <v>45.958295</v>
      </c>
      <c r="P61" s="15">
        <f t="shared" si="5"/>
        <v>60.029057675479692</v>
      </c>
      <c r="Q61" s="15">
        <f t="shared" si="6"/>
        <v>49.611252650417867</v>
      </c>
      <c r="R61">
        <f t="shared" si="4"/>
        <v>1796</v>
      </c>
    </row>
    <row r="62" spans="1:18" x14ac:dyDescent="0.3">
      <c r="A62" s="19">
        <v>45597</v>
      </c>
      <c r="B62" s="15">
        <v>6507.8028365999999</v>
      </c>
      <c r="C62" s="15">
        <v>2585.6603</v>
      </c>
      <c r="D62" s="15">
        <v>3922.1425365999999</v>
      </c>
      <c r="E62" s="15">
        <v>19487.766666666666</v>
      </c>
      <c r="F62" s="15">
        <v>0</v>
      </c>
      <c r="G62" s="15">
        <v>77569.809000000008</v>
      </c>
      <c r="H62" s="17">
        <v>1.0378848012000001E-2</v>
      </c>
      <c r="I62" s="15">
        <v>584633</v>
      </c>
      <c r="J62" s="15">
        <v>0</v>
      </c>
      <c r="K62" s="15">
        <v>117664.276098</v>
      </c>
      <c r="L62" s="15">
        <v>0</v>
      </c>
      <c r="M62" s="16">
        <v>7</v>
      </c>
      <c r="N62" s="18">
        <f t="shared" si="7"/>
        <v>0.81355800634599984</v>
      </c>
      <c r="O62" s="20">
        <f t="shared" si="8"/>
        <v>46.542927999999996</v>
      </c>
      <c r="P62" s="15">
        <f t="shared" si="5"/>
        <v>60.268306140773042</v>
      </c>
      <c r="Q62" s="15">
        <f t="shared" si="6"/>
        <v>47.405359002495409</v>
      </c>
      <c r="R62">
        <f t="shared" si="4"/>
        <v>1827</v>
      </c>
    </row>
    <row r="63" spans="1:18" x14ac:dyDescent="0.3">
      <c r="A63" s="19">
        <v>45627</v>
      </c>
      <c r="B63" s="15">
        <v>6247.4811391935482</v>
      </c>
      <c r="C63" s="15">
        <v>2586.2072258064513</v>
      </c>
      <c r="D63" s="15">
        <v>3661.2739133870964</v>
      </c>
      <c r="E63" s="15">
        <v>16312.741935483869</v>
      </c>
      <c r="F63" s="15">
        <v>0</v>
      </c>
      <c r="G63" s="15">
        <v>80172.423999999999</v>
      </c>
      <c r="H63" s="17">
        <v>1.0727078162000001E-2</v>
      </c>
      <c r="I63" s="15">
        <v>505695</v>
      </c>
      <c r="J63" s="15">
        <v>0</v>
      </c>
      <c r="K63" s="15">
        <v>113499.49131499999</v>
      </c>
      <c r="L63" s="15">
        <v>0</v>
      </c>
      <c r="M63" s="16">
        <v>7</v>
      </c>
      <c r="N63" s="18">
        <f t="shared" si="7"/>
        <v>0.82428508450799987</v>
      </c>
      <c r="O63" s="20">
        <f t="shared" si="8"/>
        <v>47.048622999999999</v>
      </c>
      <c r="P63" s="15">
        <f t="shared" si="5"/>
        <v>58.604001065615222</v>
      </c>
      <c r="Q63" s="15">
        <f t="shared" si="6"/>
        <v>39.673496849739756</v>
      </c>
      <c r="R63">
        <f t="shared" si="4"/>
        <v>1857</v>
      </c>
    </row>
    <row r="64" spans="1:18" x14ac:dyDescent="0.3">
      <c r="A64" s="19">
        <v>45658</v>
      </c>
      <c r="B64" s="15">
        <v>6431.506158096774</v>
      </c>
      <c r="C64" s="15">
        <v>2484.3105161290323</v>
      </c>
      <c r="D64" s="15">
        <v>3947.1956419677417</v>
      </c>
      <c r="E64" s="15">
        <v>15026.935483870968</v>
      </c>
      <c r="F64" s="15">
        <v>0</v>
      </c>
      <c r="G64" s="15">
        <v>77013.626000000004</v>
      </c>
      <c r="H64" s="17">
        <v>1.0304430668999998E-2</v>
      </c>
      <c r="I64" s="15">
        <v>465835</v>
      </c>
      <c r="J64" s="15">
        <v>0</v>
      </c>
      <c r="K64" s="15">
        <v>122363.06490100001</v>
      </c>
      <c r="L64" s="15">
        <v>0</v>
      </c>
      <c r="M64" s="16">
        <v>7</v>
      </c>
      <c r="N64" s="18">
        <f t="shared" si="7"/>
        <v>0.83458951517699986</v>
      </c>
      <c r="O64" s="20">
        <f t="shared" si="8"/>
        <v>47.514457999999998</v>
      </c>
      <c r="P64" s="15">
        <f t="shared" si="5"/>
        <v>61.372803585028443</v>
      </c>
      <c r="Q64" s="15">
        <f t="shared" si="6"/>
        <v>38.045332172776796</v>
      </c>
      <c r="R64">
        <f t="shared" si="4"/>
        <v>1888</v>
      </c>
    </row>
    <row r="65" spans="1:18" x14ac:dyDescent="0.3">
      <c r="A65" s="19">
        <v>45689</v>
      </c>
      <c r="B65" s="15">
        <v>6735.3919053214286</v>
      </c>
      <c r="C65" s="15">
        <v>2451.2947857142858</v>
      </c>
      <c r="D65" s="15">
        <v>4284.0971196071423</v>
      </c>
      <c r="E65" s="15">
        <v>15580.75</v>
      </c>
      <c r="F65" s="15">
        <v>0</v>
      </c>
      <c r="G65" s="15">
        <v>68636.254000000001</v>
      </c>
      <c r="H65" s="17">
        <v>9.1835374909999996E-3</v>
      </c>
      <c r="I65" s="15">
        <v>436261</v>
      </c>
      <c r="J65" s="15">
        <v>0</v>
      </c>
      <c r="K65" s="15">
        <v>119954.71934899999</v>
      </c>
      <c r="L65" s="15">
        <v>0</v>
      </c>
      <c r="M65" s="16">
        <v>7</v>
      </c>
      <c r="N65" s="18">
        <f t="shared" si="7"/>
        <v>0.84377305266799985</v>
      </c>
      <c r="O65" s="20">
        <f t="shared" si="8"/>
        <v>47.950718999999999</v>
      </c>
      <c r="P65" s="15">
        <f t="shared" si="5"/>
        <v>63.605758652624324</v>
      </c>
      <c r="Q65" s="15">
        <f t="shared" si="6"/>
        <v>39.978790768505512</v>
      </c>
      <c r="R65">
        <f t="shared" si="4"/>
        <v>1919</v>
      </c>
    </row>
    <row r="66" spans="1:18" x14ac:dyDescent="0.3">
      <c r="A66" s="19">
        <v>45717</v>
      </c>
      <c r="B66" s="15">
        <v>7418.9968010967741</v>
      </c>
      <c r="C66" s="15">
        <v>2456.0648064516126</v>
      </c>
      <c r="D66" s="15">
        <v>4962.9319946451615</v>
      </c>
      <c r="E66" s="15">
        <v>15612.903225806453</v>
      </c>
      <c r="F66" s="15">
        <v>0</v>
      </c>
      <c r="G66" s="15">
        <v>76138.008999999991</v>
      </c>
      <c r="H66" s="17">
        <v>1.0187273034000001E-2</v>
      </c>
      <c r="I66" s="15">
        <v>484000</v>
      </c>
      <c r="J66" s="15">
        <v>0</v>
      </c>
      <c r="K66" s="15">
        <v>153850.89183400001</v>
      </c>
      <c r="L66" s="15">
        <v>0</v>
      </c>
      <c r="M66" s="16">
        <v>7</v>
      </c>
      <c r="N66" s="18">
        <f t="shared" si="7"/>
        <v>0.85396032570199987</v>
      </c>
      <c r="O66" s="20">
        <f t="shared" si="8"/>
        <v>48.434719000000001</v>
      </c>
      <c r="P66" s="15">
        <f t="shared" si="5"/>
        <v>66.894920266193878</v>
      </c>
      <c r="Q66" s="15">
        <f t="shared" si="6"/>
        <v>39.983488404589096</v>
      </c>
      <c r="R66">
        <f t="shared" si="4"/>
        <v>1947</v>
      </c>
    </row>
    <row r="67" spans="1:18" x14ac:dyDescent="0.3">
      <c r="A67" s="19">
        <v>45748</v>
      </c>
      <c r="B67" s="15">
        <v>6663.3203355666665</v>
      </c>
      <c r="C67" s="15">
        <v>2228.5092</v>
      </c>
      <c r="D67" s="15">
        <v>4434.811135566667</v>
      </c>
      <c r="E67" s="15">
        <v>16102.6</v>
      </c>
      <c r="F67" s="15">
        <v>0</v>
      </c>
      <c r="G67" s="15">
        <v>66855.275999999998</v>
      </c>
      <c r="H67" s="17">
        <v>8.9452424550000003E-3</v>
      </c>
      <c r="I67" s="15">
        <v>483078</v>
      </c>
      <c r="J67" s="15">
        <v>0</v>
      </c>
      <c r="K67" s="15">
        <v>133044.33406699999</v>
      </c>
      <c r="L67" s="15">
        <v>0</v>
      </c>
      <c r="M67" s="16">
        <v>7</v>
      </c>
      <c r="N67" s="18">
        <f t="shared" si="7"/>
        <v>0.86290556815699981</v>
      </c>
      <c r="O67" s="20">
        <f t="shared" si="8"/>
        <v>48.917797</v>
      </c>
      <c r="P67" s="15">
        <f t="shared" si="5"/>
        <v>66.555574581865244</v>
      </c>
      <c r="Q67" s="15">
        <f t="shared" si="6"/>
        <v>45.448380235540419</v>
      </c>
      <c r="R67">
        <f t="shared" ref="R67:R70" si="9">A67-$A$2</f>
        <v>1978</v>
      </c>
    </row>
    <row r="68" spans="1:18" x14ac:dyDescent="0.3">
      <c r="A68" s="19">
        <v>45778</v>
      </c>
      <c r="B68" s="15">
        <v>6761.4168193225814</v>
      </c>
      <c r="C68" s="15">
        <v>2304.2441935483871</v>
      </c>
      <c r="D68" s="15">
        <v>4457.1726257741939</v>
      </c>
      <c r="E68" s="15">
        <v>14414.451612903224</v>
      </c>
      <c r="F68" s="15">
        <v>0</v>
      </c>
      <c r="G68" s="15">
        <v>71431.570000000007</v>
      </c>
      <c r="H68" s="17">
        <v>9.5575510379999999E-3</v>
      </c>
      <c r="I68" s="15">
        <v>446848</v>
      </c>
      <c r="J68" s="15">
        <v>0</v>
      </c>
      <c r="K68" s="15">
        <v>138172.35139900001</v>
      </c>
      <c r="L68" s="15">
        <v>0</v>
      </c>
      <c r="M68" s="16">
        <v>7</v>
      </c>
      <c r="N68" s="18">
        <f t="shared" si="7"/>
        <v>0.87246311919499986</v>
      </c>
      <c r="O68" s="20">
        <f t="shared" si="8"/>
        <v>49.364645000000003</v>
      </c>
      <c r="P68" s="15">
        <f t="shared" si="5"/>
        <v>65.920690069522337</v>
      </c>
      <c r="Q68" s="15">
        <f t="shared" si="6"/>
        <v>39.34653193818923</v>
      </c>
      <c r="R68">
        <f t="shared" si="9"/>
        <v>2008</v>
      </c>
    </row>
    <row r="69" spans="1:18" x14ac:dyDescent="0.3">
      <c r="A69" s="19">
        <v>45809</v>
      </c>
      <c r="B69" s="15">
        <v>7142.529666833334</v>
      </c>
      <c r="C69" s="15">
        <v>2239.4250999999999</v>
      </c>
      <c r="D69" s="15">
        <v>4903.1045668333336</v>
      </c>
      <c r="E69" s="15">
        <v>11403.733333333332</v>
      </c>
      <c r="F69" s="15">
        <v>0</v>
      </c>
      <c r="G69" s="15">
        <v>67182.753000000012</v>
      </c>
      <c r="H69" s="17">
        <v>8.9890589150000005E-3</v>
      </c>
      <c r="I69" s="15">
        <v>342112</v>
      </c>
      <c r="J69" s="15">
        <v>0</v>
      </c>
      <c r="K69" s="15">
        <v>147093.13700500003</v>
      </c>
      <c r="L69" s="15">
        <v>0</v>
      </c>
      <c r="M69" s="16">
        <v>7</v>
      </c>
      <c r="N69" s="18">
        <f t="shared" si="7"/>
        <v>0.88145217810999987</v>
      </c>
      <c r="O69" s="20">
        <f t="shared" si="8"/>
        <v>49.706757000000003</v>
      </c>
      <c r="P69" s="15">
        <f t="shared" si="5"/>
        <v>68.646611152364216</v>
      </c>
      <c r="Q69" s="15">
        <f t="shared" si="6"/>
        <v>32.029292660870858</v>
      </c>
      <c r="R69">
        <f t="shared" si="9"/>
        <v>2039</v>
      </c>
    </row>
    <row r="70" spans="1:18" x14ac:dyDescent="0.3">
      <c r="A70" s="19">
        <v>45839</v>
      </c>
      <c r="B70" s="15">
        <v>7186.9731163870965</v>
      </c>
      <c r="C70" s="15">
        <v>2188.2970000000005</v>
      </c>
      <c r="D70" s="15">
        <v>4998.676116387097</v>
      </c>
      <c r="E70" s="15">
        <v>13212.548387096775</v>
      </c>
      <c r="F70" s="15">
        <v>0</v>
      </c>
      <c r="G70" s="15">
        <v>67837.206999999995</v>
      </c>
      <c r="H70" s="17">
        <v>9.076624912E-3</v>
      </c>
      <c r="I70" s="15">
        <v>409589</v>
      </c>
      <c r="J70" s="15">
        <v>0</v>
      </c>
      <c r="K70" s="15">
        <v>154958.959608</v>
      </c>
      <c r="L70" s="15">
        <v>0</v>
      </c>
      <c r="M70" s="16">
        <v>7</v>
      </c>
      <c r="N70" s="18">
        <f t="shared" si="7"/>
        <v>0.89052880302199988</v>
      </c>
      <c r="O70" s="20">
        <f t="shared" si="8"/>
        <v>50.116346</v>
      </c>
      <c r="P70" s="15">
        <f t="shared" si="5"/>
        <v>69.55189668080935</v>
      </c>
      <c r="Q70" s="15">
        <f t="shared" si="6"/>
        <v>37.976694591804176</v>
      </c>
      <c r="R70">
        <f t="shared" si="9"/>
        <v>2069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8942-A869-437B-BFBE-40A8AECD2E5F}">
  <dimension ref="A1:L17"/>
  <sheetViews>
    <sheetView tabSelected="1" topLeftCell="D1" zoomScale="185" workbookViewId="0">
      <selection activeCell="H4" sqref="H4"/>
    </sheetView>
  </sheetViews>
  <sheetFormatPr defaultRowHeight="14.4" x14ac:dyDescent="0.3"/>
  <cols>
    <col min="6" max="6" width="39.109375" bestFit="1" customWidth="1"/>
    <col min="7" max="7" width="12.88671875" bestFit="1" customWidth="1"/>
    <col min="8" max="8" width="11.5546875" bestFit="1" customWidth="1"/>
    <col min="9" max="9" width="21.21875" customWidth="1"/>
  </cols>
  <sheetData>
    <row r="1" spans="1:12" x14ac:dyDescent="0.3">
      <c r="B1" s="52" t="s">
        <v>35</v>
      </c>
      <c r="C1" s="52"/>
      <c r="D1" s="52"/>
      <c r="F1" s="51" t="s">
        <v>40</v>
      </c>
      <c r="G1" s="51"/>
      <c r="I1" s="52" t="s">
        <v>33</v>
      </c>
      <c r="J1" s="52"/>
    </row>
    <row r="2" spans="1:12" x14ac:dyDescent="0.3">
      <c r="B2" s="1" t="s">
        <v>0</v>
      </c>
      <c r="C2" s="1" t="s">
        <v>17</v>
      </c>
      <c r="D2" s="1" t="s">
        <v>18</v>
      </c>
      <c r="F2" s="21" t="s">
        <v>19</v>
      </c>
      <c r="G2" s="21">
        <v>46.88</v>
      </c>
      <c r="H2">
        <f>14.22334 * G2</f>
        <v>666.79017920000001</v>
      </c>
      <c r="I2" s="1" t="s">
        <v>28</v>
      </c>
      <c r="J2" s="1">
        <v>1550</v>
      </c>
      <c r="K2">
        <f>3.287*J2</f>
        <v>5094.8499999999995</v>
      </c>
      <c r="L2" t="s">
        <v>59</v>
      </c>
    </row>
    <row r="3" spans="1:12" x14ac:dyDescent="0.3">
      <c r="A3" s="53" t="s">
        <v>34</v>
      </c>
      <c r="B3" s="2">
        <v>43770</v>
      </c>
      <c r="C3" s="1">
        <v>2236</v>
      </c>
      <c r="D3" s="1" t="s">
        <v>36</v>
      </c>
      <c r="F3" s="21" t="s">
        <v>20</v>
      </c>
      <c r="G3" s="21">
        <v>96.8</v>
      </c>
      <c r="H3">
        <f>(G3 *(9/5)) + 32 +460</f>
        <v>666.24</v>
      </c>
      <c r="I3" s="1" t="s">
        <v>29</v>
      </c>
      <c r="J3" s="1">
        <v>10.3</v>
      </c>
      <c r="K3">
        <f>247.105*J3</f>
        <v>2545.1815000000001</v>
      </c>
      <c r="L3" t="s">
        <v>58</v>
      </c>
    </row>
    <row r="4" spans="1:12" x14ac:dyDescent="0.3">
      <c r="A4" s="53"/>
      <c r="B4" s="2">
        <v>43770</v>
      </c>
      <c r="C4" s="1">
        <v>2217</v>
      </c>
      <c r="D4" s="1" t="s">
        <v>37</v>
      </c>
      <c r="F4" s="21" t="s">
        <v>21</v>
      </c>
      <c r="G4" s="21">
        <v>1.1839999999999999</v>
      </c>
      <c r="I4" s="1" t="s">
        <v>30</v>
      </c>
      <c r="J4" s="1">
        <v>7.62</v>
      </c>
      <c r="K4">
        <f>3.281*J4</f>
        <v>25.00122</v>
      </c>
      <c r="L4" t="s">
        <v>59</v>
      </c>
    </row>
    <row r="5" spans="1:12" x14ac:dyDescent="0.3">
      <c r="B5" s="2">
        <v>44593</v>
      </c>
      <c r="C5" s="1">
        <v>2156</v>
      </c>
      <c r="D5" s="1" t="s">
        <v>38</v>
      </c>
      <c r="F5" s="21" t="s">
        <v>27</v>
      </c>
      <c r="G5" s="23">
        <v>1.1599999999999999</v>
      </c>
      <c r="I5" s="1" t="s">
        <v>31</v>
      </c>
      <c r="J5" s="1">
        <v>12.6</v>
      </c>
      <c r="K5">
        <f>0.126</f>
        <v>0.126</v>
      </c>
    </row>
    <row r="6" spans="1:12" x14ac:dyDescent="0.3">
      <c r="B6" s="2">
        <v>44593</v>
      </c>
      <c r="C6" s="1">
        <v>2188</v>
      </c>
      <c r="D6" s="1" t="s">
        <v>39</v>
      </c>
      <c r="F6" s="21" t="s">
        <v>22</v>
      </c>
      <c r="G6" s="21">
        <v>41</v>
      </c>
      <c r="I6" s="1" t="s">
        <v>32</v>
      </c>
      <c r="J6" s="1">
        <v>44</v>
      </c>
      <c r="K6">
        <f>0.44</f>
        <v>0.44</v>
      </c>
    </row>
    <row r="7" spans="1:12" x14ac:dyDescent="0.3">
      <c r="F7" s="22" t="s">
        <v>23</v>
      </c>
      <c r="G7" s="21">
        <v>33.9</v>
      </c>
    </row>
    <row r="8" spans="1:12" x14ac:dyDescent="0.3">
      <c r="B8" t="s">
        <v>64</v>
      </c>
      <c r="F8" s="22" t="s">
        <v>24</v>
      </c>
      <c r="G8" s="21">
        <v>0.85470000000000002</v>
      </c>
    </row>
    <row r="9" spans="1:12" x14ac:dyDescent="0.3">
      <c r="B9" s="30" t="s">
        <v>70</v>
      </c>
      <c r="C9" t="s">
        <v>71</v>
      </c>
      <c r="F9" s="22" t="s">
        <v>25</v>
      </c>
      <c r="G9" s="21">
        <v>1.5047999999999999</v>
      </c>
    </row>
    <row r="10" spans="1:12" x14ac:dyDescent="0.3">
      <c r="B10" s="31">
        <v>1</v>
      </c>
      <c r="C10">
        <v>2217</v>
      </c>
      <c r="F10" s="22" t="s">
        <v>26</v>
      </c>
      <c r="G10" s="21">
        <v>0.89</v>
      </c>
    </row>
    <row r="11" spans="1:12" x14ac:dyDescent="0.3">
      <c r="B11">
        <v>10</v>
      </c>
    </row>
    <row r="12" spans="1:12" x14ac:dyDescent="0.3">
      <c r="B12">
        <v>50</v>
      </c>
    </row>
    <row r="13" spans="1:12" ht="15.6" x14ac:dyDescent="0.35">
      <c r="B13">
        <v>100</v>
      </c>
      <c r="F13" s="34" t="s">
        <v>57</v>
      </c>
      <c r="G13" s="34">
        <f>(7758*K3*K4*K5*K6)/G5</f>
        <v>23593641.015844025</v>
      </c>
    </row>
    <row r="14" spans="1:12" x14ac:dyDescent="0.3">
      <c r="B14">
        <v>200</v>
      </c>
    </row>
    <row r="15" spans="1:12" x14ac:dyDescent="0.3">
      <c r="B15">
        <v>400</v>
      </c>
    </row>
    <row r="16" spans="1:12" x14ac:dyDescent="0.3">
      <c r="B16">
        <v>600</v>
      </c>
    </row>
    <row r="17" spans="2:3" x14ac:dyDescent="0.3">
      <c r="B17">
        <v>823</v>
      </c>
      <c r="C17">
        <v>2156</v>
      </c>
    </row>
  </sheetData>
  <mergeCells count="4">
    <mergeCell ref="F1:G1"/>
    <mergeCell ref="I1:J1"/>
    <mergeCell ref="A3:A4"/>
    <mergeCell ref="B1:D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topLeftCell="D1" zoomScale="96" zoomScaleNormal="40" workbookViewId="0">
      <selection activeCell="T2" sqref="T2:V2"/>
    </sheetView>
  </sheetViews>
  <sheetFormatPr defaultColWidth="8.77734375" defaultRowHeight="14.4" x14ac:dyDescent="0.3"/>
  <cols>
    <col min="1" max="1" width="8.77734375" style="1"/>
    <col min="2" max="6" width="8.77734375" style="1" bestFit="1" customWidth="1"/>
    <col min="7" max="7" width="9.44140625" style="1" bestFit="1" customWidth="1"/>
    <col min="8" max="8" width="15.5546875" style="1" bestFit="1" customWidth="1"/>
    <col min="9" max="9" width="11.44140625" style="1" bestFit="1" customWidth="1"/>
    <col min="10" max="10" width="10.44140625" style="1" bestFit="1" customWidth="1"/>
    <col min="11" max="12" width="8.77734375" style="1" bestFit="1" customWidth="1"/>
    <col min="13" max="17" width="8.77734375" style="1"/>
    <col min="18" max="18" width="14" style="1" bestFit="1" customWidth="1"/>
    <col min="19" max="16384" width="8.77734375" style="1"/>
  </cols>
  <sheetData>
    <row r="1" spans="1:22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</row>
    <row r="2" spans="1:22" x14ac:dyDescent="0.3">
      <c r="A2" s="4">
        <v>43770</v>
      </c>
      <c r="B2" s="5">
        <v>516.57791476666659</v>
      </c>
      <c r="C2" s="5">
        <v>515.61683333333326</v>
      </c>
      <c r="D2" s="5">
        <v>0.9610814333333334</v>
      </c>
      <c r="E2" s="5">
        <v>2427.7333333333331</v>
      </c>
      <c r="F2" s="5">
        <v>0</v>
      </c>
      <c r="G2" s="5">
        <v>15468.504999999999</v>
      </c>
      <c r="H2" s="9">
        <v>2.0706707029999995E-3</v>
      </c>
      <c r="I2" s="5">
        <v>72832</v>
      </c>
      <c r="J2" s="5">
        <v>28.832443000000001</v>
      </c>
      <c r="K2" s="5">
        <v>0.18604772017159207</v>
      </c>
      <c r="L2" s="5">
        <v>29.614931345983337</v>
      </c>
      <c r="M2" s="3">
        <f>C2*30</f>
        <v>15468.504999999997</v>
      </c>
      <c r="N2" s="1">
        <f>A2-$A$2</f>
        <v>0</v>
      </c>
      <c r="O2" s="1">
        <f>D2/C2</f>
        <v>1.8639450289475296E-3</v>
      </c>
      <c r="T2" s="54"/>
      <c r="U2" s="55"/>
      <c r="V2" s="56"/>
    </row>
    <row r="3" spans="1:22" x14ac:dyDescent="0.3">
      <c r="A3" s="2">
        <v>43800</v>
      </c>
      <c r="B3" s="3">
        <v>781.59590187096774</v>
      </c>
      <c r="C3" s="3">
        <v>780.21458064516128</v>
      </c>
      <c r="D3" s="3">
        <v>1.3813212258064516</v>
      </c>
      <c r="E3" s="3">
        <v>3190.9032258064517</v>
      </c>
      <c r="F3" s="3">
        <v>0</v>
      </c>
      <c r="G3" s="3">
        <v>24186.651999999998</v>
      </c>
      <c r="H3" s="10">
        <v>3.2377137769999996E-3</v>
      </c>
      <c r="I3" s="3">
        <v>98918</v>
      </c>
      <c r="J3" s="3">
        <v>42.820957999999997</v>
      </c>
      <c r="K3" s="3">
        <v>0.1767308685344785</v>
      </c>
      <c r="L3" s="3">
        <v>25.723875979197121</v>
      </c>
      <c r="N3" s="1">
        <f t="shared" ref="N3:N66" si="0">A3-$A$2</f>
        <v>30</v>
      </c>
      <c r="O3" s="1">
        <f t="shared" ref="O3:O66" si="1">D3/C3</f>
        <v>1.7704375950834369E-3</v>
      </c>
      <c r="R3" s="1">
        <f>(O3-O2) / (N3-N2)</f>
        <v>-3.1169144621364235E-6</v>
      </c>
    </row>
    <row r="4" spans="1:22" x14ac:dyDescent="0.3">
      <c r="A4" s="2">
        <v>43831</v>
      </c>
      <c r="B4" s="3">
        <v>1107.7660650645162</v>
      </c>
      <c r="C4" s="3">
        <v>1101.8982903225808</v>
      </c>
      <c r="D4" s="3">
        <v>5.8677747419354835</v>
      </c>
      <c r="E4" s="3">
        <v>1495.8709677419354</v>
      </c>
      <c r="F4" s="3">
        <v>0</v>
      </c>
      <c r="G4" s="3">
        <v>34158.847000000002</v>
      </c>
      <c r="H4" s="10">
        <v>4.5726283030000005E-3</v>
      </c>
      <c r="I4" s="3">
        <v>46372</v>
      </c>
      <c r="J4" s="3">
        <v>181.901017</v>
      </c>
      <c r="K4" s="3">
        <v>0.52969439369798221</v>
      </c>
      <c r="L4" s="3">
        <v>8.5386548790712986</v>
      </c>
      <c r="N4" s="1">
        <f t="shared" si="0"/>
        <v>61</v>
      </c>
      <c r="O4" s="1">
        <f t="shared" si="1"/>
        <v>5.3251509630872487E-3</v>
      </c>
      <c r="P4" s="1">
        <f>IF(OR(N3&lt;=0,N5&lt;=0,O3="",O5=""),"",(O5-O3)/(LN(N5)-LN(N3)))</f>
        <v>9.169012685797789E-3</v>
      </c>
      <c r="R4" s="1">
        <f t="shared" ref="R4:R67" si="2">(O4-O3) / (N4-N3)</f>
        <v>1.1466817316141328E-4</v>
      </c>
    </row>
    <row r="5" spans="1:22" x14ac:dyDescent="0.3">
      <c r="A5" s="2">
        <v>43862</v>
      </c>
      <c r="B5" s="3">
        <v>1146.6084557586209</v>
      </c>
      <c r="C5" s="3">
        <v>1132.9617586206898</v>
      </c>
      <c r="D5" s="3">
        <v>13.646697137931033</v>
      </c>
      <c r="E5" s="3">
        <v>6075.8275862068967</v>
      </c>
      <c r="F5" s="3">
        <v>0</v>
      </c>
      <c r="G5" s="3">
        <v>32855.891000000003</v>
      </c>
      <c r="H5" s="10">
        <v>4.3982098400000003E-3</v>
      </c>
      <c r="I5" s="3">
        <v>176199</v>
      </c>
      <c r="J5" s="3">
        <v>395.75421699999998</v>
      </c>
      <c r="K5" s="3">
        <v>1.1901793562914276</v>
      </c>
      <c r="L5" s="3">
        <v>33.730829889836187</v>
      </c>
      <c r="N5" s="1">
        <f t="shared" si="0"/>
        <v>92</v>
      </c>
      <c r="O5" s="1">
        <f t="shared" si="1"/>
        <v>1.2045152481179095E-2</v>
      </c>
      <c r="P5" s="1">
        <f t="shared" ref="P5:P68" si="3">IF(OR(N4&lt;=0,N6&lt;=0,O4="",O6=""),"",(O6-O4)/(LN(N6)-LN(N4)))</f>
        <v>1.8806436189720228E-2</v>
      </c>
      <c r="R5" s="1">
        <f t="shared" si="2"/>
        <v>2.1677424251909181E-4</v>
      </c>
    </row>
    <row r="6" spans="1:22" x14ac:dyDescent="0.3">
      <c r="A6" s="2">
        <v>43891</v>
      </c>
      <c r="B6" s="3">
        <v>1251.470876548387</v>
      </c>
      <c r="C6" s="3">
        <v>1229.0939999999998</v>
      </c>
      <c r="D6" s="3">
        <v>22.376876548387099</v>
      </c>
      <c r="E6" s="3">
        <v>9306.322580645161</v>
      </c>
      <c r="F6" s="3">
        <v>0</v>
      </c>
      <c r="G6" s="3">
        <v>38101.913999999997</v>
      </c>
      <c r="H6" s="10">
        <v>5.1004616859999996E-3</v>
      </c>
      <c r="I6" s="3">
        <v>288496</v>
      </c>
      <c r="J6" s="3">
        <v>693.68317300000001</v>
      </c>
      <c r="K6" s="3">
        <v>1.7880461277775421</v>
      </c>
      <c r="L6" s="3">
        <v>47.62443537088452</v>
      </c>
      <c r="N6" s="1">
        <f t="shared" si="0"/>
        <v>121</v>
      </c>
      <c r="O6" s="1">
        <f t="shared" si="1"/>
        <v>1.8205992827551924E-2</v>
      </c>
      <c r="P6" s="1">
        <f t="shared" si="3"/>
        <v>1.6019345755627527E-2</v>
      </c>
      <c r="R6" s="1">
        <f t="shared" si="2"/>
        <v>2.1244277056458029E-4</v>
      </c>
    </row>
    <row r="7" spans="1:22" x14ac:dyDescent="0.3">
      <c r="A7" s="2">
        <v>43922</v>
      </c>
      <c r="B7" s="3">
        <v>1249.0865735666666</v>
      </c>
      <c r="C7" s="3">
        <v>1224.4886333333334</v>
      </c>
      <c r="D7" s="3">
        <v>24.597940233333336</v>
      </c>
      <c r="E7" s="3">
        <v>9239.7666666666664</v>
      </c>
      <c r="F7" s="3">
        <v>0</v>
      </c>
      <c r="G7" s="3">
        <v>36734.659</v>
      </c>
      <c r="H7" s="10">
        <v>4.9174359219999993E-3</v>
      </c>
      <c r="I7" s="3">
        <v>277193</v>
      </c>
      <c r="J7" s="3">
        <v>737.93820700000003</v>
      </c>
      <c r="K7" s="3">
        <v>1.9692742483890358</v>
      </c>
      <c r="L7" s="3">
        <v>47.461677305892508</v>
      </c>
      <c r="N7" s="1">
        <f t="shared" si="0"/>
        <v>152</v>
      </c>
      <c r="O7" s="1">
        <f t="shared" si="1"/>
        <v>2.0088336929982121E-2</v>
      </c>
      <c r="P7" s="1">
        <f t="shared" si="3"/>
        <v>-4.4913003309058983E-3</v>
      </c>
      <c r="R7" s="1">
        <f t="shared" si="2"/>
        <v>6.07207774977483E-5</v>
      </c>
    </row>
    <row r="8" spans="1:22" x14ac:dyDescent="0.3">
      <c r="A8" s="2">
        <v>43952</v>
      </c>
      <c r="B8" s="3">
        <v>1185.313167935484</v>
      </c>
      <c r="C8" s="3">
        <v>1166.2191612903227</v>
      </c>
      <c r="D8" s="3">
        <v>19.09400664516129</v>
      </c>
      <c r="E8" s="3">
        <v>10126.064516129032</v>
      </c>
      <c r="F8" s="3">
        <v>0</v>
      </c>
      <c r="G8" s="3">
        <v>36152.794000000002</v>
      </c>
      <c r="H8" s="10">
        <v>4.8395453450000006E-3</v>
      </c>
      <c r="I8" s="3">
        <v>313908</v>
      </c>
      <c r="J8" s="3">
        <v>591.91420600000004</v>
      </c>
      <c r="K8" s="3">
        <v>1.6108828587822259</v>
      </c>
      <c r="L8" s="3">
        <v>54.613165953370014</v>
      </c>
      <c r="N8" s="1">
        <f t="shared" si="0"/>
        <v>182</v>
      </c>
      <c r="O8" s="1">
        <f t="shared" si="1"/>
        <v>1.6372571536241429E-2</v>
      </c>
      <c r="P8" s="1">
        <f t="shared" si="3"/>
        <v>-1.4123685407484326E-2</v>
      </c>
      <c r="R8" s="1">
        <f t="shared" si="2"/>
        <v>-1.2385884645802308E-4</v>
      </c>
    </row>
    <row r="9" spans="1:22" x14ac:dyDescent="0.3">
      <c r="A9" s="2">
        <v>43983</v>
      </c>
      <c r="B9" s="3">
        <v>1167.2062708666667</v>
      </c>
      <c r="C9" s="3">
        <v>1149.5912666666666</v>
      </c>
      <c r="D9" s="3">
        <v>17.615004199999998</v>
      </c>
      <c r="E9" s="3">
        <v>10464.6</v>
      </c>
      <c r="F9" s="3">
        <v>0</v>
      </c>
      <c r="G9" s="3">
        <v>34487.737999999998</v>
      </c>
      <c r="H9" s="10">
        <v>4.616654853E-3</v>
      </c>
      <c r="I9" s="3">
        <v>313938</v>
      </c>
      <c r="J9" s="3">
        <v>528.45012599999995</v>
      </c>
      <c r="K9" s="3">
        <v>1.5091594896008067</v>
      </c>
      <c r="L9" s="3">
        <v>57.255341953711202</v>
      </c>
      <c r="N9" s="1">
        <f t="shared" si="0"/>
        <v>213</v>
      </c>
      <c r="O9" s="1">
        <f t="shared" si="1"/>
        <v>1.5322841005113179E-2</v>
      </c>
      <c r="P9" s="1">
        <f t="shared" si="3"/>
        <v>9.8711059157686968E-3</v>
      </c>
      <c r="R9" s="1">
        <f t="shared" si="2"/>
        <v>-3.386227519768547E-5</v>
      </c>
    </row>
    <row r="10" spans="1:22" x14ac:dyDescent="0.3">
      <c r="A10" s="2">
        <v>44013</v>
      </c>
      <c r="B10" s="3">
        <v>1127.8221617683676</v>
      </c>
      <c r="C10" s="3">
        <v>1106.5478263490129</v>
      </c>
      <c r="D10" s="3">
        <v>21.274335419354841</v>
      </c>
      <c r="E10" s="3">
        <v>9210.3870967741932</v>
      </c>
      <c r="F10" s="3">
        <v>0</v>
      </c>
      <c r="G10" s="3">
        <v>34302.982616819398</v>
      </c>
      <c r="H10" s="10">
        <v>4.5942371079999997E-3</v>
      </c>
      <c r="I10" s="3">
        <v>285522</v>
      </c>
      <c r="J10" s="3">
        <v>659.50439800000004</v>
      </c>
      <c r="K10" s="3">
        <v>1.8863200370169857</v>
      </c>
      <c r="L10" s="3">
        <v>52.353356431444773</v>
      </c>
      <c r="N10" s="1">
        <f t="shared" si="0"/>
        <v>243</v>
      </c>
      <c r="O10" s="1">
        <f t="shared" si="1"/>
        <v>1.922586165077764E-2</v>
      </c>
      <c r="P10" s="1">
        <f t="shared" si="3"/>
        <v>6.8360317457647748E-3</v>
      </c>
      <c r="R10" s="1">
        <f t="shared" si="2"/>
        <v>1.3010068818881539E-4</v>
      </c>
    </row>
    <row r="11" spans="1:22" x14ac:dyDescent="0.3">
      <c r="A11" s="2">
        <v>44044</v>
      </c>
      <c r="B11" s="3">
        <v>1173.4502443870967</v>
      </c>
      <c r="C11" s="3">
        <v>1153.7846774193547</v>
      </c>
      <c r="D11" s="3">
        <v>19.665566967741935</v>
      </c>
      <c r="E11" s="3">
        <v>9746.7096774193542</v>
      </c>
      <c r="F11" s="3">
        <v>0</v>
      </c>
      <c r="G11" s="3">
        <v>35767.324999999997</v>
      </c>
      <c r="H11" s="10">
        <v>4.7879450509999994E-3</v>
      </c>
      <c r="I11" s="3">
        <v>302148</v>
      </c>
      <c r="J11" s="3">
        <v>609.63257599999997</v>
      </c>
      <c r="K11" s="3">
        <v>1.6758756548739251</v>
      </c>
      <c r="L11" s="3">
        <v>53.133704866103351</v>
      </c>
      <c r="N11" s="1">
        <f t="shared" si="0"/>
        <v>274</v>
      </c>
      <c r="O11" s="1">
        <f t="shared" si="1"/>
        <v>1.7044399490316931E-2</v>
      </c>
      <c r="P11" s="1">
        <f t="shared" si="3"/>
        <v>-7.3306429277816641E-3</v>
      </c>
      <c r="R11" s="1">
        <f t="shared" si="2"/>
        <v>-7.0369747111635785E-5</v>
      </c>
    </row>
    <row r="12" spans="1:22" x14ac:dyDescent="0.3">
      <c r="A12" s="2">
        <v>44075</v>
      </c>
      <c r="B12" s="3">
        <v>1127.0677055999997</v>
      </c>
      <c r="C12" s="3">
        <v>1107.6179666666665</v>
      </c>
      <c r="D12" s="3">
        <v>19.449738933333332</v>
      </c>
      <c r="E12" s="3">
        <v>9712.3333333333339</v>
      </c>
      <c r="F12" s="3">
        <v>0</v>
      </c>
      <c r="G12" s="3">
        <v>33228.538999999997</v>
      </c>
      <c r="H12" s="10">
        <v>4.4480938679999993E-3</v>
      </c>
      <c r="I12" s="3">
        <v>291370</v>
      </c>
      <c r="J12" s="3">
        <v>583.49216799999999</v>
      </c>
      <c r="K12" s="3">
        <v>1.7256939256350328</v>
      </c>
      <c r="L12" s="3">
        <v>55.153162948271664</v>
      </c>
      <c r="N12" s="1">
        <f t="shared" si="0"/>
        <v>305</v>
      </c>
      <c r="O12" s="1">
        <f t="shared" si="1"/>
        <v>1.7559970602378881E-2</v>
      </c>
      <c r="P12" s="1">
        <f t="shared" si="3"/>
        <v>2.7999053542989916E-2</v>
      </c>
      <c r="R12" s="1">
        <f t="shared" si="2"/>
        <v>1.6631326195546754E-5</v>
      </c>
    </row>
    <row r="13" spans="1:22" x14ac:dyDescent="0.3">
      <c r="A13" s="2">
        <v>44105</v>
      </c>
      <c r="B13" s="3">
        <v>1015.5161773870968</v>
      </c>
      <c r="C13" s="3">
        <v>993.00254838709679</v>
      </c>
      <c r="D13" s="3">
        <v>22.513629000000002</v>
      </c>
      <c r="E13" s="3">
        <v>9999.4838709677424</v>
      </c>
      <c r="F13" s="3">
        <v>0</v>
      </c>
      <c r="G13" s="3">
        <v>30783.079000000002</v>
      </c>
      <c r="H13" s="10">
        <v>4.120735635E-3</v>
      </c>
      <c r="I13" s="3">
        <v>309984</v>
      </c>
      <c r="J13" s="3">
        <v>697.92249900000002</v>
      </c>
      <c r="K13" s="3">
        <v>2.2169640918894196</v>
      </c>
      <c r="L13" s="3">
        <v>63.337957947611415</v>
      </c>
      <c r="N13" s="1">
        <f t="shared" si="0"/>
        <v>335</v>
      </c>
      <c r="O13" s="1">
        <f t="shared" si="1"/>
        <v>2.2672277162398214E-2</v>
      </c>
      <c r="P13" s="1">
        <f t="shared" si="3"/>
        <v>9.0326835647534156E-3</v>
      </c>
      <c r="R13" s="1">
        <f t="shared" si="2"/>
        <v>1.7041021866731111E-4</v>
      </c>
    </row>
    <row r="14" spans="1:22" x14ac:dyDescent="0.3">
      <c r="A14" s="2">
        <v>44136</v>
      </c>
      <c r="B14" s="3">
        <v>1005.5180945</v>
      </c>
      <c r="C14" s="3">
        <v>986.56923333333339</v>
      </c>
      <c r="D14" s="3">
        <v>18.948861166666667</v>
      </c>
      <c r="E14" s="3">
        <v>10940.466666666667</v>
      </c>
      <c r="F14" s="3">
        <v>0</v>
      </c>
      <c r="G14" s="3">
        <v>29597.077000000001</v>
      </c>
      <c r="H14" s="10">
        <v>3.9619730679999994E-3</v>
      </c>
      <c r="I14" s="3">
        <v>328214</v>
      </c>
      <c r="J14" s="3">
        <v>568.46583499999997</v>
      </c>
      <c r="K14" s="3">
        <v>1.884487337454539</v>
      </c>
      <c r="L14" s="3">
        <v>69.750145164672844</v>
      </c>
      <c r="N14" s="1">
        <f t="shared" si="0"/>
        <v>366</v>
      </c>
      <c r="O14" s="1">
        <f t="shared" si="1"/>
        <v>1.9206823531931885E-2</v>
      </c>
      <c r="P14" s="1">
        <f t="shared" si="3"/>
        <v>2.2151106141690146E-2</v>
      </c>
      <c r="R14" s="1">
        <f t="shared" si="2"/>
        <v>-1.1178882678923641E-4</v>
      </c>
    </row>
    <row r="15" spans="1:22" x14ac:dyDescent="0.3">
      <c r="A15" s="2">
        <v>44166</v>
      </c>
      <c r="B15" s="3">
        <v>948.82677532258072</v>
      </c>
      <c r="C15" s="3">
        <v>924.44203225806461</v>
      </c>
      <c r="D15" s="3">
        <v>24.38474306451613</v>
      </c>
      <c r="E15" s="3">
        <v>7149.4193548387093</v>
      </c>
      <c r="F15" s="3">
        <v>0</v>
      </c>
      <c r="G15" s="3">
        <v>28657.703000000001</v>
      </c>
      <c r="H15" s="10">
        <v>3.8362250259999999E-3</v>
      </c>
      <c r="I15" s="3">
        <v>221632</v>
      </c>
      <c r="J15" s="3">
        <v>755.92703500000005</v>
      </c>
      <c r="K15" s="3">
        <v>2.5699889272439473</v>
      </c>
      <c r="L15" s="3">
        <v>48.643848168850091</v>
      </c>
      <c r="N15" s="1">
        <f t="shared" si="0"/>
        <v>396</v>
      </c>
      <c r="O15" s="1">
        <f t="shared" si="1"/>
        <v>2.637779570121164E-2</v>
      </c>
      <c r="P15" s="1">
        <f t="shared" si="3"/>
        <v>8.9506946713038535E-2</v>
      </c>
      <c r="R15" s="1">
        <f t="shared" si="2"/>
        <v>2.3903240564265849E-4</v>
      </c>
    </row>
    <row r="16" spans="1:22" x14ac:dyDescent="0.3">
      <c r="A16" s="2">
        <v>44197</v>
      </c>
      <c r="B16" s="3">
        <v>1044.8742336774192</v>
      </c>
      <c r="C16" s="3">
        <v>1011.4906129032257</v>
      </c>
      <c r="D16" s="3">
        <v>33.383620774193545</v>
      </c>
      <c r="E16" s="3">
        <v>7554.2258064516127</v>
      </c>
      <c r="F16" s="3">
        <v>0</v>
      </c>
      <c r="G16" s="3">
        <v>31356.208999999999</v>
      </c>
      <c r="H16" s="10">
        <v>4.1974569189999998E-3</v>
      </c>
      <c r="I16" s="3">
        <v>234181</v>
      </c>
      <c r="J16" s="3">
        <v>1034.8922439999999</v>
      </c>
      <c r="K16" s="3">
        <v>3.1949893774966953</v>
      </c>
      <c r="L16" s="3">
        <v>46.974800231749953</v>
      </c>
      <c r="N16" s="1">
        <f t="shared" si="0"/>
        <v>427</v>
      </c>
      <c r="O16" s="1">
        <f t="shared" si="1"/>
        <v>3.3004380217009015E-2</v>
      </c>
      <c r="P16" s="1">
        <f t="shared" si="3"/>
        <v>-0.10083912430618129</v>
      </c>
      <c r="R16" s="1">
        <f t="shared" si="2"/>
        <v>2.1376079083217339E-4</v>
      </c>
    </row>
    <row r="17" spans="1:18" x14ac:dyDescent="0.3">
      <c r="A17" s="2">
        <v>44228</v>
      </c>
      <c r="B17" s="3">
        <v>1002.8618258214285</v>
      </c>
      <c r="C17" s="3">
        <v>991.25400000000002</v>
      </c>
      <c r="D17" s="3">
        <v>11.607825821428571</v>
      </c>
      <c r="E17" s="3">
        <v>8410.8571428571431</v>
      </c>
      <c r="F17" s="3">
        <v>0</v>
      </c>
      <c r="G17" s="3">
        <v>27755.112000000001</v>
      </c>
      <c r="H17" s="10">
        <v>3.7154008899999997E-3</v>
      </c>
      <c r="I17" s="3">
        <v>235504</v>
      </c>
      <c r="J17" s="3">
        <v>325.01912299999998</v>
      </c>
      <c r="K17" s="3">
        <v>1.1574701043108089</v>
      </c>
      <c r="L17" s="3">
        <v>53.369377835693825</v>
      </c>
      <c r="N17" s="1">
        <f t="shared" si="0"/>
        <v>458</v>
      </c>
      <c r="O17" s="1">
        <f t="shared" si="1"/>
        <v>1.1710243612059645E-2</v>
      </c>
      <c r="P17" s="1">
        <f t="shared" si="3"/>
        <v>-0.19702213866944415</v>
      </c>
      <c r="R17" s="1">
        <f t="shared" si="2"/>
        <v>-6.8690763241772165E-4</v>
      </c>
    </row>
    <row r="18" spans="1:18" x14ac:dyDescent="0.3">
      <c r="A18" s="2">
        <v>44256</v>
      </c>
      <c r="B18" s="3">
        <v>932.39277880645159</v>
      </c>
      <c r="C18" s="3">
        <v>925.44741935483864</v>
      </c>
      <c r="D18" s="3">
        <v>6.9453594516129034</v>
      </c>
      <c r="E18" s="3">
        <v>6668.1935483870966</v>
      </c>
      <c r="F18" s="3">
        <v>0</v>
      </c>
      <c r="G18" s="3">
        <v>28688.87</v>
      </c>
      <c r="H18" s="10">
        <v>3.840397155E-3</v>
      </c>
      <c r="I18" s="3">
        <v>206714</v>
      </c>
      <c r="J18" s="3">
        <v>215.30614299999999</v>
      </c>
      <c r="K18" s="3">
        <v>0.74489631510269749</v>
      </c>
      <c r="L18" s="3">
        <v>45.320353056777769</v>
      </c>
      <c r="N18" s="1">
        <f t="shared" si="0"/>
        <v>486</v>
      </c>
      <c r="O18" s="1">
        <f t="shared" si="1"/>
        <v>7.5048666259772525E-3</v>
      </c>
      <c r="P18" s="1">
        <f t="shared" si="3"/>
        <v>-9.6640149969517891E-2</v>
      </c>
      <c r="R18" s="1">
        <f t="shared" si="2"/>
        <v>-1.501920352172283E-4</v>
      </c>
    </row>
    <row r="19" spans="1:18" x14ac:dyDescent="0.3">
      <c r="A19" s="2">
        <v>44287</v>
      </c>
      <c r="B19" s="3">
        <v>34.420633333333328</v>
      </c>
      <c r="C19" s="3">
        <v>34.420633333333328</v>
      </c>
      <c r="D19" s="3">
        <v>0</v>
      </c>
      <c r="E19" s="3">
        <v>237.53333333333333</v>
      </c>
      <c r="F19" s="3">
        <v>0</v>
      </c>
      <c r="G19" s="3">
        <v>1032.6189999999999</v>
      </c>
      <c r="H19" s="10">
        <v>1.38164523E-4</v>
      </c>
      <c r="I19" s="3">
        <v>7126</v>
      </c>
      <c r="J19" s="3">
        <v>0</v>
      </c>
      <c r="K19" s="3">
        <v>0</v>
      </c>
      <c r="L19" s="3">
        <v>43.405278035751813</v>
      </c>
      <c r="N19" s="1">
        <f t="shared" si="0"/>
        <v>517</v>
      </c>
      <c r="O19" s="1">
        <f t="shared" si="1"/>
        <v>0</v>
      </c>
      <c r="P19" s="1">
        <f t="shared" si="3"/>
        <v>0.20714042018318882</v>
      </c>
      <c r="R19" s="1">
        <f t="shared" si="2"/>
        <v>-2.4209247180571782E-4</v>
      </c>
    </row>
    <row r="20" spans="1:18" x14ac:dyDescent="0.3">
      <c r="A20" s="2">
        <v>44317</v>
      </c>
      <c r="B20" s="3">
        <v>968.5022616451613</v>
      </c>
      <c r="C20" s="3">
        <v>938.47374193548387</v>
      </c>
      <c r="D20" s="3">
        <v>30.028519709677418</v>
      </c>
      <c r="E20" s="3">
        <v>8778.1612903225814</v>
      </c>
      <c r="F20" s="3">
        <v>0</v>
      </c>
      <c r="G20" s="3">
        <v>29092.686000000002</v>
      </c>
      <c r="H20" s="10">
        <v>3.89260422E-3</v>
      </c>
      <c r="I20" s="3">
        <v>272123</v>
      </c>
      <c r="J20" s="3">
        <v>930.88411099999996</v>
      </c>
      <c r="K20" s="3">
        <v>3.1005110570076533</v>
      </c>
      <c r="L20" s="3">
        <v>58.832630490013869</v>
      </c>
      <c r="N20" s="1">
        <f t="shared" si="0"/>
        <v>547</v>
      </c>
      <c r="O20" s="1">
        <f t="shared" si="1"/>
        <v>3.1997186887453427E-2</v>
      </c>
      <c r="P20" s="1">
        <f t="shared" si="3"/>
        <v>0.56854556953300373</v>
      </c>
      <c r="R20" s="1">
        <f t="shared" si="2"/>
        <v>1.0665728962484476E-3</v>
      </c>
    </row>
    <row r="21" spans="1:18" x14ac:dyDescent="0.3">
      <c r="A21" s="2">
        <v>44348</v>
      </c>
      <c r="B21" s="3">
        <v>1032.7778511000001</v>
      </c>
      <c r="C21" s="3">
        <v>971.19399999999996</v>
      </c>
      <c r="D21" s="3">
        <v>61.583851099999997</v>
      </c>
      <c r="E21" s="3">
        <v>9532.6333333333332</v>
      </c>
      <c r="F21" s="3">
        <v>0</v>
      </c>
      <c r="G21" s="3">
        <v>29135.82</v>
      </c>
      <c r="H21" s="10">
        <v>3.8983755589999999E-3</v>
      </c>
      <c r="I21" s="3">
        <v>285979</v>
      </c>
      <c r="J21" s="3">
        <v>1847.515533</v>
      </c>
      <c r="K21" s="3">
        <v>5.962932980641261</v>
      </c>
      <c r="L21" s="3">
        <v>61.736745840686822</v>
      </c>
      <c r="N21" s="1">
        <f t="shared" si="0"/>
        <v>578</v>
      </c>
      <c r="O21" s="1">
        <f t="shared" si="1"/>
        <v>6.3410452597524286E-2</v>
      </c>
      <c r="P21" s="1">
        <f t="shared" si="3"/>
        <v>0.68307324359125332</v>
      </c>
      <c r="R21" s="1">
        <f t="shared" si="2"/>
        <v>1.0133311519377696E-3</v>
      </c>
    </row>
    <row r="22" spans="1:18" x14ac:dyDescent="0.3">
      <c r="A22" s="2">
        <v>44378</v>
      </c>
      <c r="B22" s="3">
        <v>1028.7847215483871</v>
      </c>
      <c r="C22" s="3">
        <v>931.68806451612909</v>
      </c>
      <c r="D22" s="3">
        <v>97.096657032258065</v>
      </c>
      <c r="E22" s="3">
        <v>9465.1612903225814</v>
      </c>
      <c r="F22" s="3">
        <v>0</v>
      </c>
      <c r="G22" s="3">
        <v>28882.33</v>
      </c>
      <c r="H22" s="10">
        <v>3.8644585719999998E-3</v>
      </c>
      <c r="I22" s="3">
        <v>293420</v>
      </c>
      <c r="J22" s="3">
        <v>3009.9963680000001</v>
      </c>
      <c r="K22" s="3">
        <v>9.4379956271241436</v>
      </c>
      <c r="L22" s="3">
        <v>63.899038477851335</v>
      </c>
      <c r="N22" s="1">
        <f t="shared" si="0"/>
        <v>608</v>
      </c>
      <c r="O22" s="1">
        <f t="shared" si="1"/>
        <v>0.10421584297388749</v>
      </c>
      <c r="P22" s="1">
        <f t="shared" si="3"/>
        <v>0.22629755739976418</v>
      </c>
      <c r="R22" s="1">
        <f t="shared" si="2"/>
        <v>1.3601796792121067E-3</v>
      </c>
    </row>
    <row r="23" spans="1:18" x14ac:dyDescent="0.3">
      <c r="A23" s="2">
        <v>44409</v>
      </c>
      <c r="B23" s="3">
        <v>1007.2495448064516</v>
      </c>
      <c r="C23" s="3">
        <v>927.38754838709679</v>
      </c>
      <c r="D23" s="3">
        <v>79.861996419354838</v>
      </c>
      <c r="E23" s="3">
        <v>9499.7419354838712</v>
      </c>
      <c r="F23" s="3">
        <v>0</v>
      </c>
      <c r="G23" s="3">
        <v>28749.013999999999</v>
      </c>
      <c r="H23" s="10">
        <v>3.8466208780000002E-3</v>
      </c>
      <c r="I23" s="3">
        <v>294492</v>
      </c>
      <c r="J23" s="3">
        <v>2475.7218889999999</v>
      </c>
      <c r="K23" s="3">
        <v>7.9287200308142847</v>
      </c>
      <c r="L23" s="3">
        <v>64.429889025063616</v>
      </c>
      <c r="N23" s="1">
        <f t="shared" si="0"/>
        <v>639</v>
      </c>
      <c r="O23" s="1">
        <f t="shared" si="1"/>
        <v>8.6115019075088978E-2</v>
      </c>
      <c r="P23" s="1">
        <f t="shared" si="3"/>
        <v>0.10190808939346915</v>
      </c>
      <c r="R23" s="1">
        <f t="shared" si="2"/>
        <v>-5.8389754512253261E-4</v>
      </c>
    </row>
    <row r="24" spans="1:18" x14ac:dyDescent="0.3">
      <c r="A24" s="2">
        <v>44440</v>
      </c>
      <c r="B24" s="3">
        <v>1010.3888233</v>
      </c>
      <c r="C24" s="3">
        <v>906.90106666666668</v>
      </c>
      <c r="D24" s="3">
        <v>103.48775663333332</v>
      </c>
      <c r="E24" s="3">
        <v>9467.6666666666661</v>
      </c>
      <c r="F24" s="3">
        <v>0</v>
      </c>
      <c r="G24" s="3">
        <v>27207.031999999999</v>
      </c>
      <c r="H24" s="10">
        <v>3.6403035359999997E-3</v>
      </c>
      <c r="I24" s="3">
        <v>284030</v>
      </c>
      <c r="J24" s="3">
        <v>3104.6326989999998</v>
      </c>
      <c r="K24" s="3">
        <v>10.242369496461286</v>
      </c>
      <c r="L24" s="3">
        <v>65.662873260118928</v>
      </c>
      <c r="N24" s="1">
        <f t="shared" si="0"/>
        <v>670</v>
      </c>
      <c r="O24" s="1">
        <f t="shared" si="1"/>
        <v>0.11411140689656996</v>
      </c>
      <c r="P24" s="1">
        <f t="shared" si="3"/>
        <v>3.7564758856560045</v>
      </c>
      <c r="R24" s="1">
        <f t="shared" si="2"/>
        <v>9.0310928456390253E-4</v>
      </c>
    </row>
    <row r="25" spans="1:18" x14ac:dyDescent="0.3">
      <c r="A25" s="2">
        <v>44470</v>
      </c>
      <c r="B25" s="3">
        <v>1198.0167823548386</v>
      </c>
      <c r="C25" s="3">
        <v>838.58616129032248</v>
      </c>
      <c r="D25" s="3">
        <v>359.43062106451612</v>
      </c>
      <c r="E25" s="3">
        <v>10185.774193548386</v>
      </c>
      <c r="F25" s="3">
        <v>0</v>
      </c>
      <c r="G25" s="3">
        <v>25996.170999999998</v>
      </c>
      <c r="H25" s="10">
        <v>3.4782902180000002E-3</v>
      </c>
      <c r="I25" s="3">
        <v>315759</v>
      </c>
      <c r="J25" s="3">
        <v>11142.349253</v>
      </c>
      <c r="K25" s="3">
        <v>30.002135726180253</v>
      </c>
      <c r="L25" s="3">
        <v>76.398211036540729</v>
      </c>
      <c r="N25" s="1">
        <f t="shared" si="0"/>
        <v>700</v>
      </c>
      <c r="O25" s="1">
        <f t="shared" si="1"/>
        <v>0.4286150161498784</v>
      </c>
      <c r="P25" s="1">
        <f t="shared" si="3"/>
        <v>5.5293424810929785</v>
      </c>
      <c r="R25" s="1">
        <f t="shared" si="2"/>
        <v>1.0483453641776948E-2</v>
      </c>
    </row>
    <row r="26" spans="1:18" x14ac:dyDescent="0.3">
      <c r="A26" s="2">
        <v>44501</v>
      </c>
      <c r="B26" s="3">
        <v>1371.2028646666668</v>
      </c>
      <c r="C26" s="3">
        <v>859.1955333333334</v>
      </c>
      <c r="D26" s="3">
        <v>512.00733133333335</v>
      </c>
      <c r="E26" s="3">
        <v>7302.6333333333332</v>
      </c>
      <c r="F26" s="3">
        <v>0</v>
      </c>
      <c r="G26" s="3">
        <v>25775.866000000002</v>
      </c>
      <c r="H26" s="10">
        <v>3.4488133849999996E-3</v>
      </c>
      <c r="I26" s="3">
        <v>219079</v>
      </c>
      <c r="J26" s="3">
        <v>15360.219940000001</v>
      </c>
      <c r="K26" s="3">
        <v>37.340013248717945</v>
      </c>
      <c r="L26" s="3">
        <v>53.459429615284307</v>
      </c>
      <c r="N26" s="1">
        <f t="shared" si="0"/>
        <v>731</v>
      </c>
      <c r="O26" s="1">
        <f t="shared" si="1"/>
        <v>0.59591479642235878</v>
      </c>
      <c r="P26" s="1">
        <f t="shared" si="3"/>
        <v>2.0459294714167009</v>
      </c>
      <c r="R26" s="1">
        <f t="shared" si="2"/>
        <v>5.3967671055638834E-3</v>
      </c>
    </row>
    <row r="27" spans="1:18" x14ac:dyDescent="0.3">
      <c r="A27" s="2">
        <v>44531</v>
      </c>
      <c r="B27" s="3">
        <v>1370.8686818064516</v>
      </c>
      <c r="C27" s="3">
        <v>857.02935483870965</v>
      </c>
      <c r="D27" s="3">
        <v>513.83932696774195</v>
      </c>
      <c r="E27" s="3">
        <v>6563.7096774193551</v>
      </c>
      <c r="F27" s="3">
        <v>0</v>
      </c>
      <c r="G27" s="3">
        <v>26567.91</v>
      </c>
      <c r="H27" s="10">
        <v>3.5547889530000002E-3</v>
      </c>
      <c r="I27" s="3">
        <v>203475</v>
      </c>
      <c r="J27" s="3">
        <v>15929.019136000001</v>
      </c>
      <c r="K27" s="3">
        <v>37.482753365598384</v>
      </c>
      <c r="L27" s="3">
        <v>48.171536827699278</v>
      </c>
      <c r="N27" s="1">
        <f t="shared" si="0"/>
        <v>761</v>
      </c>
      <c r="O27" s="1">
        <f t="shared" si="1"/>
        <v>0.59955860795975302</v>
      </c>
      <c r="P27" s="1">
        <f t="shared" si="3"/>
        <v>-0.24824731171782846</v>
      </c>
      <c r="R27" s="1">
        <f t="shared" si="2"/>
        <v>1.2146038457980791E-4</v>
      </c>
    </row>
    <row r="28" spans="1:18" x14ac:dyDescent="0.3">
      <c r="A28" s="2">
        <v>44562</v>
      </c>
      <c r="B28" s="3">
        <v>1208.1728232258063</v>
      </c>
      <c r="C28" s="3">
        <v>766.59822580645152</v>
      </c>
      <c r="D28" s="3">
        <v>441.5745974193548</v>
      </c>
      <c r="E28" s="3">
        <v>6135.2580645161288</v>
      </c>
      <c r="F28" s="3">
        <v>0</v>
      </c>
      <c r="G28" s="3">
        <v>23764.544999999998</v>
      </c>
      <c r="H28" s="10">
        <v>3.1796984389999994E-3</v>
      </c>
      <c r="I28" s="3">
        <v>190193</v>
      </c>
      <c r="J28" s="3">
        <v>13688.812519999999</v>
      </c>
      <c r="K28" s="3">
        <v>36.54895962982814</v>
      </c>
      <c r="L28" s="3">
        <v>50.338684430945342</v>
      </c>
      <c r="N28" s="1">
        <f t="shared" si="0"/>
        <v>792</v>
      </c>
      <c r="O28" s="1">
        <f t="shared" si="1"/>
        <v>0.5760182877475668</v>
      </c>
      <c r="P28" s="1">
        <f t="shared" si="3"/>
        <v>11.805725074184291</v>
      </c>
      <c r="R28" s="1">
        <f t="shared" si="2"/>
        <v>-7.5936516813503922E-4</v>
      </c>
    </row>
    <row r="29" spans="1:18" x14ac:dyDescent="0.3">
      <c r="A29" s="2">
        <v>44593</v>
      </c>
      <c r="B29" s="3">
        <v>1038.1606871785714</v>
      </c>
      <c r="C29" s="3">
        <v>411.28035714285716</v>
      </c>
      <c r="D29" s="3">
        <v>626.88033003571422</v>
      </c>
      <c r="E29" s="3">
        <v>3579.0357142857142</v>
      </c>
      <c r="F29" s="3">
        <v>0</v>
      </c>
      <c r="G29" s="3">
        <v>11515.85</v>
      </c>
      <c r="H29" s="10">
        <v>1.540821854E-3</v>
      </c>
      <c r="I29" s="3">
        <v>100213</v>
      </c>
      <c r="J29" s="3">
        <v>17552.649240999999</v>
      </c>
      <c r="K29" s="3">
        <v>60.383747697035098</v>
      </c>
      <c r="L29" s="3">
        <v>54.734972008145292</v>
      </c>
      <c r="N29" s="1">
        <f t="shared" si="0"/>
        <v>823</v>
      </c>
      <c r="O29" s="1">
        <f t="shared" si="1"/>
        <v>1.5242165572667234</v>
      </c>
      <c r="P29" s="1">
        <f t="shared" si="3"/>
        <v>21.63808477549345</v>
      </c>
      <c r="R29" s="1">
        <f t="shared" si="2"/>
        <v>3.058704095223086E-2</v>
      </c>
    </row>
    <row r="30" spans="1:18" x14ac:dyDescent="0.3">
      <c r="A30" s="2">
        <v>44621</v>
      </c>
      <c r="B30" s="3">
        <v>852.45947038709687</v>
      </c>
      <c r="C30" s="3">
        <v>272.28770967741934</v>
      </c>
      <c r="D30" s="3">
        <v>580.17176070967741</v>
      </c>
      <c r="E30" s="3">
        <v>3967.7096774193546</v>
      </c>
      <c r="F30" s="3">
        <v>0</v>
      </c>
      <c r="G30" s="3">
        <v>8440.9189999999999</v>
      </c>
      <c r="H30" s="10">
        <v>1.1293957889999999E-3</v>
      </c>
      <c r="I30" s="3">
        <v>122999</v>
      </c>
      <c r="J30" s="3">
        <v>17985.324582000001</v>
      </c>
      <c r="K30" s="3">
        <v>68.058574145023556</v>
      </c>
      <c r="L30" s="3">
        <v>91.653421884512809</v>
      </c>
      <c r="N30" s="1">
        <f t="shared" si="0"/>
        <v>851</v>
      </c>
      <c r="O30" s="1">
        <f t="shared" si="1"/>
        <v>2.1307306209193575</v>
      </c>
      <c r="P30" s="1">
        <f t="shared" si="3"/>
        <v>11.315018686866324</v>
      </c>
      <c r="R30" s="1">
        <f t="shared" si="2"/>
        <v>2.1661216559022645E-2</v>
      </c>
    </row>
    <row r="31" spans="1:18" x14ac:dyDescent="0.3">
      <c r="A31" s="2">
        <v>44652</v>
      </c>
      <c r="B31" s="3">
        <v>521.46583246666671</v>
      </c>
      <c r="C31" s="3">
        <v>157.65583333333333</v>
      </c>
      <c r="D31" s="3">
        <v>363.80999913333329</v>
      </c>
      <c r="E31" s="3">
        <v>3790.5</v>
      </c>
      <c r="F31" s="3">
        <v>0</v>
      </c>
      <c r="G31" s="3">
        <v>4729.6750000000002</v>
      </c>
      <c r="H31" s="10">
        <v>6.3283097599999992E-4</v>
      </c>
      <c r="I31" s="3">
        <v>113715</v>
      </c>
      <c r="J31" s="3">
        <v>10914.299974</v>
      </c>
      <c r="K31" s="3">
        <v>69.766795153657341</v>
      </c>
      <c r="L31" s="3">
        <v>151.22489536807495</v>
      </c>
      <c r="N31" s="1">
        <f t="shared" si="0"/>
        <v>882</v>
      </c>
      <c r="O31" s="1">
        <f t="shared" si="1"/>
        <v>2.3076215541236973</v>
      </c>
      <c r="P31" s="1">
        <f t="shared" si="3"/>
        <v>6.4359400749056883</v>
      </c>
      <c r="R31" s="1">
        <f t="shared" si="2"/>
        <v>5.7061591356238643E-3</v>
      </c>
    </row>
    <row r="32" spans="1:18" x14ac:dyDescent="0.3">
      <c r="A32" s="2">
        <v>44682</v>
      </c>
      <c r="B32" s="3">
        <v>554.45479409677421</v>
      </c>
      <c r="C32" s="3">
        <v>155.03687096774195</v>
      </c>
      <c r="D32" s="3">
        <v>399.41792312903226</v>
      </c>
      <c r="E32" s="3">
        <v>3734.9032258064517</v>
      </c>
      <c r="F32" s="3">
        <v>0</v>
      </c>
      <c r="G32" s="3">
        <v>4806.143</v>
      </c>
      <c r="H32" s="10">
        <v>6.4306239900000005E-4</v>
      </c>
      <c r="I32" s="3">
        <v>115782</v>
      </c>
      <c r="J32" s="3">
        <v>12381.955617</v>
      </c>
      <c r="K32" s="3">
        <v>72.037960061234145</v>
      </c>
      <c r="L32" s="3">
        <v>151.52391920090599</v>
      </c>
      <c r="N32" s="1">
        <f t="shared" si="0"/>
        <v>912</v>
      </c>
      <c r="O32" s="1">
        <f t="shared" si="1"/>
        <v>2.5762769890533841</v>
      </c>
      <c r="P32" s="1">
        <f t="shared" si="3"/>
        <v>8.8215260873680776</v>
      </c>
      <c r="R32" s="1">
        <f t="shared" si="2"/>
        <v>8.9551811643228934E-3</v>
      </c>
    </row>
    <row r="33" spans="1:18" x14ac:dyDescent="0.3">
      <c r="A33" s="2">
        <v>44713</v>
      </c>
      <c r="B33" s="3">
        <v>580.96099759999993</v>
      </c>
      <c r="C33" s="3">
        <v>149.05783333333332</v>
      </c>
      <c r="D33" s="3">
        <v>431.90316426666669</v>
      </c>
      <c r="E33" s="3">
        <v>3596.3666666666668</v>
      </c>
      <c r="F33" s="3">
        <v>0</v>
      </c>
      <c r="G33" s="3">
        <v>4471.7349999999997</v>
      </c>
      <c r="H33" s="10">
        <v>5.9831857500000001E-4</v>
      </c>
      <c r="I33" s="3">
        <v>107891</v>
      </c>
      <c r="J33" s="3">
        <v>12957.094928</v>
      </c>
      <c r="K33" s="3">
        <v>74.342884643013207</v>
      </c>
      <c r="L33" s="3">
        <v>151.75604363854296</v>
      </c>
      <c r="N33" s="1">
        <f t="shared" si="0"/>
        <v>943</v>
      </c>
      <c r="O33" s="1">
        <f t="shared" si="1"/>
        <v>2.8975542888833981</v>
      </c>
      <c r="P33" s="1">
        <f t="shared" si="3"/>
        <v>13.411589663024495</v>
      </c>
      <c r="R33" s="1">
        <f t="shared" si="2"/>
        <v>1.0363783865484321E-2</v>
      </c>
    </row>
    <row r="34" spans="1:18" x14ac:dyDescent="0.3">
      <c r="A34" s="2">
        <v>44743</v>
      </c>
      <c r="B34" s="3">
        <v>583.07679977419355</v>
      </c>
      <c r="C34" s="3">
        <v>131.18774193548387</v>
      </c>
      <c r="D34" s="3">
        <v>451.88905783870968</v>
      </c>
      <c r="E34" s="3">
        <v>3041.3225806451615</v>
      </c>
      <c r="F34" s="3">
        <v>0</v>
      </c>
      <c r="G34" s="3">
        <v>4066.82</v>
      </c>
      <c r="H34" s="10">
        <v>5.4414091199999997E-4</v>
      </c>
      <c r="I34" s="3">
        <v>94281</v>
      </c>
      <c r="J34" s="3">
        <v>14008.560793000001</v>
      </c>
      <c r="K34" s="3">
        <v>77.500778287476265</v>
      </c>
      <c r="L34" s="3">
        <v>145.81629720518734</v>
      </c>
      <c r="N34" s="1">
        <f t="shared" si="0"/>
        <v>973</v>
      </c>
      <c r="O34" s="1">
        <f t="shared" si="1"/>
        <v>3.4445981855602166</v>
      </c>
      <c r="P34" s="1">
        <f t="shared" si="3"/>
        <v>18.092793578235263</v>
      </c>
      <c r="R34" s="1">
        <f t="shared" si="2"/>
        <v>1.823479655589395E-2</v>
      </c>
    </row>
    <row r="35" spans="1:18" x14ac:dyDescent="0.3">
      <c r="A35" s="2">
        <v>44774</v>
      </c>
      <c r="B35" s="3">
        <v>713.45334190322501</v>
      </c>
      <c r="C35" s="3">
        <v>141.793709677419</v>
      </c>
      <c r="D35" s="3">
        <v>571.65963222580604</v>
      </c>
      <c r="E35" s="3">
        <v>3244.1290322580599</v>
      </c>
      <c r="F35" s="3">
        <v>0</v>
      </c>
      <c r="G35" s="3">
        <v>4395.6049999999996</v>
      </c>
      <c r="H35" s="10">
        <v>5.88132379E-4</v>
      </c>
      <c r="I35" s="3">
        <v>100568</v>
      </c>
      <c r="J35" s="3">
        <v>17721.448598999999</v>
      </c>
      <c r="K35" s="3">
        <v>80.125720723493004</v>
      </c>
      <c r="L35" s="3">
        <v>143.9056981689665</v>
      </c>
      <c r="N35" s="1">
        <f t="shared" si="0"/>
        <v>1004</v>
      </c>
      <c r="O35" s="1">
        <f t="shared" si="1"/>
        <v>4.0316290019235197</v>
      </c>
      <c r="P35" s="1">
        <f t="shared" si="3"/>
        <v>-5.7976117195532018</v>
      </c>
      <c r="R35" s="1">
        <f t="shared" si="2"/>
        <v>1.8936477947203326E-2</v>
      </c>
    </row>
    <row r="36" spans="1:18" x14ac:dyDescent="0.3">
      <c r="A36" s="2">
        <v>44805</v>
      </c>
      <c r="B36" s="3">
        <v>609.46798349999995</v>
      </c>
      <c r="C36" s="3">
        <v>149.14309999999901</v>
      </c>
      <c r="D36" s="3">
        <v>460.3248835</v>
      </c>
      <c r="E36" s="3">
        <v>3334.9333333333302</v>
      </c>
      <c r="F36" s="3">
        <v>0</v>
      </c>
      <c r="G36" s="3">
        <v>4474.2929999999997</v>
      </c>
      <c r="H36" s="10">
        <v>5.9866084E-4</v>
      </c>
      <c r="I36" s="3">
        <v>100048</v>
      </c>
      <c r="J36" s="3">
        <v>13809.746504999999</v>
      </c>
      <c r="K36" s="3">
        <v>75.528968865023245</v>
      </c>
      <c r="L36" s="3">
        <v>140.64387611629368</v>
      </c>
      <c r="N36" s="1">
        <f t="shared" si="0"/>
        <v>1035</v>
      </c>
      <c r="O36" s="1">
        <f t="shared" si="1"/>
        <v>3.086464499531008</v>
      </c>
      <c r="P36" s="1">
        <f t="shared" si="3"/>
        <v>-36.646026632774465</v>
      </c>
      <c r="R36" s="1">
        <f t="shared" si="2"/>
        <v>-3.0489177496532637E-2</v>
      </c>
    </row>
    <row r="37" spans="1:18" x14ac:dyDescent="0.3">
      <c r="A37" s="2">
        <v>44835</v>
      </c>
      <c r="B37" s="3">
        <v>474.38110245161198</v>
      </c>
      <c r="C37" s="3">
        <v>165.28125806451601</v>
      </c>
      <c r="D37" s="3">
        <v>309.09984438709603</v>
      </c>
      <c r="E37" s="3">
        <v>3161.83870967741</v>
      </c>
      <c r="F37" s="3">
        <v>0</v>
      </c>
      <c r="G37" s="3">
        <v>5123.7190000000001</v>
      </c>
      <c r="H37" s="10">
        <v>6.8555410099999895E-4</v>
      </c>
      <c r="I37" s="3">
        <v>98017</v>
      </c>
      <c r="J37" s="3">
        <v>9582.0951760000007</v>
      </c>
      <c r="K37" s="3">
        <v>65.158549273919505</v>
      </c>
      <c r="L37" s="3">
        <v>120.32418768476568</v>
      </c>
      <c r="N37" s="1">
        <f t="shared" si="0"/>
        <v>1065</v>
      </c>
      <c r="O37" s="1">
        <f t="shared" si="1"/>
        <v>1.8701445524237343</v>
      </c>
      <c r="P37" s="1">
        <f t="shared" si="3"/>
        <v>-23.788118847294847</v>
      </c>
      <c r="R37" s="1">
        <f t="shared" si="2"/>
        <v>-4.0543998236909122E-2</v>
      </c>
    </row>
    <row r="38" spans="1:18" x14ac:dyDescent="0.3">
      <c r="A38" s="2">
        <v>44866</v>
      </c>
      <c r="B38" s="3">
        <v>423.37199049999998</v>
      </c>
      <c r="C38" s="3">
        <v>155.41036666666665</v>
      </c>
      <c r="D38" s="3">
        <v>267.96162383333336</v>
      </c>
      <c r="E38" s="3">
        <v>3090.9</v>
      </c>
      <c r="F38" s="3">
        <v>0</v>
      </c>
      <c r="G38" s="3">
        <v>4662.3109999999997</v>
      </c>
      <c r="H38" s="10">
        <v>6.2381766399999998E-4</v>
      </c>
      <c r="I38" s="3">
        <v>92727</v>
      </c>
      <c r="J38" s="3">
        <v>8038.8487150000001</v>
      </c>
      <c r="K38" s="3">
        <v>63.292241774632309</v>
      </c>
      <c r="L38" s="3">
        <v>125.09553408170325</v>
      </c>
      <c r="N38" s="1">
        <f t="shared" si="0"/>
        <v>1096</v>
      </c>
      <c r="O38" s="1">
        <f t="shared" si="1"/>
        <v>1.7242197517497229</v>
      </c>
      <c r="P38" s="1">
        <f t="shared" si="3"/>
        <v>8.7308142933263166</v>
      </c>
      <c r="R38" s="1">
        <f t="shared" si="2"/>
        <v>-4.7072516346455314E-3</v>
      </c>
    </row>
    <row r="39" spans="1:18" x14ac:dyDescent="0.3">
      <c r="A39" s="2">
        <v>44896</v>
      </c>
      <c r="B39" s="3">
        <v>558.94404177419358</v>
      </c>
      <c r="C39" s="3">
        <v>166.52970967741936</v>
      </c>
      <c r="D39" s="3">
        <v>392.41433209677422</v>
      </c>
      <c r="E39" s="3">
        <v>3224.1935483870966</v>
      </c>
      <c r="F39" s="3">
        <v>0</v>
      </c>
      <c r="G39" s="3">
        <v>5162.4210000000003</v>
      </c>
      <c r="H39" s="10">
        <v>6.9073243599999999E-4</v>
      </c>
      <c r="I39" s="3">
        <v>99950</v>
      </c>
      <c r="J39" s="3">
        <v>12164.844295000001</v>
      </c>
      <c r="K39" s="3">
        <v>70.206371795498029</v>
      </c>
      <c r="L39" s="3">
        <v>121.77726496928476</v>
      </c>
      <c r="N39" s="1">
        <f t="shared" si="0"/>
        <v>1126</v>
      </c>
      <c r="O39" s="1">
        <f t="shared" si="1"/>
        <v>2.356422363654572</v>
      </c>
      <c r="P39" s="1">
        <f t="shared" si="3"/>
        <v>7.6508299009600726</v>
      </c>
      <c r="R39" s="1">
        <f t="shared" si="2"/>
        <v>2.1073420396828305E-2</v>
      </c>
    </row>
    <row r="40" spans="1:18" x14ac:dyDescent="0.3">
      <c r="A40" s="2">
        <v>44927</v>
      </c>
      <c r="B40" s="3">
        <v>658.98007967741898</v>
      </c>
      <c r="C40" s="3">
        <v>209.958967741935</v>
      </c>
      <c r="D40" s="3">
        <v>449.02111193548302</v>
      </c>
      <c r="E40" s="3">
        <v>3814.8709677419301</v>
      </c>
      <c r="F40" s="3">
        <v>0</v>
      </c>
      <c r="G40" s="3">
        <v>6508.7280000000001</v>
      </c>
      <c r="H40" s="10">
        <v>8.7086843999999999E-4</v>
      </c>
      <c r="I40" s="3">
        <v>118261</v>
      </c>
      <c r="J40" s="3">
        <v>13919.654469999999</v>
      </c>
      <c r="K40" s="3">
        <v>68.138798999096679</v>
      </c>
      <c r="L40" s="3">
        <v>114.28316528206432</v>
      </c>
      <c r="N40" s="1">
        <f t="shared" si="0"/>
        <v>1157</v>
      </c>
      <c r="O40" s="1">
        <f t="shared" si="1"/>
        <v>2.1386136384866608</v>
      </c>
      <c r="P40" s="1">
        <f t="shared" si="3"/>
        <v>-1.4344866517228807</v>
      </c>
      <c r="R40" s="1">
        <f t="shared" si="2"/>
        <v>-7.0260879086422989E-3</v>
      </c>
    </row>
    <row r="41" spans="1:18" x14ac:dyDescent="0.3">
      <c r="A41" s="2">
        <v>44958</v>
      </c>
      <c r="B41" s="3">
        <v>700.21208471428497</v>
      </c>
      <c r="C41" s="3">
        <v>213.50960714285699</v>
      </c>
      <c r="D41" s="3">
        <v>486.70247757142801</v>
      </c>
      <c r="E41" s="3">
        <v>4035.2142857142799</v>
      </c>
      <c r="F41" s="3">
        <v>0</v>
      </c>
      <c r="G41" s="3">
        <v>5978.2690000000002</v>
      </c>
      <c r="H41" s="10">
        <v>7.9989297399999998E-4</v>
      </c>
      <c r="I41" s="3">
        <v>112986</v>
      </c>
      <c r="J41" s="3">
        <v>13627.669372</v>
      </c>
      <c r="K41" s="3">
        <v>69.507866001773237</v>
      </c>
      <c r="L41" s="3">
        <v>118.8737647636799</v>
      </c>
      <c r="N41" s="1">
        <f t="shared" si="0"/>
        <v>1188</v>
      </c>
      <c r="O41" s="1">
        <f t="shared" si="1"/>
        <v>2.2795343220587756</v>
      </c>
      <c r="P41" s="1">
        <f t="shared" si="3"/>
        <v>7.8897487992285793</v>
      </c>
      <c r="R41" s="1">
        <f t="shared" si="2"/>
        <v>4.5458285023262856E-3</v>
      </c>
    </row>
    <row r="42" spans="1:18" x14ac:dyDescent="0.3">
      <c r="A42" s="2">
        <v>44986</v>
      </c>
      <c r="B42" s="3">
        <v>759.80392325806395</v>
      </c>
      <c r="C42" s="3">
        <v>215.17967741935399</v>
      </c>
      <c r="D42" s="3">
        <v>544.62424583870904</v>
      </c>
      <c r="E42" s="3">
        <v>3893.4516129032199</v>
      </c>
      <c r="F42" s="3">
        <v>0</v>
      </c>
      <c r="G42" s="3">
        <v>6670.57</v>
      </c>
      <c r="H42" s="10">
        <v>8.9252291799999999E-4</v>
      </c>
      <c r="I42" s="3">
        <v>120697</v>
      </c>
      <c r="J42" s="3">
        <v>16883.351621000002</v>
      </c>
      <c r="K42" s="3">
        <v>71.679578002617149</v>
      </c>
      <c r="L42" s="3">
        <v>113.80736437815658</v>
      </c>
      <c r="N42" s="1">
        <f t="shared" si="0"/>
        <v>1216</v>
      </c>
      <c r="O42" s="1">
        <f t="shared" si="1"/>
        <v>2.5310208304537762</v>
      </c>
      <c r="P42" s="1">
        <f t="shared" si="3"/>
        <v>2.5011577483881391</v>
      </c>
      <c r="R42" s="1">
        <f t="shared" si="2"/>
        <v>8.9816610141071652E-3</v>
      </c>
    </row>
    <row r="43" spans="1:18" x14ac:dyDescent="0.3">
      <c r="A43" s="2">
        <v>45017</v>
      </c>
      <c r="B43" s="3">
        <v>692.59439229999998</v>
      </c>
      <c r="C43" s="3">
        <v>203.65846666666599</v>
      </c>
      <c r="D43" s="3">
        <v>488.935925633333</v>
      </c>
      <c r="E43" s="3">
        <v>3772.6</v>
      </c>
      <c r="F43" s="3">
        <v>0</v>
      </c>
      <c r="G43" s="3">
        <v>6109.7539999999999</v>
      </c>
      <c r="H43" s="10">
        <v>8.1748567999999995E-4</v>
      </c>
      <c r="I43" s="3">
        <v>113178</v>
      </c>
      <c r="J43" s="3">
        <v>14668.077769</v>
      </c>
      <c r="K43" s="3">
        <v>70.594843254455455</v>
      </c>
      <c r="L43" s="3">
        <v>116.5131991238927</v>
      </c>
      <c r="N43" s="1">
        <f t="shared" si="0"/>
        <v>1247</v>
      </c>
      <c r="O43" s="1">
        <f t="shared" si="1"/>
        <v>2.4007640518750901</v>
      </c>
      <c r="P43" s="1">
        <f t="shared" si="3"/>
        <v>0.31983554036374062</v>
      </c>
      <c r="R43" s="1">
        <f t="shared" si="2"/>
        <v>-4.2018315670543909E-3</v>
      </c>
    </row>
    <row r="44" spans="1:18" x14ac:dyDescent="0.3">
      <c r="A44" s="2">
        <v>45047</v>
      </c>
      <c r="B44" s="3">
        <v>621.69141580645157</v>
      </c>
      <c r="C44" s="3">
        <v>175.28848387096775</v>
      </c>
      <c r="D44" s="3">
        <v>446.40293193548382</v>
      </c>
      <c r="E44" s="3">
        <v>3245.9032258064517</v>
      </c>
      <c r="F44" s="3">
        <v>0</v>
      </c>
      <c r="G44" s="3">
        <v>5433.9430000000002</v>
      </c>
      <c r="H44" s="10">
        <v>7.2706210600000001E-4</v>
      </c>
      <c r="I44" s="3">
        <v>100623</v>
      </c>
      <c r="J44" s="3">
        <v>13838.490889999999</v>
      </c>
      <c r="K44" s="3">
        <v>71.804583525801874</v>
      </c>
      <c r="L44" s="3">
        <v>116.47132577577644</v>
      </c>
      <c r="N44" s="1">
        <f t="shared" si="0"/>
        <v>1277</v>
      </c>
      <c r="O44" s="1">
        <f t="shared" si="1"/>
        <v>2.5466757546039767</v>
      </c>
      <c r="P44" s="1">
        <f t="shared" si="3"/>
        <v>23.880118845982636</v>
      </c>
      <c r="R44" s="1">
        <f t="shared" si="2"/>
        <v>4.8637234242962183E-3</v>
      </c>
    </row>
    <row r="45" spans="1:18" x14ac:dyDescent="0.3">
      <c r="A45" s="2">
        <v>45078</v>
      </c>
      <c r="B45" s="3">
        <v>899.47632863333331</v>
      </c>
      <c r="C45" s="3">
        <v>198.06823333333332</v>
      </c>
      <c r="D45" s="3">
        <v>701.40809530000001</v>
      </c>
      <c r="E45" s="3">
        <v>3436.5333333333333</v>
      </c>
      <c r="F45" s="3">
        <v>0</v>
      </c>
      <c r="G45" s="3">
        <v>5942.0469999999996</v>
      </c>
      <c r="H45" s="10">
        <v>7.9504646999999996E-4</v>
      </c>
      <c r="I45" s="3">
        <v>103096</v>
      </c>
      <c r="J45" s="3">
        <v>21042.242859000002</v>
      </c>
      <c r="K45" s="3">
        <v>77.979605796377243</v>
      </c>
      <c r="L45" s="3">
        <v>109.12960143196445</v>
      </c>
      <c r="N45" s="1">
        <f t="shared" si="0"/>
        <v>1308</v>
      </c>
      <c r="O45" s="1">
        <f t="shared" si="1"/>
        <v>3.5412447695213451</v>
      </c>
      <c r="P45" s="1">
        <f t="shared" si="3"/>
        <v>0.85729552396838038</v>
      </c>
      <c r="R45" s="1">
        <f t="shared" si="2"/>
        <v>3.2082871448947371E-2</v>
      </c>
    </row>
    <row r="46" spans="1:18" x14ac:dyDescent="0.3">
      <c r="A46" s="2">
        <v>45108</v>
      </c>
      <c r="B46" s="3">
        <v>823.3820287741936</v>
      </c>
      <c r="C46" s="3">
        <v>229.56667741935485</v>
      </c>
      <c r="D46" s="3">
        <v>593.81535135483875</v>
      </c>
      <c r="E46" s="3">
        <v>4005.3870967741937</v>
      </c>
      <c r="F46" s="3">
        <v>0</v>
      </c>
      <c r="G46" s="3">
        <v>7116.567</v>
      </c>
      <c r="H46" s="10">
        <v>9.5219736099999997E-4</v>
      </c>
      <c r="I46" s="3">
        <v>124167</v>
      </c>
      <c r="J46" s="3">
        <v>18408.275892000001</v>
      </c>
      <c r="K46" s="3">
        <v>72.119056598657949</v>
      </c>
      <c r="L46" s="3">
        <v>109.74190176246496</v>
      </c>
      <c r="N46" s="1">
        <f t="shared" si="0"/>
        <v>1338</v>
      </c>
      <c r="O46" s="1">
        <f t="shared" si="1"/>
        <v>2.5866792081069425</v>
      </c>
      <c r="P46" s="1">
        <f t="shared" si="3"/>
        <v>-23.715627849299153</v>
      </c>
      <c r="R46" s="1">
        <f t="shared" si="2"/>
        <v>-3.1818852047146753E-2</v>
      </c>
    </row>
    <row r="47" spans="1:18" x14ac:dyDescent="0.3">
      <c r="A47" s="2">
        <v>45139</v>
      </c>
      <c r="B47" s="3">
        <v>784.87419193548385</v>
      </c>
      <c r="C47" s="3">
        <v>226.82548387096776</v>
      </c>
      <c r="D47" s="3">
        <v>558.04870806451606</v>
      </c>
      <c r="E47" s="3">
        <v>3398.1935483870966</v>
      </c>
      <c r="F47" s="3">
        <v>0</v>
      </c>
      <c r="G47" s="3">
        <v>7031.59</v>
      </c>
      <c r="H47" s="10">
        <v>9.4082742499999991E-4</v>
      </c>
      <c r="I47" s="3">
        <v>105344</v>
      </c>
      <c r="J47" s="3">
        <v>17299.50995</v>
      </c>
      <c r="K47" s="3">
        <v>71.100402306308382</v>
      </c>
      <c r="L47" s="3">
        <v>94.230848385642503</v>
      </c>
      <c r="N47" s="1">
        <f t="shared" si="0"/>
        <v>1369</v>
      </c>
      <c r="O47" s="1">
        <f t="shared" si="1"/>
        <v>2.4602557814093253</v>
      </c>
      <c r="P47" s="1">
        <f t="shared" si="3"/>
        <v>-3.7387749191008579</v>
      </c>
      <c r="R47" s="1">
        <f t="shared" si="2"/>
        <v>-4.0781750547618451E-3</v>
      </c>
    </row>
    <row r="48" spans="1:18" x14ac:dyDescent="0.3">
      <c r="A48" s="2">
        <v>45170</v>
      </c>
      <c r="B48" s="3">
        <v>884.91114960000004</v>
      </c>
      <c r="C48" s="3">
        <v>258.94836666666669</v>
      </c>
      <c r="D48" s="3">
        <v>625.9627829333333</v>
      </c>
      <c r="E48" s="3">
        <v>3547.9333333333334</v>
      </c>
      <c r="F48" s="3">
        <v>0</v>
      </c>
      <c r="G48" s="3">
        <v>7768.451</v>
      </c>
      <c r="H48" s="10">
        <v>1.0394194990000002E-3</v>
      </c>
      <c r="I48" s="3">
        <v>106438</v>
      </c>
      <c r="J48" s="3">
        <v>18778.883487999999</v>
      </c>
      <c r="K48" s="3">
        <v>70.737359701737603</v>
      </c>
      <c r="L48" s="3">
        <v>86.178535772446779</v>
      </c>
      <c r="N48" s="1">
        <f t="shared" si="0"/>
        <v>1400</v>
      </c>
      <c r="O48" s="1">
        <f t="shared" si="1"/>
        <v>2.4173266315253836</v>
      </c>
      <c r="P48" s="1">
        <f t="shared" si="3"/>
        <v>-0.9012631699216469</v>
      </c>
      <c r="R48" s="1">
        <f t="shared" si="2"/>
        <v>-1.3848112865787645E-3</v>
      </c>
    </row>
    <row r="49" spans="1:18" x14ac:dyDescent="0.3">
      <c r="A49" s="2">
        <v>45200</v>
      </c>
      <c r="B49" s="3">
        <v>984.94362303225796</v>
      </c>
      <c r="C49" s="3">
        <v>287.91387096774196</v>
      </c>
      <c r="D49" s="3">
        <v>697.02975206451606</v>
      </c>
      <c r="E49" s="3">
        <v>4736.1612903225805</v>
      </c>
      <c r="F49" s="3">
        <v>0</v>
      </c>
      <c r="G49" s="3">
        <v>8925.33</v>
      </c>
      <c r="H49" s="10">
        <v>1.1942100250000001E-3</v>
      </c>
      <c r="I49" s="3">
        <v>146821</v>
      </c>
      <c r="J49" s="3">
        <v>21607.922313999999</v>
      </c>
      <c r="K49" s="3">
        <v>70.768492304019688</v>
      </c>
      <c r="L49" s="3">
        <v>103.46673185193151</v>
      </c>
      <c r="N49" s="1">
        <f t="shared" si="0"/>
        <v>1430</v>
      </c>
      <c r="O49" s="1">
        <f t="shared" si="1"/>
        <v>2.4209662067396942</v>
      </c>
      <c r="P49" s="1">
        <f t="shared" si="3"/>
        <v>4.402025608674486</v>
      </c>
      <c r="R49" s="1">
        <f t="shared" si="2"/>
        <v>1.2131917381035251E-4</v>
      </c>
    </row>
    <row r="50" spans="1:18" x14ac:dyDescent="0.3">
      <c r="A50" s="2">
        <v>45231</v>
      </c>
      <c r="B50" s="3">
        <v>993.73752023333338</v>
      </c>
      <c r="C50" s="3">
        <v>275.65013333333337</v>
      </c>
      <c r="D50" s="3">
        <v>718.08738690000007</v>
      </c>
      <c r="E50" s="3">
        <v>4226.166666666667</v>
      </c>
      <c r="F50" s="3">
        <v>0</v>
      </c>
      <c r="G50" s="3">
        <v>8269.5040000000008</v>
      </c>
      <c r="H50" s="10">
        <v>1.106460444E-3</v>
      </c>
      <c r="I50" s="3">
        <v>126785</v>
      </c>
      <c r="J50" s="3">
        <v>21542.621607000001</v>
      </c>
      <c r="K50" s="3">
        <v>72.261273452912434</v>
      </c>
      <c r="L50" s="3">
        <v>96.432904923922862</v>
      </c>
      <c r="N50" s="1">
        <f t="shared" si="0"/>
        <v>1461</v>
      </c>
      <c r="O50" s="1">
        <f t="shared" si="1"/>
        <v>2.6050681645477165</v>
      </c>
      <c r="P50" s="1">
        <f t="shared" si="3"/>
        <v>5.4283101633123518</v>
      </c>
      <c r="R50" s="1">
        <f t="shared" si="2"/>
        <v>5.9387728325168481E-3</v>
      </c>
    </row>
    <row r="51" spans="1:18" x14ac:dyDescent="0.3">
      <c r="A51" s="2">
        <v>45261</v>
      </c>
      <c r="B51" s="3">
        <v>1078.7729456451614</v>
      </c>
      <c r="C51" s="3">
        <v>295.7389032258065</v>
      </c>
      <c r="D51" s="3">
        <v>783.03404241935493</v>
      </c>
      <c r="E51" s="3">
        <v>3042.4516129032259</v>
      </c>
      <c r="F51" s="3">
        <v>0</v>
      </c>
      <c r="G51" s="3">
        <v>9167.9060000000009</v>
      </c>
      <c r="H51" s="10">
        <v>1.2266667179999999E-3</v>
      </c>
      <c r="I51" s="3">
        <v>94316</v>
      </c>
      <c r="J51" s="3">
        <v>24274.055315000001</v>
      </c>
      <c r="K51" s="3">
        <v>72.585621059588263</v>
      </c>
      <c r="L51" s="3">
        <v>64.707118157625089</v>
      </c>
      <c r="N51" s="1">
        <f t="shared" si="0"/>
        <v>1491</v>
      </c>
      <c r="O51" s="1">
        <f t="shared" si="1"/>
        <v>2.6477207897855846</v>
      </c>
      <c r="P51" s="1">
        <f t="shared" si="3"/>
        <v>-11.451208330950994</v>
      </c>
      <c r="R51" s="1">
        <f t="shared" si="2"/>
        <v>1.421754174595602E-3</v>
      </c>
    </row>
    <row r="52" spans="1:18" x14ac:dyDescent="0.3">
      <c r="A52" s="2">
        <v>45292</v>
      </c>
      <c r="B52" s="3">
        <v>1074.145368</v>
      </c>
      <c r="C52" s="3">
        <v>342.44806451612902</v>
      </c>
      <c r="D52" s="3">
        <v>731.697303483871</v>
      </c>
      <c r="E52" s="3">
        <v>2947.7741935483873</v>
      </c>
      <c r="F52" s="3">
        <v>0</v>
      </c>
      <c r="G52" s="3">
        <v>10615.89</v>
      </c>
      <c r="H52" s="10">
        <v>1.420407117E-3</v>
      </c>
      <c r="I52" s="3">
        <v>91381</v>
      </c>
      <c r="J52" s="3">
        <v>22682.616408000002</v>
      </c>
      <c r="K52" s="3">
        <v>68.119020505227468</v>
      </c>
      <c r="L52" s="3">
        <v>54.142254092685583</v>
      </c>
      <c r="N52" s="1">
        <f t="shared" si="0"/>
        <v>1522</v>
      </c>
      <c r="O52" s="1">
        <f t="shared" si="1"/>
        <v>2.1366664884432676</v>
      </c>
      <c r="P52" s="1">
        <f t="shared" si="3"/>
        <v>-16.498394365483936</v>
      </c>
      <c r="R52" s="1">
        <f t="shared" si="2"/>
        <v>-1.6485622623945709E-2</v>
      </c>
    </row>
    <row r="53" spans="1:18" x14ac:dyDescent="0.3">
      <c r="A53" s="2">
        <v>45323</v>
      </c>
      <c r="B53" s="3">
        <v>1061.5844679655172</v>
      </c>
      <c r="C53" s="3">
        <v>356.76900000000001</v>
      </c>
      <c r="D53" s="3">
        <v>704.81546796551731</v>
      </c>
      <c r="E53" s="3">
        <v>2837.1034482758619</v>
      </c>
      <c r="F53" s="3">
        <v>0</v>
      </c>
      <c r="G53" s="3">
        <v>10346.300999999999</v>
      </c>
      <c r="H53" s="10">
        <v>1.38433608E-3</v>
      </c>
      <c r="I53" s="3">
        <v>82276</v>
      </c>
      <c r="J53" s="3">
        <v>20439.648571000002</v>
      </c>
      <c r="K53" s="3">
        <v>66.392782603184358</v>
      </c>
      <c r="L53" s="3">
        <v>50.017835823643637</v>
      </c>
      <c r="N53" s="1">
        <f t="shared" si="0"/>
        <v>1553</v>
      </c>
      <c r="O53" s="1">
        <f t="shared" si="1"/>
        <v>1.9755513174225263</v>
      </c>
      <c r="P53" s="1">
        <f t="shared" si="3"/>
        <v>7.73060182073199</v>
      </c>
      <c r="R53" s="1">
        <f t="shared" si="2"/>
        <v>-5.1972635813142334E-3</v>
      </c>
    </row>
    <row r="54" spans="1:18" x14ac:dyDescent="0.3">
      <c r="A54" s="2">
        <v>45352</v>
      </c>
      <c r="B54" s="3">
        <v>1095.5023028387095</v>
      </c>
      <c r="C54" s="3">
        <v>318.87087096774189</v>
      </c>
      <c r="D54" s="3">
        <v>776.63143187096773</v>
      </c>
      <c r="E54" s="3">
        <v>3239.4516129032259</v>
      </c>
      <c r="F54" s="3">
        <v>0</v>
      </c>
      <c r="G54" s="3">
        <v>9884.9969999999994</v>
      </c>
      <c r="H54" s="10">
        <v>1.3226135630000002E-3</v>
      </c>
      <c r="I54" s="3">
        <v>100423</v>
      </c>
      <c r="J54" s="3">
        <v>24075.574388000001</v>
      </c>
      <c r="K54" s="3">
        <v>70.89272472166688</v>
      </c>
      <c r="L54" s="3">
        <v>63.898915234875645</v>
      </c>
      <c r="N54" s="1">
        <f t="shared" si="0"/>
        <v>1582</v>
      </c>
      <c r="O54" s="1">
        <f t="shared" si="1"/>
        <v>2.4355671921802307</v>
      </c>
      <c r="P54" s="1">
        <f t="shared" si="3"/>
        <v>35.787079329456347</v>
      </c>
      <c r="R54" s="1">
        <f t="shared" si="2"/>
        <v>1.5862616370955322E-2</v>
      </c>
    </row>
    <row r="55" spans="1:18" x14ac:dyDescent="0.3">
      <c r="A55" s="2">
        <v>45383</v>
      </c>
      <c r="B55" s="3">
        <v>1172.9419750000002</v>
      </c>
      <c r="C55" s="3">
        <v>270.7534</v>
      </c>
      <c r="D55" s="3">
        <v>902.18857500000001</v>
      </c>
      <c r="E55" s="3">
        <v>4727.5</v>
      </c>
      <c r="F55" s="3">
        <v>0</v>
      </c>
      <c r="G55" s="3">
        <v>8122.6019999999999</v>
      </c>
      <c r="H55" s="10">
        <v>1.08680494E-3</v>
      </c>
      <c r="I55" s="3">
        <v>141825</v>
      </c>
      <c r="J55" s="3">
        <v>27065.65725</v>
      </c>
      <c r="K55" s="3">
        <v>76.9167268483166</v>
      </c>
      <c r="L55" s="3">
        <v>109.82329123106118</v>
      </c>
      <c r="N55" s="1">
        <f t="shared" si="0"/>
        <v>1613</v>
      </c>
      <c r="O55" s="1">
        <f t="shared" si="1"/>
        <v>3.3321412584292571</v>
      </c>
      <c r="P55" s="1">
        <f t="shared" si="3"/>
        <v>-11.846320647128261</v>
      </c>
      <c r="R55" s="1">
        <f t="shared" si="2"/>
        <v>2.892174407254924E-2</v>
      </c>
    </row>
    <row r="56" spans="1:18" x14ac:dyDescent="0.3">
      <c r="A56" s="2">
        <v>45413</v>
      </c>
      <c r="B56" s="3">
        <v>978.8759713870968</v>
      </c>
      <c r="C56" s="3">
        <v>327.67106451612904</v>
      </c>
      <c r="D56" s="3">
        <v>651.20490687096776</v>
      </c>
      <c r="E56" s="3">
        <v>4625.2580645161288</v>
      </c>
      <c r="F56" s="3">
        <v>0</v>
      </c>
      <c r="G56" s="3">
        <v>10157.803</v>
      </c>
      <c r="H56" s="10">
        <v>1.359115033E-3</v>
      </c>
      <c r="I56" s="3">
        <v>143383</v>
      </c>
      <c r="J56" s="3">
        <v>20187.352113000001</v>
      </c>
      <c r="K56" s="3">
        <v>66.525783235662715</v>
      </c>
      <c r="L56" s="3">
        <v>88.784001166393949</v>
      </c>
      <c r="N56" s="1">
        <f t="shared" si="0"/>
        <v>1643</v>
      </c>
      <c r="O56" s="1">
        <f t="shared" si="1"/>
        <v>1.9873738556457534</v>
      </c>
      <c r="P56" s="1">
        <f t="shared" si="3"/>
        <v>-34.630344707783983</v>
      </c>
      <c r="R56" s="1">
        <f t="shared" si="2"/>
        <v>-4.4825580092783458E-2</v>
      </c>
    </row>
    <row r="57" spans="1:18" x14ac:dyDescent="0.3">
      <c r="A57" s="2">
        <v>45444</v>
      </c>
      <c r="B57" s="3">
        <v>1017.9947963</v>
      </c>
      <c r="C57" s="3">
        <v>334.1350333333333</v>
      </c>
      <c r="D57" s="3">
        <v>683.85976296666672</v>
      </c>
      <c r="E57" s="3">
        <v>4272.4333333333334</v>
      </c>
      <c r="F57" s="3">
        <v>0</v>
      </c>
      <c r="G57" s="3">
        <v>10024.050999999999</v>
      </c>
      <c r="H57" s="10">
        <v>1.341219002E-3</v>
      </c>
      <c r="I57" s="3">
        <v>128173</v>
      </c>
      <c r="J57" s="3">
        <v>20515.792889</v>
      </c>
      <c r="K57" s="3">
        <v>67.17713739325788</v>
      </c>
      <c r="L57" s="3">
        <v>80.424823796287541</v>
      </c>
      <c r="N57" s="1">
        <f t="shared" si="0"/>
        <v>1674</v>
      </c>
      <c r="O57" s="1">
        <f t="shared" si="1"/>
        <v>2.0466568744512577</v>
      </c>
      <c r="P57" s="1">
        <f t="shared" si="3"/>
        <v>26.115856027744023</v>
      </c>
      <c r="R57" s="1">
        <f t="shared" si="2"/>
        <v>1.9123554453388464E-3</v>
      </c>
    </row>
    <row r="58" spans="1:18" x14ac:dyDescent="0.3">
      <c r="A58" s="2">
        <v>45474</v>
      </c>
      <c r="B58" s="3">
        <v>1114.2296920000001</v>
      </c>
      <c r="C58" s="3">
        <v>282.84129032258062</v>
      </c>
      <c r="D58" s="3">
        <v>831.38840167741944</v>
      </c>
      <c r="E58" s="3">
        <v>3422.0645161290322</v>
      </c>
      <c r="F58" s="3">
        <v>0</v>
      </c>
      <c r="G58" s="3">
        <v>8768.08</v>
      </c>
      <c r="H58" s="10">
        <v>1.173169955E-3</v>
      </c>
      <c r="I58" s="3">
        <v>106084</v>
      </c>
      <c r="J58" s="3">
        <v>25773.040452000001</v>
      </c>
      <c r="K58" s="3">
        <v>74.615531038767131</v>
      </c>
      <c r="L58" s="3">
        <v>76.099572905356709</v>
      </c>
      <c r="N58" s="1">
        <f t="shared" si="0"/>
        <v>1704</v>
      </c>
      <c r="O58" s="1">
        <f t="shared" si="1"/>
        <v>2.9394166627129321</v>
      </c>
      <c r="P58" s="1">
        <f t="shared" si="3"/>
        <v>23.508370032829436</v>
      </c>
      <c r="R58" s="1">
        <f t="shared" si="2"/>
        <v>2.9758659608722482E-2</v>
      </c>
    </row>
    <row r="59" spans="1:18" x14ac:dyDescent="0.3">
      <c r="A59" s="2">
        <v>45505</v>
      </c>
      <c r="B59" s="3">
        <v>1098.9761446774194</v>
      </c>
      <c r="C59" s="3">
        <v>282.65445161290324</v>
      </c>
      <c r="D59" s="3">
        <v>816.32169306451613</v>
      </c>
      <c r="E59" s="3">
        <v>3239.9354838709678</v>
      </c>
      <c r="F59" s="3">
        <v>0</v>
      </c>
      <c r="G59" s="3">
        <v>8762.2880000000005</v>
      </c>
      <c r="H59" s="10">
        <v>1.1723949889999999E-3</v>
      </c>
      <c r="I59" s="3">
        <v>100438</v>
      </c>
      <c r="J59" s="3">
        <v>25305.972484999998</v>
      </c>
      <c r="K59" s="3">
        <v>74.280201350879153</v>
      </c>
      <c r="L59" s="3">
        <v>72.097029040816722</v>
      </c>
      <c r="N59" s="1">
        <f t="shared" si="0"/>
        <v>1735</v>
      </c>
      <c r="O59" s="1">
        <f t="shared" si="1"/>
        <v>2.888055321281382</v>
      </c>
      <c r="P59" s="1">
        <f t="shared" si="3"/>
        <v>2.6769837591272521</v>
      </c>
      <c r="R59" s="1">
        <f t="shared" si="2"/>
        <v>-1.6568174655338752E-3</v>
      </c>
    </row>
    <row r="60" spans="1:18" x14ac:dyDescent="0.3">
      <c r="A60" s="2">
        <v>45536</v>
      </c>
      <c r="B60" s="3">
        <v>1001.9235067666666</v>
      </c>
      <c r="C60" s="3">
        <v>248.30273333333335</v>
      </c>
      <c r="D60" s="3">
        <v>753.62077343333328</v>
      </c>
      <c r="E60" s="3">
        <v>2815.6</v>
      </c>
      <c r="F60" s="3">
        <v>0</v>
      </c>
      <c r="G60" s="3">
        <v>7449.0820000000003</v>
      </c>
      <c r="H60" s="10">
        <v>9.966878990000001E-4</v>
      </c>
      <c r="I60" s="3">
        <v>84468</v>
      </c>
      <c r="J60" s="3">
        <v>22608.623202999999</v>
      </c>
      <c r="K60" s="3">
        <v>75.217396172823854</v>
      </c>
      <c r="L60" s="3">
        <v>71.322456431544168</v>
      </c>
      <c r="N60" s="1">
        <f t="shared" si="0"/>
        <v>1766</v>
      </c>
      <c r="O60" s="1">
        <f t="shared" si="1"/>
        <v>3.0350885119804021</v>
      </c>
      <c r="P60" s="1">
        <f t="shared" si="3"/>
        <v>11.78197872934024</v>
      </c>
      <c r="R60" s="1">
        <f t="shared" si="2"/>
        <v>4.7430061515812937E-3</v>
      </c>
    </row>
    <row r="61" spans="1:18" x14ac:dyDescent="0.3">
      <c r="A61" s="2">
        <v>45566</v>
      </c>
      <c r="B61" s="3">
        <v>975.39631287096779</v>
      </c>
      <c r="C61" s="3">
        <v>227.09109677419355</v>
      </c>
      <c r="D61" s="3">
        <v>748.30521609677419</v>
      </c>
      <c r="E61" s="3">
        <v>2914.7419354838707</v>
      </c>
      <c r="F61" s="3">
        <v>0</v>
      </c>
      <c r="G61" s="3">
        <v>7039.8239999999996</v>
      </c>
      <c r="H61" s="10">
        <v>9.4192913799999998E-4</v>
      </c>
      <c r="I61" s="3">
        <v>90357</v>
      </c>
      <c r="J61" s="3">
        <v>23197.461698999999</v>
      </c>
      <c r="K61" s="3">
        <v>76.718068975904075</v>
      </c>
      <c r="L61" s="3">
        <v>80.73035044626117</v>
      </c>
      <c r="N61" s="1">
        <f t="shared" si="0"/>
        <v>1796</v>
      </c>
      <c r="O61" s="1">
        <f t="shared" si="1"/>
        <v>3.2951763707444961</v>
      </c>
      <c r="P61" s="1">
        <f t="shared" si="3"/>
        <v>7.8654265730960429</v>
      </c>
      <c r="R61" s="1">
        <f t="shared" si="2"/>
        <v>8.6695952921364665E-3</v>
      </c>
    </row>
    <row r="62" spans="1:18" x14ac:dyDescent="0.3">
      <c r="A62" s="2">
        <v>45597</v>
      </c>
      <c r="B62" s="3">
        <v>983.53046883333332</v>
      </c>
      <c r="C62" s="3">
        <v>228.61189999999999</v>
      </c>
      <c r="D62" s="3">
        <v>754.91856883333332</v>
      </c>
      <c r="E62" s="3">
        <v>2804.5</v>
      </c>
      <c r="F62" s="3">
        <v>0</v>
      </c>
      <c r="G62" s="3">
        <v>6858.357</v>
      </c>
      <c r="H62" s="10">
        <v>9.1764883699999998E-4</v>
      </c>
      <c r="I62" s="3">
        <v>84135</v>
      </c>
      <c r="J62" s="3">
        <v>22647.557065000001</v>
      </c>
      <c r="K62" s="3">
        <v>76.755992087242603</v>
      </c>
      <c r="L62" s="3">
        <v>77.160218256354966</v>
      </c>
      <c r="N62" s="1">
        <f t="shared" si="0"/>
        <v>1827</v>
      </c>
      <c r="O62" s="1">
        <f t="shared" si="1"/>
        <v>3.3021840456832448</v>
      </c>
      <c r="P62" s="1">
        <f t="shared" si="3"/>
        <v>-8.7970611209115113</v>
      </c>
      <c r="R62" s="1">
        <f t="shared" si="2"/>
        <v>2.2605403028221464E-4</v>
      </c>
    </row>
    <row r="63" spans="1:18" x14ac:dyDescent="0.3">
      <c r="A63" s="2">
        <v>45627</v>
      </c>
      <c r="B63" s="3">
        <v>938.88647519354834</v>
      </c>
      <c r="C63" s="3">
        <v>234.64232258064516</v>
      </c>
      <c r="D63" s="3">
        <v>704.24415261290324</v>
      </c>
      <c r="E63" s="3">
        <v>2409.5483870967741</v>
      </c>
      <c r="F63" s="3">
        <v>0</v>
      </c>
      <c r="G63" s="3">
        <v>7273.9120000000003</v>
      </c>
      <c r="H63" s="10">
        <v>9.7325014200000002E-4</v>
      </c>
      <c r="I63" s="3">
        <v>74696</v>
      </c>
      <c r="J63" s="3">
        <v>21831.568730999999</v>
      </c>
      <c r="K63" s="3">
        <v>75.008445772714495</v>
      </c>
      <c r="L63" s="3">
        <v>64.590127128290803</v>
      </c>
      <c r="N63" s="1">
        <f t="shared" si="0"/>
        <v>1857</v>
      </c>
      <c r="O63" s="1">
        <f t="shared" si="1"/>
        <v>3.0013517803074881</v>
      </c>
      <c r="P63" s="1">
        <f t="shared" si="3"/>
        <v>-1.2888747210486518</v>
      </c>
      <c r="R63" s="1">
        <f t="shared" si="2"/>
        <v>-1.002774217919189E-2</v>
      </c>
    </row>
    <row r="64" spans="1:18" x14ac:dyDescent="0.3">
      <c r="A64" s="2">
        <v>45658</v>
      </c>
      <c r="B64" s="3">
        <v>952.98838412903228</v>
      </c>
      <c r="C64" s="3">
        <v>223.71387096774194</v>
      </c>
      <c r="D64" s="3">
        <v>729.27451316129032</v>
      </c>
      <c r="E64" s="3">
        <v>2131.516129032258</v>
      </c>
      <c r="F64" s="3">
        <v>0</v>
      </c>
      <c r="G64" s="3">
        <v>6935.13</v>
      </c>
      <c r="H64" s="10">
        <v>9.27921071E-4</v>
      </c>
      <c r="I64" s="3">
        <v>66077</v>
      </c>
      <c r="J64" s="3">
        <v>22607.509908</v>
      </c>
      <c r="K64" s="3">
        <v>76.525015971500892</v>
      </c>
      <c r="L64" s="3">
        <v>59.928381241591723</v>
      </c>
      <c r="N64" s="1">
        <f t="shared" si="0"/>
        <v>1888</v>
      </c>
      <c r="O64" s="1">
        <f t="shared" si="1"/>
        <v>3.2598538034615068</v>
      </c>
      <c r="P64" s="1">
        <f t="shared" si="3"/>
        <v>9.3984363485183167</v>
      </c>
      <c r="R64" s="1">
        <f t="shared" si="2"/>
        <v>8.3387749404522163E-3</v>
      </c>
    </row>
    <row r="65" spans="1:18" x14ac:dyDescent="0.3">
      <c r="A65" s="2">
        <v>45689</v>
      </c>
      <c r="B65" s="3">
        <v>1026.8137252499998</v>
      </c>
      <c r="C65" s="3">
        <v>238.23903571428573</v>
      </c>
      <c r="D65" s="3">
        <v>788.57468953571424</v>
      </c>
      <c r="E65" s="3">
        <v>2409.75</v>
      </c>
      <c r="F65" s="3">
        <v>0</v>
      </c>
      <c r="G65" s="3">
        <v>6670.6930000000002</v>
      </c>
      <c r="H65" s="10">
        <v>8.9253937599999993E-4</v>
      </c>
      <c r="I65" s="3">
        <v>67473</v>
      </c>
      <c r="J65" s="3">
        <v>22080.091306999999</v>
      </c>
      <c r="K65" s="3">
        <v>76.798222515356301</v>
      </c>
      <c r="L65" s="3">
        <v>63.620327813017319</v>
      </c>
      <c r="N65" s="1">
        <f t="shared" si="0"/>
        <v>1919</v>
      </c>
      <c r="O65" s="1">
        <f t="shared" si="1"/>
        <v>3.3100146127246446</v>
      </c>
      <c r="P65" s="1">
        <f t="shared" si="3"/>
        <v>15.163305724186801</v>
      </c>
      <c r="R65" s="1">
        <f t="shared" si="2"/>
        <v>1.6180906213915426E-3</v>
      </c>
    </row>
    <row r="66" spans="1:18" x14ac:dyDescent="0.3">
      <c r="A66" s="2">
        <v>45717</v>
      </c>
      <c r="B66" s="3">
        <v>1159.474453</v>
      </c>
      <c r="C66" s="3">
        <v>245.31593548387096</v>
      </c>
      <c r="D66" s="3">
        <v>914.15851751612911</v>
      </c>
      <c r="E66" s="3">
        <v>2518.516129032258</v>
      </c>
      <c r="F66" s="3">
        <v>0</v>
      </c>
      <c r="G66" s="3">
        <v>7604.7939999999999</v>
      </c>
      <c r="H66" s="10">
        <v>1.017522181E-3</v>
      </c>
      <c r="I66" s="3">
        <v>78074</v>
      </c>
      <c r="J66" s="3">
        <v>28338.914043000001</v>
      </c>
      <c r="K66" s="3">
        <v>78.842488952719435</v>
      </c>
      <c r="L66" s="3">
        <v>64.573720892373942</v>
      </c>
      <c r="N66" s="1">
        <f t="shared" si="0"/>
        <v>1947</v>
      </c>
      <c r="O66" s="1">
        <f t="shared" si="1"/>
        <v>3.7264538714658153</v>
      </c>
      <c r="P66" s="1">
        <f t="shared" si="3"/>
        <v>9.493992401295932</v>
      </c>
      <c r="R66" s="1">
        <f t="shared" si="2"/>
        <v>1.4872830669327526E-2</v>
      </c>
    </row>
    <row r="67" spans="1:18" x14ac:dyDescent="0.3">
      <c r="A67" s="2">
        <v>45748</v>
      </c>
      <c r="B67" s="3">
        <v>1034.3269129</v>
      </c>
      <c r="C67" s="3">
        <v>224.97536666666667</v>
      </c>
      <c r="D67" s="3">
        <v>809.35154623333324</v>
      </c>
      <c r="E67" s="3">
        <v>2622.7333333333331</v>
      </c>
      <c r="F67" s="3">
        <v>0</v>
      </c>
      <c r="G67" s="3">
        <v>6749.2610000000004</v>
      </c>
      <c r="H67" s="10">
        <v>9.0305178000000001E-4</v>
      </c>
      <c r="I67" s="3">
        <v>78682</v>
      </c>
      <c r="J67" s="3">
        <v>24280.546386999999</v>
      </c>
      <c r="K67" s="3">
        <v>78.249104431026467</v>
      </c>
      <c r="L67" s="3">
        <v>73.325663891202311</v>
      </c>
      <c r="N67" s="1">
        <f t="shared" ref="N67:N70" si="4">A67-$A$2</f>
        <v>1978</v>
      </c>
      <c r="O67" s="1">
        <f t="shared" ref="O67:O70" si="5">D67/C67</f>
        <v>3.5975118441856075</v>
      </c>
      <c r="P67" s="1">
        <f t="shared" si="3"/>
        <v>-9.2297665288641646</v>
      </c>
      <c r="R67" s="1">
        <f t="shared" si="2"/>
        <v>-4.1594202348454118E-3</v>
      </c>
    </row>
    <row r="68" spans="1:18" x14ac:dyDescent="0.3">
      <c r="A68" s="2">
        <v>45778</v>
      </c>
      <c r="B68" s="3">
        <v>1027.9578153225807</v>
      </c>
      <c r="C68" s="3">
        <v>231.4323548387097</v>
      </c>
      <c r="D68" s="3">
        <v>796.52546048387092</v>
      </c>
      <c r="E68" s="3">
        <v>2345.3225806451615</v>
      </c>
      <c r="F68" s="3">
        <v>0</v>
      </c>
      <c r="G68" s="3">
        <v>7174.4030000000002</v>
      </c>
      <c r="H68" s="10">
        <v>9.5993582200000005E-4</v>
      </c>
      <c r="I68" s="3">
        <v>72705</v>
      </c>
      <c r="J68" s="3">
        <v>24692.289274999999</v>
      </c>
      <c r="K68" s="3">
        <v>77.486201146679875</v>
      </c>
      <c r="L68" s="3">
        <v>63.740482518196984</v>
      </c>
      <c r="N68" s="1">
        <f t="shared" si="4"/>
        <v>2008</v>
      </c>
      <c r="O68" s="1">
        <f t="shared" si="5"/>
        <v>3.4417204156220378</v>
      </c>
      <c r="P68" s="1">
        <f t="shared" si="3"/>
        <v>15.241219960058508</v>
      </c>
      <c r="R68" s="1">
        <f t="shared" ref="R68:R70" si="6">(O68-O67) / (N68-N67)</f>
        <v>-5.1930476187856582E-3</v>
      </c>
    </row>
    <row r="69" spans="1:18" x14ac:dyDescent="0.3">
      <c r="A69" s="2">
        <v>45809</v>
      </c>
      <c r="B69" s="3">
        <v>1090.1084509999998</v>
      </c>
      <c r="C69" s="3">
        <v>215.41783333333333</v>
      </c>
      <c r="D69" s="3">
        <v>874.69061766666664</v>
      </c>
      <c r="E69" s="3">
        <v>1773.8333333333333</v>
      </c>
      <c r="F69" s="3">
        <v>0</v>
      </c>
      <c r="G69" s="3">
        <v>6462.5349999999999</v>
      </c>
      <c r="H69" s="10">
        <v>8.6468781400000005E-4</v>
      </c>
      <c r="I69" s="3">
        <v>53215</v>
      </c>
      <c r="J69" s="3">
        <v>26240.718529999998</v>
      </c>
      <c r="K69" s="3">
        <v>80.238862185159476</v>
      </c>
      <c r="L69" s="3">
        <v>51.79263354086283</v>
      </c>
      <c r="N69" s="1">
        <f t="shared" si="4"/>
        <v>2039</v>
      </c>
      <c r="O69" s="1">
        <f t="shared" si="5"/>
        <v>4.0604373562386895</v>
      </c>
      <c r="P69" s="1">
        <f t="shared" ref="P69:P70" si="7">IF(OR(N68&lt;=0,N70&lt;=0,O68="",O70=""),"",(O70-O68)/(LN(N70)-LN(N68)))</f>
        <v>20.879168029751536</v>
      </c>
      <c r="R69" s="1">
        <f t="shared" si="6"/>
        <v>1.9958610987633928E-2</v>
      </c>
    </row>
    <row r="70" spans="1:18" x14ac:dyDescent="0.3">
      <c r="A70" s="2">
        <v>45839</v>
      </c>
      <c r="B70" s="3">
        <v>1139.3630191290324</v>
      </c>
      <c r="C70" s="3">
        <v>224.87925806451611</v>
      </c>
      <c r="D70" s="3">
        <v>914.4837610645161</v>
      </c>
      <c r="E70" s="3">
        <v>2190.6451612903224</v>
      </c>
      <c r="F70" s="3">
        <v>0</v>
      </c>
      <c r="G70" s="3">
        <v>6971.2569999999996</v>
      </c>
      <c r="H70" s="10">
        <v>9.3275487099999993E-4</v>
      </c>
      <c r="I70" s="3">
        <v>67910</v>
      </c>
      <c r="J70" s="3">
        <v>28348.996593</v>
      </c>
      <c r="K70" s="3">
        <v>80.262720986290958</v>
      </c>
      <c r="L70" s="3">
        <v>61.271635517095412</v>
      </c>
      <c r="N70" s="1">
        <f t="shared" si="4"/>
        <v>2069</v>
      </c>
      <c r="O70" s="1">
        <f t="shared" si="5"/>
        <v>4.0665545098968527</v>
      </c>
      <c r="P70" s="1" t="str">
        <f t="shared" si="7"/>
        <v/>
      </c>
      <c r="R70" s="1">
        <f t="shared" si="6"/>
        <v>2.0390512193877442E-4</v>
      </c>
    </row>
    <row r="71" spans="1:18" x14ac:dyDescent="0.3">
      <c r="A71" s="2">
        <v>45870</v>
      </c>
    </row>
  </sheetData>
  <mergeCells count="1">
    <mergeCell ref="T2:V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22C2-2A25-4FBD-9148-C5562E16203D}">
  <dimension ref="A1:R68"/>
  <sheetViews>
    <sheetView topLeftCell="A40" zoomScale="94" workbookViewId="0">
      <selection activeCell="J2" sqref="J2:J67"/>
    </sheetView>
  </sheetViews>
  <sheetFormatPr defaultColWidth="8.77734375" defaultRowHeight="14.4" x14ac:dyDescent="0.3"/>
  <cols>
    <col min="1" max="1" width="8.77734375" style="1"/>
    <col min="2" max="7" width="8.88671875" style="1" bestFit="1" customWidth="1"/>
    <col min="8" max="8" width="15.6640625" style="1" bestFit="1" customWidth="1"/>
    <col min="9" max="9" width="11.44140625" style="1" bestFit="1" customWidth="1"/>
    <col min="10" max="10" width="10.44140625" style="1" bestFit="1" customWidth="1"/>
    <col min="11" max="12" width="8.88671875" style="1" bestFit="1" customWidth="1"/>
    <col min="13" max="13" width="8.77734375" style="1"/>
    <col min="14" max="16" width="8.88671875" style="1" bestFit="1" customWidth="1"/>
    <col min="17" max="17" width="8.77734375" style="1"/>
    <col min="18" max="18" width="13.5546875" style="1" bestFit="1" customWidth="1"/>
    <col min="19" max="16384" width="8.77734375" style="1"/>
  </cols>
  <sheetData>
    <row r="1" spans="1:1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</row>
    <row r="2" spans="1:18" x14ac:dyDescent="0.3">
      <c r="A2" s="4">
        <v>43862</v>
      </c>
      <c r="B2" s="5">
        <v>276.62712193103448</v>
      </c>
      <c r="C2" s="5">
        <v>240.1521379310345</v>
      </c>
      <c r="D2" s="5">
        <v>36.474983999999999</v>
      </c>
      <c r="E2" s="5">
        <v>3180.4137931034484</v>
      </c>
      <c r="F2" s="5">
        <v>0</v>
      </c>
      <c r="G2" s="5">
        <v>6964.4120000000003</v>
      </c>
      <c r="H2" s="9">
        <v>9.3228168400000006E-4</v>
      </c>
      <c r="I2" s="5">
        <v>92232</v>
      </c>
      <c r="J2" s="5">
        <v>1057.7745359999999</v>
      </c>
      <c r="K2" s="5">
        <v>13.185613813056813</v>
      </c>
      <c r="L2" s="5">
        <v>83.297891279263766</v>
      </c>
      <c r="N2" s="1">
        <f>A2 -$A$2</f>
        <v>0</v>
      </c>
      <c r="O2" s="1">
        <f>D2/C2</f>
        <v>0.15188282025819264</v>
      </c>
      <c r="P2" s="1" t="str">
        <f>IF(OR(N4&lt;=0, N2&lt;=0)," ", (O4 - O2) / (LN(N4) - LN(N2)))</f>
        <v xml:space="preserve"> </v>
      </c>
      <c r="R2" s="1">
        <f>(O3-O2) / (N3-N2)</f>
        <v>-4.8664249227389289E-4</v>
      </c>
    </row>
    <row r="3" spans="1:18" x14ac:dyDescent="0.3">
      <c r="A3" s="2">
        <v>43891</v>
      </c>
      <c r="B3" s="3">
        <v>1159.5847659032258</v>
      </c>
      <c r="C3" s="3">
        <v>1019.1730967741936</v>
      </c>
      <c r="D3" s="3">
        <v>140.41166912903225</v>
      </c>
      <c r="E3" s="3">
        <v>16135.193548387097</v>
      </c>
      <c r="F3" s="3">
        <v>0</v>
      </c>
      <c r="G3" s="3">
        <v>31594.366000000002</v>
      </c>
      <c r="H3" s="10">
        <v>4.2293374899999995E-3</v>
      </c>
      <c r="I3" s="3">
        <v>500191</v>
      </c>
      <c r="J3" s="3">
        <v>4352.761743</v>
      </c>
      <c r="K3" s="3">
        <v>12.108788702450962</v>
      </c>
      <c r="L3" s="3">
        <v>99.577923222133961</v>
      </c>
      <c r="N3" s="1">
        <f t="shared" ref="N3:N66" si="0">A3 -$A$2</f>
        <v>29</v>
      </c>
      <c r="O3" s="1">
        <f t="shared" ref="O3:O66" si="1">D3/C3</f>
        <v>0.13777018798224974</v>
      </c>
      <c r="P3" s="1">
        <f t="shared" ref="P3:P66" si="2">IF(OR(N5&lt;=0, N3&lt;=0)," ", (O5 - O3) / (LN(N5) - LN(N3)))</f>
        <v>-6.3467610736700777E-2</v>
      </c>
      <c r="R3" s="1">
        <f>(O4-O2)/(N4-N2)</f>
        <v>2.2182747449223108E-6</v>
      </c>
    </row>
    <row r="4" spans="1:18" x14ac:dyDescent="0.3">
      <c r="A4" s="2">
        <v>43922</v>
      </c>
      <c r="B4" s="3">
        <v>1169.7043147333331</v>
      </c>
      <c r="C4" s="3">
        <v>1015.3543000000001</v>
      </c>
      <c r="D4" s="3">
        <v>154.35001473333332</v>
      </c>
      <c r="E4" s="3">
        <v>16020.233333333334</v>
      </c>
      <c r="F4" s="3">
        <v>0</v>
      </c>
      <c r="G4" s="3">
        <v>30460.629000000001</v>
      </c>
      <c r="H4" s="10">
        <v>4.0775713009999996E-3</v>
      </c>
      <c r="I4" s="3">
        <v>480607</v>
      </c>
      <c r="J4" s="3">
        <v>4630.5004419999996</v>
      </c>
      <c r="K4" s="3">
        <v>13.195643786996008</v>
      </c>
      <c r="L4" s="3">
        <v>99.240298307694161</v>
      </c>
      <c r="N4" s="1">
        <f t="shared" si="0"/>
        <v>60</v>
      </c>
      <c r="O4" s="1">
        <f t="shared" si="1"/>
        <v>0.15201591674288797</v>
      </c>
      <c r="P4" s="1">
        <f t="shared" si="2"/>
        <v>-0.17209235027165704</v>
      </c>
      <c r="R4" s="1">
        <f t="shared" ref="R4:R66" si="3">(O5-O3)/(N5-N3)</f>
        <v>-1.1783270093912428E-3</v>
      </c>
    </row>
    <row r="5" spans="1:18" x14ac:dyDescent="0.3">
      <c r="A5" s="2">
        <v>43952</v>
      </c>
      <c r="B5" s="3">
        <v>1325.0861504838711</v>
      </c>
      <c r="C5" s="3">
        <v>1243.1708387096776</v>
      </c>
      <c r="D5" s="3">
        <v>81.91531177419354</v>
      </c>
      <c r="E5" s="3">
        <v>12978.322580645161</v>
      </c>
      <c r="F5" s="3">
        <v>0</v>
      </c>
      <c r="G5" s="3">
        <v>38538.296000000002</v>
      </c>
      <c r="H5" s="10">
        <v>5.1588773760000003E-3</v>
      </c>
      <c r="I5" s="3">
        <v>402328</v>
      </c>
      <c r="J5" s="3">
        <v>2539.3746649999998</v>
      </c>
      <c r="K5" s="3">
        <v>6.1818857396012463</v>
      </c>
      <c r="L5" s="3">
        <v>65.663584461544417</v>
      </c>
      <c r="N5" s="1">
        <f t="shared" si="0"/>
        <v>90</v>
      </c>
      <c r="O5" s="1">
        <f t="shared" si="1"/>
        <v>6.5892240409383934E-2</v>
      </c>
      <c r="P5" s="1">
        <f t="shared" si="2"/>
        <v>-7.5998309413554982E-2</v>
      </c>
      <c r="R5" s="1">
        <f t="shared" si="3"/>
        <v>-1.9789096371730431E-3</v>
      </c>
    </row>
    <row r="6" spans="1:18" x14ac:dyDescent="0.3">
      <c r="A6" s="2">
        <v>43983</v>
      </c>
      <c r="B6" s="3">
        <v>1489.1557081333333</v>
      </c>
      <c r="C6" s="3">
        <v>1443.9563666666666</v>
      </c>
      <c r="D6" s="3">
        <v>45.199341466666667</v>
      </c>
      <c r="E6" s="3">
        <v>10243.9</v>
      </c>
      <c r="F6" s="3">
        <v>0</v>
      </c>
      <c r="G6" s="3">
        <v>43318.690999999999</v>
      </c>
      <c r="H6" s="10">
        <v>5.7987985500000004E-3</v>
      </c>
      <c r="I6" s="3">
        <v>307317</v>
      </c>
      <c r="J6" s="3">
        <v>1355.9802440000001</v>
      </c>
      <c r="K6" s="3">
        <v>3.0352327308555496</v>
      </c>
      <c r="L6" s="3">
        <v>44.621903893633352</v>
      </c>
      <c r="N6" s="1">
        <f t="shared" si="0"/>
        <v>121</v>
      </c>
      <c r="O6" s="1">
        <f t="shared" si="1"/>
        <v>3.1302428875332362E-2</v>
      </c>
      <c r="P6" s="1">
        <f t="shared" si="2"/>
        <v>-1.1866706845774282E-2</v>
      </c>
      <c r="R6" s="1">
        <f t="shared" si="3"/>
        <v>-6.4470258729155646E-4</v>
      </c>
    </row>
    <row r="7" spans="1:18" x14ac:dyDescent="0.3">
      <c r="A7" s="2">
        <v>44013</v>
      </c>
      <c r="B7" s="3">
        <v>1419.0662218246839</v>
      </c>
      <c r="C7" s="3">
        <v>1382.3437317279097</v>
      </c>
      <c r="D7" s="3">
        <v>36.722490096774195</v>
      </c>
      <c r="E7" s="3">
        <v>9152.4193548387102</v>
      </c>
      <c r="F7" s="3">
        <v>0</v>
      </c>
      <c r="G7" s="3">
        <v>42852.655683565201</v>
      </c>
      <c r="H7" s="10">
        <v>5.7393044519999997E-3</v>
      </c>
      <c r="I7" s="3">
        <v>283725</v>
      </c>
      <c r="J7" s="3">
        <v>1138.397193</v>
      </c>
      <c r="K7" s="3">
        <v>2.5877925590784034</v>
      </c>
      <c r="L7" s="3">
        <v>41.644408649436805</v>
      </c>
      <c r="N7" s="1">
        <f t="shared" si="0"/>
        <v>151</v>
      </c>
      <c r="O7" s="1">
        <f t="shared" si="1"/>
        <v>2.6565382584598993E-2</v>
      </c>
      <c r="P7" s="1">
        <f t="shared" si="2"/>
        <v>2.1718864440724767E-2</v>
      </c>
      <c r="R7" s="1">
        <f t="shared" si="3"/>
        <v>-7.941280787962159E-5</v>
      </c>
    </row>
    <row r="8" spans="1:18" x14ac:dyDescent="0.3">
      <c r="A8" s="2">
        <v>44044</v>
      </c>
      <c r="B8" s="3">
        <v>1468.7674174838708</v>
      </c>
      <c r="C8" s="3">
        <v>1430.9080967741934</v>
      </c>
      <c r="D8" s="3">
        <v>37.859320709677419</v>
      </c>
      <c r="E8" s="3">
        <v>9694.8387096774186</v>
      </c>
      <c r="F8" s="3">
        <v>0</v>
      </c>
      <c r="G8" s="3">
        <v>44358.150999999998</v>
      </c>
      <c r="H8" s="10">
        <v>5.937944469E-3</v>
      </c>
      <c r="I8" s="3">
        <v>300540</v>
      </c>
      <c r="J8" s="3">
        <v>1173.638942</v>
      </c>
      <c r="K8" s="3">
        <v>2.5776253107884028</v>
      </c>
      <c r="L8" s="3">
        <v>42.61531306839187</v>
      </c>
      <c r="N8" s="1">
        <f t="shared" si="0"/>
        <v>182</v>
      </c>
      <c r="O8" s="1">
        <f t="shared" si="1"/>
        <v>2.6458247594675445E-2</v>
      </c>
      <c r="P8" s="1">
        <f t="shared" si="2"/>
        <v>6.0498245447595252E-2</v>
      </c>
      <c r="R8" s="1">
        <f t="shared" si="3"/>
        <v>1.2050898608383377E-4</v>
      </c>
    </row>
    <row r="9" spans="1:18" x14ac:dyDescent="0.3">
      <c r="A9" s="2">
        <v>44075</v>
      </c>
      <c r="B9" s="3">
        <v>1403.5948828666667</v>
      </c>
      <c r="C9" s="3">
        <v>1357.3933666666667</v>
      </c>
      <c r="D9" s="3">
        <v>46.2015162</v>
      </c>
      <c r="E9" s="3">
        <v>9660.7333333333336</v>
      </c>
      <c r="F9" s="3">
        <v>0</v>
      </c>
      <c r="G9" s="3">
        <v>40721.800999999999</v>
      </c>
      <c r="H9" s="10">
        <v>5.4511693459999991E-3</v>
      </c>
      <c r="I9" s="3">
        <v>289822</v>
      </c>
      <c r="J9" s="3">
        <v>1386.045486</v>
      </c>
      <c r="K9" s="3">
        <v>3.291656072843411</v>
      </c>
      <c r="L9" s="3">
        <v>44.765269974184093</v>
      </c>
      <c r="N9" s="1">
        <f t="shared" si="0"/>
        <v>213</v>
      </c>
      <c r="O9" s="1">
        <f t="shared" si="1"/>
        <v>3.4036939721796687E-2</v>
      </c>
      <c r="P9" s="1">
        <f t="shared" si="2"/>
        <v>-5.4579785904925911E-3</v>
      </c>
      <c r="R9" s="1">
        <f t="shared" si="3"/>
        <v>2.8667714085638287E-4</v>
      </c>
    </row>
    <row r="10" spans="1:18" x14ac:dyDescent="0.3">
      <c r="A10" s="2">
        <v>44105</v>
      </c>
      <c r="B10" s="3">
        <v>1270.4100427419353</v>
      </c>
      <c r="C10" s="3">
        <v>1216.9313225806452</v>
      </c>
      <c r="D10" s="3">
        <v>53.478720161290319</v>
      </c>
      <c r="E10" s="3">
        <v>9946.322580645161</v>
      </c>
      <c r="F10" s="3">
        <v>0</v>
      </c>
      <c r="G10" s="3">
        <v>37724.870999999999</v>
      </c>
      <c r="H10" s="10">
        <v>5.0499893249999995E-3</v>
      </c>
      <c r="I10" s="3">
        <v>308336</v>
      </c>
      <c r="J10" s="3">
        <v>1657.8403249999999</v>
      </c>
      <c r="K10" s="3">
        <v>4.2095637126629448</v>
      </c>
      <c r="L10" s="3">
        <v>51.408307606936546</v>
      </c>
      <c r="N10" s="1">
        <f t="shared" si="0"/>
        <v>243</v>
      </c>
      <c r="O10" s="1">
        <f t="shared" si="1"/>
        <v>4.3945553186914801E-2</v>
      </c>
      <c r="P10" s="1">
        <f t="shared" si="2"/>
        <v>-6.8310893130753197E-2</v>
      </c>
      <c r="R10" s="1">
        <f t="shared" si="3"/>
        <v>-2.2533035615419779E-5</v>
      </c>
    </row>
    <row r="11" spans="1:18" x14ac:dyDescent="0.3">
      <c r="A11" s="2">
        <v>44136</v>
      </c>
      <c r="B11" s="3">
        <v>1329.0920976333334</v>
      </c>
      <c r="C11" s="3">
        <v>1287.0538000000001</v>
      </c>
      <c r="D11" s="3">
        <v>42.038297633333329</v>
      </c>
      <c r="E11" s="3">
        <v>10882.533333333333</v>
      </c>
      <c r="F11" s="3">
        <v>0</v>
      </c>
      <c r="G11" s="3">
        <v>38611.614000000001</v>
      </c>
      <c r="H11" s="10">
        <v>5.1686919889999995E-3</v>
      </c>
      <c r="I11" s="3">
        <v>326476</v>
      </c>
      <c r="J11" s="3">
        <v>1261.148929</v>
      </c>
      <c r="K11" s="3">
        <v>3.1629333819822887</v>
      </c>
      <c r="L11" s="3">
        <v>53.182670499088694</v>
      </c>
      <c r="N11" s="1">
        <f t="shared" si="0"/>
        <v>274</v>
      </c>
      <c r="O11" s="1">
        <f t="shared" si="1"/>
        <v>3.2662424549256081E-2</v>
      </c>
      <c r="P11" s="1">
        <f t="shared" si="2"/>
        <v>-1.3380127919757687E-2</v>
      </c>
      <c r="R11" s="1">
        <f t="shared" si="3"/>
        <v>-2.5080877245276916E-4</v>
      </c>
    </row>
    <row r="12" spans="1:18" x14ac:dyDescent="0.3">
      <c r="A12" s="2">
        <v>44166</v>
      </c>
      <c r="B12" s="3">
        <v>888.36528690322586</v>
      </c>
      <c r="C12" s="3">
        <v>863.62567741935482</v>
      </c>
      <c r="D12" s="3">
        <v>24.739609483870968</v>
      </c>
      <c r="E12" s="3">
        <v>6425.4193548387093</v>
      </c>
      <c r="F12" s="3">
        <v>0</v>
      </c>
      <c r="G12" s="3">
        <v>26772.396000000001</v>
      </c>
      <c r="H12" s="10">
        <v>3.5838509299999997E-3</v>
      </c>
      <c r="I12" s="3">
        <v>199188</v>
      </c>
      <c r="J12" s="3">
        <v>766.92789400000004</v>
      </c>
      <c r="K12" s="3">
        <v>2.7848464869796268</v>
      </c>
      <c r="L12" s="3">
        <v>46.796434745698512</v>
      </c>
      <c r="N12" s="1">
        <f t="shared" si="0"/>
        <v>304</v>
      </c>
      <c r="O12" s="1">
        <f t="shared" si="1"/>
        <v>2.8646218067295882E-2</v>
      </c>
      <c r="P12" s="1">
        <f t="shared" si="2"/>
        <v>-7.2226570229201495E-2</v>
      </c>
      <c r="R12" s="1">
        <f t="shared" si="3"/>
        <v>-4.408915023817311E-5</v>
      </c>
    </row>
    <row r="13" spans="1:18" x14ac:dyDescent="0.3">
      <c r="A13" s="2">
        <v>44197</v>
      </c>
      <c r="B13" s="3">
        <v>251.94807138709677</v>
      </c>
      <c r="C13" s="3">
        <v>244.61619354838709</v>
      </c>
      <c r="D13" s="3">
        <v>7.3318778387096781</v>
      </c>
      <c r="E13" s="3">
        <v>3963.0967741935483</v>
      </c>
      <c r="F13" s="3">
        <v>0</v>
      </c>
      <c r="G13" s="3">
        <v>7583.1019999999999</v>
      </c>
      <c r="H13" s="10">
        <v>1.0151017929999999E-3</v>
      </c>
      <c r="I13" s="3">
        <v>122856</v>
      </c>
      <c r="J13" s="3">
        <v>227.28821300000001</v>
      </c>
      <c r="K13" s="3">
        <v>2.9100750001157469</v>
      </c>
      <c r="L13" s="3">
        <v>101.9028451417375</v>
      </c>
      <c r="N13" s="1">
        <f t="shared" si="0"/>
        <v>335</v>
      </c>
      <c r="O13" s="1">
        <f t="shared" si="1"/>
        <v>2.9972986384727521E-2</v>
      </c>
      <c r="P13" s="1">
        <f t="shared" si="2"/>
        <v>0.33507801688577032</v>
      </c>
      <c r="R13" s="1">
        <f t="shared" si="3"/>
        <v>-2.1622029377794513E-4</v>
      </c>
    </row>
    <row r="14" spans="1:18" x14ac:dyDescent="0.3">
      <c r="A14" s="2">
        <v>44228</v>
      </c>
      <c r="B14" s="3">
        <v>92.447406535714279</v>
      </c>
      <c r="C14" s="3">
        <v>91.059607142857132</v>
      </c>
      <c r="D14" s="3">
        <v>1.387799392857143</v>
      </c>
      <c r="E14" s="3">
        <v>1745.8928571428571</v>
      </c>
      <c r="F14" s="3">
        <v>0</v>
      </c>
      <c r="G14" s="3">
        <v>2549.6689999999999</v>
      </c>
      <c r="H14" s="10">
        <v>3.4130802299999998E-4</v>
      </c>
      <c r="I14" s="3">
        <v>48885</v>
      </c>
      <c r="J14" s="3">
        <v>38.858383000000003</v>
      </c>
      <c r="K14" s="3">
        <v>1.5011772042745282</v>
      </c>
      <c r="L14" s="3">
        <v>120.59481956285305</v>
      </c>
      <c r="N14" s="1">
        <f t="shared" si="0"/>
        <v>366</v>
      </c>
      <c r="O14" s="1">
        <f t="shared" si="1"/>
        <v>1.5240559853063284E-2</v>
      </c>
      <c r="P14" s="1">
        <f t="shared" si="2"/>
        <v>6.5998340667930297E-2</v>
      </c>
      <c r="R14" s="1">
        <f t="shared" si="3"/>
        <v>9.2129631156050141E-4</v>
      </c>
    </row>
    <row r="15" spans="1:18" x14ac:dyDescent="0.3">
      <c r="A15" s="2">
        <v>44256</v>
      </c>
      <c r="B15" s="3">
        <v>1337.8140081612903</v>
      </c>
      <c r="C15" s="3">
        <v>1233.7707741935485</v>
      </c>
      <c r="D15" s="3">
        <v>104.04323396774193</v>
      </c>
      <c r="E15" s="3">
        <v>4431.9677419354839</v>
      </c>
      <c r="F15" s="3">
        <v>0</v>
      </c>
      <c r="G15" s="3">
        <v>38246.894</v>
      </c>
      <c r="H15" s="10">
        <v>5.1198692399999999E-3</v>
      </c>
      <c r="I15" s="3">
        <v>137391</v>
      </c>
      <c r="J15" s="3">
        <v>3225.3402529999998</v>
      </c>
      <c r="K15" s="3">
        <v>7.7771075301222448</v>
      </c>
      <c r="L15" s="3">
        <v>22.594302998826517</v>
      </c>
      <c r="N15" s="1">
        <f t="shared" si="0"/>
        <v>394</v>
      </c>
      <c r="O15" s="1">
        <f t="shared" si="1"/>
        <v>8.4329468766797103E-2</v>
      </c>
      <c r="P15" s="1">
        <f t="shared" si="2"/>
        <v>-0.51403101691491682</v>
      </c>
      <c r="R15" s="1">
        <f t="shared" si="3"/>
        <v>1.6718368046882202E-4</v>
      </c>
    </row>
    <row r="16" spans="1:18" x14ac:dyDescent="0.3">
      <c r="A16" s="2">
        <v>44287</v>
      </c>
      <c r="B16" s="3">
        <v>1375.1060987999999</v>
      </c>
      <c r="C16" s="3">
        <v>1341.4303</v>
      </c>
      <c r="D16" s="3">
        <v>33.675798800000003</v>
      </c>
      <c r="E16" s="3">
        <v>4577.2</v>
      </c>
      <c r="F16" s="3">
        <v>0</v>
      </c>
      <c r="G16" s="3">
        <v>40242.909</v>
      </c>
      <c r="H16" s="10">
        <v>5.3862963529999995E-3</v>
      </c>
      <c r="I16" s="3">
        <v>137316</v>
      </c>
      <c r="J16" s="3">
        <v>1010.273964</v>
      </c>
      <c r="K16" s="3">
        <v>2.4489600351120191</v>
      </c>
      <c r="L16" s="3">
        <v>21.4619220693017</v>
      </c>
      <c r="N16" s="1">
        <f t="shared" si="0"/>
        <v>425</v>
      </c>
      <c r="O16" s="1">
        <f t="shared" si="1"/>
        <v>2.5104397000723783E-2</v>
      </c>
      <c r="P16" s="1">
        <f t="shared" si="2"/>
        <v>-3.5482145819423841E-2</v>
      </c>
      <c r="R16" s="1">
        <f t="shared" si="3"/>
        <v>-1.2129995202998835E-3</v>
      </c>
    </row>
    <row r="17" spans="1:18" x14ac:dyDescent="0.3">
      <c r="A17" s="2">
        <v>44317</v>
      </c>
      <c r="B17" s="3">
        <v>1324.0872740967743</v>
      </c>
      <c r="C17" s="3">
        <v>1310.540870967742</v>
      </c>
      <c r="D17" s="3">
        <v>13.546403129032258</v>
      </c>
      <c r="E17" s="3">
        <v>4430.9677419354839</v>
      </c>
      <c r="F17" s="3">
        <v>0</v>
      </c>
      <c r="G17" s="3">
        <v>40626.767</v>
      </c>
      <c r="H17" s="10">
        <v>5.43586539E-3</v>
      </c>
      <c r="I17" s="3">
        <v>137360</v>
      </c>
      <c r="J17" s="3">
        <v>419.93849699999998</v>
      </c>
      <c r="K17" s="3">
        <v>1.0230747922770371</v>
      </c>
      <c r="L17" s="3">
        <v>21.265953256876184</v>
      </c>
      <c r="N17" s="1">
        <f t="shared" si="0"/>
        <v>455</v>
      </c>
      <c r="O17" s="1">
        <f t="shared" si="1"/>
        <v>1.0336498028504212E-2</v>
      </c>
      <c r="P17" s="1">
        <f t="shared" si="2"/>
        <v>0.18362465513066201</v>
      </c>
      <c r="R17" s="1">
        <f t="shared" si="3"/>
        <v>-7.8013869814472049E-5</v>
      </c>
    </row>
    <row r="18" spans="1:18" x14ac:dyDescent="0.3">
      <c r="A18" s="2">
        <v>44348</v>
      </c>
      <c r="B18" s="3">
        <v>1393.2706940333333</v>
      </c>
      <c r="C18" s="3">
        <v>1365.4890666666665</v>
      </c>
      <c r="D18" s="3">
        <v>27.781627366666665</v>
      </c>
      <c r="E18" s="3">
        <v>4761.2666666666664</v>
      </c>
      <c r="F18" s="3">
        <v>0</v>
      </c>
      <c r="G18" s="3">
        <v>40964.671999999999</v>
      </c>
      <c r="H18" s="10">
        <v>5.4810771109999991E-3</v>
      </c>
      <c r="I18" s="3">
        <v>142838</v>
      </c>
      <c r="J18" s="3">
        <v>833.44882099999995</v>
      </c>
      <c r="K18" s="3">
        <v>1.9939863434751899</v>
      </c>
      <c r="L18" s="3">
        <v>21.931640326572126</v>
      </c>
      <c r="N18" s="1">
        <f t="shared" si="0"/>
        <v>486</v>
      </c>
      <c r="O18" s="1">
        <f t="shared" si="1"/>
        <v>2.0345550942040987E-2</v>
      </c>
      <c r="P18" s="1">
        <f t="shared" si="2"/>
        <v>6.1701901428414176E-2</v>
      </c>
      <c r="R18" s="1">
        <f t="shared" si="3"/>
        <v>3.7871635850651915E-4</v>
      </c>
    </row>
    <row r="19" spans="1:18" x14ac:dyDescent="0.3">
      <c r="A19" s="2">
        <v>44378</v>
      </c>
      <c r="B19" s="3">
        <v>1353.7462640967742</v>
      </c>
      <c r="C19" s="3">
        <v>1309.9440967741934</v>
      </c>
      <c r="D19" s="3">
        <v>43.802167322580644</v>
      </c>
      <c r="E19" s="3">
        <v>4727.677419354839</v>
      </c>
      <c r="F19" s="3">
        <v>0</v>
      </c>
      <c r="G19" s="3">
        <v>40608.267</v>
      </c>
      <c r="H19" s="10">
        <v>5.4333900889999998E-3</v>
      </c>
      <c r="I19" s="3">
        <v>146558</v>
      </c>
      <c r="J19" s="3">
        <v>1357.8671870000001</v>
      </c>
      <c r="K19" s="3">
        <v>3.2356260906696321</v>
      </c>
      <c r="L19" s="3">
        <v>22.700316376465903</v>
      </c>
      <c r="N19" s="1">
        <f t="shared" si="0"/>
        <v>516</v>
      </c>
      <c r="O19" s="1">
        <f t="shared" si="1"/>
        <v>3.3438195897401879E-2</v>
      </c>
      <c r="P19" s="1">
        <f t="shared" si="2"/>
        <v>2.7998397788235777E-2</v>
      </c>
      <c r="R19" s="1">
        <f t="shared" si="3"/>
        <v>1.1960071868870354E-4</v>
      </c>
    </row>
    <row r="20" spans="1:18" x14ac:dyDescent="0.3">
      <c r="A20" s="2">
        <v>44409</v>
      </c>
      <c r="B20" s="3">
        <v>1372.0459587419357</v>
      </c>
      <c r="C20" s="3">
        <v>1335.1410645161291</v>
      </c>
      <c r="D20" s="3">
        <v>36.904894225806451</v>
      </c>
      <c r="E20" s="3">
        <v>4836.9677419354839</v>
      </c>
      <c r="F20" s="3">
        <v>0</v>
      </c>
      <c r="G20" s="3">
        <v>41389.373</v>
      </c>
      <c r="H20" s="10">
        <v>5.5379021460000002E-3</v>
      </c>
      <c r="I20" s="3">
        <v>149946</v>
      </c>
      <c r="J20" s="3">
        <v>1144.051721</v>
      </c>
      <c r="K20" s="3">
        <v>2.6897709942344425</v>
      </c>
      <c r="L20" s="3">
        <v>22.786775503943971</v>
      </c>
      <c r="N20" s="1">
        <f t="shared" si="0"/>
        <v>547</v>
      </c>
      <c r="O20" s="1">
        <f t="shared" si="1"/>
        <v>2.7641194782051903E-2</v>
      </c>
      <c r="P20" s="1">
        <f t="shared" si="2"/>
        <v>6.9695139830486391E-2</v>
      </c>
      <c r="R20" s="1">
        <f t="shared" si="3"/>
        <v>5.1240275661536048E-5</v>
      </c>
    </row>
    <row r="21" spans="1:18" x14ac:dyDescent="0.3">
      <c r="A21" s="2">
        <v>44440</v>
      </c>
      <c r="B21" s="3">
        <v>1361.4272369333335</v>
      </c>
      <c r="C21" s="3">
        <v>1313.3391999999999</v>
      </c>
      <c r="D21" s="3">
        <v>48.088036933333335</v>
      </c>
      <c r="E21" s="3">
        <v>4842.8666666666668</v>
      </c>
      <c r="F21" s="3">
        <v>0</v>
      </c>
      <c r="G21" s="3">
        <v>39400.175999999999</v>
      </c>
      <c r="H21" s="10">
        <v>5.2717473959999995E-3</v>
      </c>
      <c r="I21" s="3">
        <v>145286</v>
      </c>
      <c r="J21" s="3">
        <v>1442.641108</v>
      </c>
      <c r="K21" s="3">
        <v>3.5321782632800462</v>
      </c>
      <c r="L21" s="3">
        <v>23.193294436045161</v>
      </c>
      <c r="N21" s="1">
        <f t="shared" si="0"/>
        <v>578</v>
      </c>
      <c r="O21" s="1">
        <f t="shared" si="1"/>
        <v>3.6615092988417114E-2</v>
      </c>
      <c r="P21" s="1">
        <f t="shared" si="2"/>
        <v>1.3858666019472219E-2</v>
      </c>
      <c r="R21" s="1">
        <f t="shared" si="3"/>
        <v>1.2079662127149471E-4</v>
      </c>
    </row>
    <row r="22" spans="1:18" x14ac:dyDescent="0.3">
      <c r="A22" s="2">
        <v>44470</v>
      </c>
      <c r="B22" s="3">
        <v>1353.1025188387096</v>
      </c>
      <c r="C22" s="3">
        <v>1307.3330645161288</v>
      </c>
      <c r="D22" s="3">
        <v>45.76945432258065</v>
      </c>
      <c r="E22" s="3">
        <v>5087.6451612903229</v>
      </c>
      <c r="F22" s="3">
        <v>0</v>
      </c>
      <c r="G22" s="3">
        <v>40527.324999999997</v>
      </c>
      <c r="H22" s="10">
        <v>5.4225600379999997E-3</v>
      </c>
      <c r="I22" s="3">
        <v>157717</v>
      </c>
      <c r="J22" s="3">
        <v>1418.8530840000001</v>
      </c>
      <c r="K22" s="3">
        <v>3.3825562871512465</v>
      </c>
      <c r="L22" s="3">
        <v>24.477519466187317</v>
      </c>
      <c r="N22" s="1">
        <f t="shared" si="0"/>
        <v>608</v>
      </c>
      <c r="O22" s="1">
        <f t="shared" si="1"/>
        <v>3.5009788679613081E-2</v>
      </c>
      <c r="P22" s="1">
        <f t="shared" si="2"/>
        <v>5.9362109573199099E-3</v>
      </c>
      <c r="R22" s="1">
        <f t="shared" si="3"/>
        <v>2.2794230800422992E-5</v>
      </c>
    </row>
    <row r="23" spans="1:18" x14ac:dyDescent="0.3">
      <c r="A23" s="2">
        <v>44501</v>
      </c>
      <c r="B23" s="3">
        <v>1396.4542509333332</v>
      </c>
      <c r="C23" s="3">
        <v>1345.3244666666665</v>
      </c>
      <c r="D23" s="3">
        <v>51.129784266666668</v>
      </c>
      <c r="E23" s="3">
        <v>4611.3999999999996</v>
      </c>
      <c r="F23" s="3">
        <v>0</v>
      </c>
      <c r="G23" s="3">
        <v>40359.733999999997</v>
      </c>
      <c r="H23" s="10">
        <v>5.4001363469999997E-3</v>
      </c>
      <c r="I23" s="3">
        <v>138342</v>
      </c>
      <c r="J23" s="3">
        <v>1533.8935280000001</v>
      </c>
      <c r="K23" s="3">
        <v>3.6614005960090421</v>
      </c>
      <c r="L23" s="3">
        <v>21.559693916714117</v>
      </c>
      <c r="N23" s="1">
        <f t="shared" si="0"/>
        <v>639</v>
      </c>
      <c r="O23" s="1">
        <f t="shared" si="1"/>
        <v>3.8005541067242916E-2</v>
      </c>
      <c r="P23" s="1">
        <f t="shared" si="2"/>
        <v>0.12110840668589018</v>
      </c>
      <c r="R23" s="1">
        <f t="shared" si="3"/>
        <v>9.3042008364915017E-6</v>
      </c>
    </row>
    <row r="24" spans="1:18" x14ac:dyDescent="0.3">
      <c r="A24" s="2">
        <v>44531</v>
      </c>
      <c r="B24" s="3">
        <v>1389.3095203548387</v>
      </c>
      <c r="C24" s="3">
        <v>1341.5796774193548</v>
      </c>
      <c r="D24" s="3">
        <v>47.729842935483873</v>
      </c>
      <c r="E24" s="3">
        <v>4761.4193548387093</v>
      </c>
      <c r="F24" s="3">
        <v>0</v>
      </c>
      <c r="G24" s="3">
        <v>41588.97</v>
      </c>
      <c r="H24" s="10">
        <v>5.564608242999999E-3</v>
      </c>
      <c r="I24" s="3">
        <v>147604</v>
      </c>
      <c r="J24" s="3">
        <v>1479.625131</v>
      </c>
      <c r="K24" s="3">
        <v>3.4355082316929173</v>
      </c>
      <c r="L24" s="3">
        <v>22.323217891666946</v>
      </c>
      <c r="N24" s="1">
        <f t="shared" si="0"/>
        <v>669</v>
      </c>
      <c r="O24" s="1">
        <f t="shared" si="1"/>
        <v>3.5577344930639063E-2</v>
      </c>
      <c r="P24" s="1">
        <f t="shared" si="2"/>
        <v>2.8066014240828467</v>
      </c>
      <c r="R24" s="1">
        <f t="shared" si="3"/>
        <v>1.8101910878075983E-4</v>
      </c>
    </row>
    <row r="25" spans="1:18" x14ac:dyDescent="0.3">
      <c r="A25" s="2">
        <v>44562</v>
      </c>
      <c r="B25" s="3">
        <v>1304.4072378709677</v>
      </c>
      <c r="C25" s="3">
        <v>1243.4203225806452</v>
      </c>
      <c r="D25" s="3">
        <v>60.986915290322578</v>
      </c>
      <c r="E25" s="3">
        <v>4586.2580645161288</v>
      </c>
      <c r="F25" s="3">
        <v>0</v>
      </c>
      <c r="G25" s="3">
        <v>38546.03</v>
      </c>
      <c r="H25" s="10">
        <v>5.1574625749999997E-3</v>
      </c>
      <c r="I25" s="3">
        <v>142174</v>
      </c>
      <c r="J25" s="3">
        <v>1890.594374</v>
      </c>
      <c r="K25" s="3">
        <v>4.6754505433337243</v>
      </c>
      <c r="L25" s="3">
        <v>23.199432605640581</v>
      </c>
      <c r="N25" s="1">
        <f t="shared" si="0"/>
        <v>700</v>
      </c>
      <c r="O25" s="1">
        <f t="shared" si="1"/>
        <v>4.9047706702869266E-2</v>
      </c>
      <c r="P25" s="1">
        <f t="shared" si="2"/>
        <v>4.3585665102649047</v>
      </c>
      <c r="R25" s="1">
        <f t="shared" si="3"/>
        <v>4.0120548257007718E-3</v>
      </c>
    </row>
    <row r="26" spans="1:18" x14ac:dyDescent="0.3">
      <c r="A26" s="2">
        <v>44593</v>
      </c>
      <c r="B26" s="3">
        <v>1469.031375</v>
      </c>
      <c r="C26" s="3">
        <v>1143.8161428571427</v>
      </c>
      <c r="D26" s="3">
        <v>325.21523214285713</v>
      </c>
      <c r="E26" s="3">
        <v>3917.0714285714284</v>
      </c>
      <c r="F26" s="3">
        <v>0</v>
      </c>
      <c r="G26" s="3">
        <v>32026.851999999999</v>
      </c>
      <c r="H26" s="10">
        <v>4.2851959210000005E-3</v>
      </c>
      <c r="I26" s="3">
        <v>109678</v>
      </c>
      <c r="J26" s="3">
        <v>9106.0264999999999</v>
      </c>
      <c r="K26" s="3">
        <v>22.138072588331013</v>
      </c>
      <c r="L26" s="3">
        <v>21.53982178454504</v>
      </c>
      <c r="N26" s="1">
        <f t="shared" si="0"/>
        <v>731</v>
      </c>
      <c r="O26" s="1">
        <f t="shared" si="1"/>
        <v>0.28432474412408693</v>
      </c>
      <c r="P26" s="1">
        <f t="shared" si="2"/>
        <v>1.1136352482995542</v>
      </c>
      <c r="R26" s="1">
        <f t="shared" si="3"/>
        <v>5.9779913321821067E-3</v>
      </c>
    </row>
    <row r="27" spans="1:18" x14ac:dyDescent="0.3">
      <c r="A27" s="2">
        <v>44621</v>
      </c>
      <c r="B27" s="3">
        <v>1495.553527967742</v>
      </c>
      <c r="C27" s="3">
        <v>1066.9194838709677</v>
      </c>
      <c r="D27" s="3">
        <v>428.63404409677418</v>
      </c>
      <c r="E27" s="3">
        <v>4286.1935483870966</v>
      </c>
      <c r="F27" s="3">
        <v>0</v>
      </c>
      <c r="G27" s="3">
        <v>33074.504000000001</v>
      </c>
      <c r="H27" s="10">
        <v>4.4253718630000004E-3</v>
      </c>
      <c r="I27" s="3">
        <v>132872</v>
      </c>
      <c r="J27" s="3">
        <v>13287.655366999999</v>
      </c>
      <c r="K27" s="3">
        <v>28.660561864290525</v>
      </c>
      <c r="L27" s="3">
        <v>25.268354911686654</v>
      </c>
      <c r="N27" s="1">
        <f t="shared" si="0"/>
        <v>759</v>
      </c>
      <c r="O27" s="1">
        <f t="shared" si="1"/>
        <v>0.40174919530161357</v>
      </c>
      <c r="P27" s="1">
        <f t="shared" si="2"/>
        <v>0.80118161193211557</v>
      </c>
      <c r="R27" s="1">
        <f t="shared" si="3"/>
        <v>1.4650812753046669E-3</v>
      </c>
    </row>
    <row r="28" spans="1:18" x14ac:dyDescent="0.3">
      <c r="A28" s="2">
        <v>44652</v>
      </c>
      <c r="B28" s="3">
        <v>1410.6690943333333</v>
      </c>
      <c r="C28" s="3">
        <v>1029.1111666666666</v>
      </c>
      <c r="D28" s="3">
        <v>381.55792766666667</v>
      </c>
      <c r="E28" s="3">
        <v>4524.7666666666664</v>
      </c>
      <c r="F28" s="3">
        <v>0</v>
      </c>
      <c r="G28" s="3">
        <v>30873.334999999999</v>
      </c>
      <c r="H28" s="10">
        <v>4.130855234E-3</v>
      </c>
      <c r="I28" s="3">
        <v>135743</v>
      </c>
      <c r="J28" s="3">
        <v>11446.73783</v>
      </c>
      <c r="K28" s="3">
        <v>27.048010706365321</v>
      </c>
      <c r="L28" s="3">
        <v>27.654813495205492</v>
      </c>
      <c r="N28" s="1">
        <f t="shared" si="0"/>
        <v>790</v>
      </c>
      <c r="O28" s="1">
        <f t="shared" si="1"/>
        <v>0.37076453936706227</v>
      </c>
      <c r="P28" s="1">
        <f t="shared" si="2"/>
        <v>2.4302916930012128</v>
      </c>
      <c r="R28" s="1">
        <f t="shared" si="3"/>
        <v>1.015301506898296E-3</v>
      </c>
    </row>
    <row r="29" spans="1:18" x14ac:dyDescent="0.3">
      <c r="A29" s="2">
        <v>44682</v>
      </c>
      <c r="B29" s="3">
        <v>1360.5754504193549</v>
      </c>
      <c r="C29" s="3">
        <v>929.55635483870969</v>
      </c>
      <c r="D29" s="3">
        <v>431.01909558064517</v>
      </c>
      <c r="E29" s="3">
        <v>4096.0322580645161</v>
      </c>
      <c r="F29" s="3">
        <v>0</v>
      </c>
      <c r="G29" s="3">
        <v>28816.246999999999</v>
      </c>
      <c r="H29" s="10">
        <v>3.8556166589999996E-3</v>
      </c>
      <c r="I29" s="3">
        <v>126977</v>
      </c>
      <c r="J29" s="3">
        <v>13361.591963000001</v>
      </c>
      <c r="K29" s="3">
        <v>31.67917629616182</v>
      </c>
      <c r="L29" s="3">
        <v>27.715612466814292</v>
      </c>
      <c r="N29" s="1">
        <f t="shared" si="0"/>
        <v>820</v>
      </c>
      <c r="O29" s="1">
        <f t="shared" si="1"/>
        <v>0.46368258722240963</v>
      </c>
      <c r="P29" s="1">
        <f t="shared" si="2"/>
        <v>4.5985872989367014</v>
      </c>
      <c r="R29" s="1">
        <f t="shared" si="3"/>
        <v>2.9633296860664916E-3</v>
      </c>
    </row>
    <row r="30" spans="1:18" x14ac:dyDescent="0.3">
      <c r="A30" s="2">
        <v>44713</v>
      </c>
      <c r="B30" s="3">
        <v>1393.6611598999998</v>
      </c>
      <c r="C30" s="3">
        <v>898.25093333333325</v>
      </c>
      <c r="D30" s="3">
        <v>495.41022656666667</v>
      </c>
      <c r="E30" s="3">
        <v>3964.9333333333334</v>
      </c>
      <c r="F30" s="3">
        <v>0</v>
      </c>
      <c r="G30" s="3">
        <v>26947.527999999998</v>
      </c>
      <c r="H30" s="10">
        <v>3.6055818710000001E-3</v>
      </c>
      <c r="I30" s="3">
        <v>118948</v>
      </c>
      <c r="J30" s="3">
        <v>14862.306796999999</v>
      </c>
      <c r="K30" s="3">
        <v>35.547394217559599</v>
      </c>
      <c r="L30" s="3">
        <v>27.7635533173952</v>
      </c>
      <c r="N30" s="1">
        <f t="shared" si="0"/>
        <v>851</v>
      </c>
      <c r="O30" s="1">
        <f t="shared" si="1"/>
        <v>0.55152765021711825</v>
      </c>
      <c r="P30" s="1">
        <f t="shared" si="2"/>
        <v>5.2480617063766317</v>
      </c>
      <c r="R30" s="1">
        <f t="shared" si="3"/>
        <v>5.4092417733652906E-3</v>
      </c>
    </row>
    <row r="31" spans="1:18" x14ac:dyDescent="0.3">
      <c r="A31" s="2">
        <v>44743</v>
      </c>
      <c r="B31" s="3">
        <v>1478.1611292903226</v>
      </c>
      <c r="C31" s="3">
        <v>824.10958064516137</v>
      </c>
      <c r="D31" s="3">
        <v>654.05154864516135</v>
      </c>
      <c r="E31" s="3">
        <v>3498.4193548387098</v>
      </c>
      <c r="F31" s="3">
        <v>0</v>
      </c>
      <c r="G31" s="3">
        <v>25547.397000000001</v>
      </c>
      <c r="H31" s="10">
        <v>3.418244209E-3</v>
      </c>
      <c r="I31" s="3">
        <v>108451</v>
      </c>
      <c r="J31" s="3">
        <v>20275.598008000001</v>
      </c>
      <c r="K31" s="3">
        <v>44.247649033984331</v>
      </c>
      <c r="L31" s="3">
        <v>26.700767197534837</v>
      </c>
      <c r="N31" s="1">
        <f t="shared" si="0"/>
        <v>881</v>
      </c>
      <c r="O31" s="1">
        <f t="shared" si="1"/>
        <v>0.79364633539769236</v>
      </c>
      <c r="P31" s="1">
        <f t="shared" si="2"/>
        <v>-0.19768155865159714</v>
      </c>
      <c r="R31" s="1">
        <f t="shared" si="3"/>
        <v>5.955935884549424E-3</v>
      </c>
    </row>
    <row r="32" spans="1:18" x14ac:dyDescent="0.3">
      <c r="A32" s="2">
        <v>44774</v>
      </c>
      <c r="B32" s="3">
        <v>1585.3960094193501</v>
      </c>
      <c r="C32" s="3">
        <v>827.95232258064505</v>
      </c>
      <c r="D32" s="3">
        <v>757.44368683870903</v>
      </c>
      <c r="E32" s="3">
        <v>3464.6451612903202</v>
      </c>
      <c r="F32" s="3">
        <v>0</v>
      </c>
      <c r="G32" s="3">
        <v>25666.522000000001</v>
      </c>
      <c r="H32" s="10">
        <v>3.4341831489999898E-3</v>
      </c>
      <c r="I32" s="3">
        <v>107404</v>
      </c>
      <c r="J32" s="3">
        <v>23480.754292000001</v>
      </c>
      <c r="K32" s="3">
        <v>47.776308401086517</v>
      </c>
      <c r="L32" s="3">
        <v>26.320265722017183</v>
      </c>
      <c r="N32" s="1">
        <f t="shared" si="0"/>
        <v>912</v>
      </c>
      <c r="O32" s="1">
        <f t="shared" si="1"/>
        <v>0.91483973917463313</v>
      </c>
      <c r="P32" s="1">
        <f t="shared" si="2"/>
        <v>-1.2574921928484437</v>
      </c>
      <c r="R32" s="1">
        <f t="shared" si="3"/>
        <v>-2.1683963318902007E-4</v>
      </c>
    </row>
    <row r="33" spans="1:18" x14ac:dyDescent="0.3">
      <c r="A33" s="2">
        <v>44805</v>
      </c>
      <c r="B33" s="3">
        <v>1463.65104086666</v>
      </c>
      <c r="C33" s="3">
        <v>822.18243333333305</v>
      </c>
      <c r="D33" s="3">
        <v>641.46860753333306</v>
      </c>
      <c r="E33" s="3">
        <v>3479.86666666666</v>
      </c>
      <c r="F33" s="3">
        <v>0</v>
      </c>
      <c r="G33" s="3">
        <v>24665.473000000002</v>
      </c>
      <c r="H33" s="10">
        <v>3.3002426929999999E-3</v>
      </c>
      <c r="I33" s="3">
        <v>104396</v>
      </c>
      <c r="J33" s="3">
        <v>19244.058226000001</v>
      </c>
      <c r="K33" s="3">
        <v>43.826608229889459</v>
      </c>
      <c r="L33" s="3">
        <v>26.621421806912029</v>
      </c>
      <c r="N33" s="1">
        <f t="shared" si="0"/>
        <v>943</v>
      </c>
      <c r="O33" s="1">
        <f t="shared" si="1"/>
        <v>0.78020227813997312</v>
      </c>
      <c r="P33" s="1">
        <f t="shared" si="2"/>
        <v>-0.43541897067202778</v>
      </c>
      <c r="R33" s="1">
        <f t="shared" si="3"/>
        <v>-1.3346752518605008E-3</v>
      </c>
    </row>
    <row r="34" spans="1:18" x14ac:dyDescent="0.3">
      <c r="A34" s="2">
        <v>44835</v>
      </c>
      <c r="B34" s="3">
        <v>1244.81016225806</v>
      </c>
      <c r="C34" s="3">
        <v>678.95358064516097</v>
      </c>
      <c r="D34" s="3">
        <v>565.85658161290303</v>
      </c>
      <c r="E34" s="3">
        <v>2811.2903225806399</v>
      </c>
      <c r="F34" s="3">
        <v>0</v>
      </c>
      <c r="G34" s="3">
        <v>21047.561000000002</v>
      </c>
      <c r="H34" s="10">
        <v>2.81616571E-3</v>
      </c>
      <c r="I34" s="3">
        <v>87150</v>
      </c>
      <c r="J34" s="3">
        <v>17541.554029999999</v>
      </c>
      <c r="K34" s="3">
        <v>45.457259168454165</v>
      </c>
      <c r="L34" s="3">
        <v>26.043686011885175</v>
      </c>
      <c r="N34" s="1">
        <f t="shared" si="0"/>
        <v>973</v>
      </c>
      <c r="O34" s="1">
        <f t="shared" si="1"/>
        <v>0.83342454881114258</v>
      </c>
      <c r="P34" s="1">
        <f t="shared" si="2"/>
        <v>3.3473163119293168</v>
      </c>
      <c r="R34" s="1">
        <f t="shared" si="3"/>
        <v>-4.4741810118031363E-4</v>
      </c>
    </row>
    <row r="35" spans="1:18" x14ac:dyDescent="0.3">
      <c r="A35" s="2">
        <v>44866</v>
      </c>
      <c r="B35" s="3">
        <v>1083.0258381333333</v>
      </c>
      <c r="C35" s="3">
        <v>617.84460000000001</v>
      </c>
      <c r="D35" s="3">
        <v>465.1812381333333</v>
      </c>
      <c r="E35" s="3">
        <v>2674.8</v>
      </c>
      <c r="F35" s="3">
        <v>0</v>
      </c>
      <c r="G35" s="3">
        <v>18535.338</v>
      </c>
      <c r="H35" s="10">
        <v>2.4800300320000001E-3</v>
      </c>
      <c r="I35" s="3">
        <v>80244</v>
      </c>
      <c r="J35" s="3">
        <v>13955.437144</v>
      </c>
      <c r="K35" s="3">
        <v>42.951998166092139</v>
      </c>
      <c r="L35" s="3">
        <v>27.230078631422852</v>
      </c>
      <c r="N35" s="1">
        <f t="shared" si="0"/>
        <v>1004</v>
      </c>
      <c r="O35" s="1">
        <f t="shared" si="1"/>
        <v>0.75290977396797398</v>
      </c>
      <c r="P35" s="1">
        <f t="shared" si="2"/>
        <v>5.4232319949334995</v>
      </c>
      <c r="R35" s="1">
        <f t="shared" si="3"/>
        <v>3.3366692605227423E-3</v>
      </c>
    </row>
    <row r="36" spans="1:18" x14ac:dyDescent="0.3">
      <c r="A36" s="2">
        <v>44896</v>
      </c>
      <c r="B36" s="3">
        <v>1238.2489094193547</v>
      </c>
      <c r="C36" s="3">
        <v>607.89022580645167</v>
      </c>
      <c r="D36" s="3">
        <v>630.35868361290318</v>
      </c>
      <c r="E36" s="3">
        <v>2456.7419354838707</v>
      </c>
      <c r="F36" s="3">
        <v>0</v>
      </c>
      <c r="G36" s="3">
        <v>18844.597000000002</v>
      </c>
      <c r="H36" s="10">
        <v>2.521408916E-3</v>
      </c>
      <c r="I36" s="3">
        <v>76159</v>
      </c>
      <c r="J36" s="3">
        <v>19541.119191999998</v>
      </c>
      <c r="K36" s="3">
        <v>50.907267417541583</v>
      </c>
      <c r="L36" s="3">
        <v>25.419746476934474</v>
      </c>
      <c r="N36" s="1">
        <f t="shared" si="0"/>
        <v>1034</v>
      </c>
      <c r="O36" s="1">
        <f t="shared" si="1"/>
        <v>1.0369613737030299</v>
      </c>
      <c r="P36" s="1">
        <f t="shared" si="2"/>
        <v>2.8168202038085122</v>
      </c>
      <c r="R36" s="1">
        <f t="shared" si="3"/>
        <v>5.2438899707072384E-3</v>
      </c>
    </row>
    <row r="37" spans="1:18" x14ac:dyDescent="0.3">
      <c r="A37" s="2">
        <v>44927</v>
      </c>
      <c r="B37" s="3">
        <v>1296.82197451612</v>
      </c>
      <c r="C37" s="3">
        <v>625.64167741935398</v>
      </c>
      <c r="D37" s="3">
        <v>671.18029709677398</v>
      </c>
      <c r="E37" s="3">
        <v>2460.2580645161202</v>
      </c>
      <c r="F37" s="3">
        <v>0</v>
      </c>
      <c r="G37" s="3">
        <v>19394.892</v>
      </c>
      <c r="H37" s="10">
        <v>2.595038441E-3</v>
      </c>
      <c r="I37" s="3">
        <v>76268</v>
      </c>
      <c r="J37" s="3">
        <v>20806.589209999998</v>
      </c>
      <c r="K37" s="3">
        <v>51.755777607578359</v>
      </c>
      <c r="L37" s="3">
        <v>24.733856027659243</v>
      </c>
      <c r="N37" s="1">
        <f t="shared" si="0"/>
        <v>1065</v>
      </c>
      <c r="O37" s="1">
        <f t="shared" si="1"/>
        <v>1.0727870621811155</v>
      </c>
      <c r="P37" s="1">
        <f t="shared" si="2"/>
        <v>4.4839937247589514</v>
      </c>
      <c r="R37" s="1">
        <f t="shared" si="3"/>
        <v>2.6456489657473892E-3</v>
      </c>
    </row>
    <row r="38" spans="1:18" x14ac:dyDescent="0.3">
      <c r="A38" s="2">
        <v>44958</v>
      </c>
      <c r="B38" s="3">
        <v>1326.2061580357099</v>
      </c>
      <c r="C38" s="3">
        <v>602.54939285714295</v>
      </c>
      <c r="D38" s="3">
        <v>723.65676517857105</v>
      </c>
      <c r="E38" s="3">
        <v>2464.75</v>
      </c>
      <c r="F38" s="3">
        <v>0</v>
      </c>
      <c r="G38" s="3">
        <v>16871.383000000002</v>
      </c>
      <c r="H38" s="10">
        <v>2.2573926869999998E-3</v>
      </c>
      <c r="I38" s="3">
        <v>69013</v>
      </c>
      <c r="J38" s="3">
        <v>20262.389425000001</v>
      </c>
      <c r="K38" s="3">
        <v>54.565933116341604</v>
      </c>
      <c r="L38" s="3">
        <v>25.728653507539953</v>
      </c>
      <c r="N38" s="1">
        <f t="shared" si="0"/>
        <v>1096</v>
      </c>
      <c r="O38" s="1">
        <f t="shared" si="1"/>
        <v>1.200991609579368</v>
      </c>
      <c r="P38" s="1">
        <f t="shared" si="2"/>
        <v>0.37088198964473668</v>
      </c>
      <c r="R38" s="1">
        <f t="shared" si="3"/>
        <v>4.0978346407477195E-3</v>
      </c>
    </row>
    <row r="39" spans="1:18" x14ac:dyDescent="0.3">
      <c r="A39" s="2">
        <v>44986</v>
      </c>
      <c r="B39" s="3">
        <v>1431.01571309677</v>
      </c>
      <c r="C39" s="3">
        <v>618.26703225806398</v>
      </c>
      <c r="D39" s="3">
        <v>812.74868083870899</v>
      </c>
      <c r="E39" s="3">
        <v>2423.16129032258</v>
      </c>
      <c r="F39" s="3">
        <v>0</v>
      </c>
      <c r="G39" s="3">
        <v>19166.277999999998</v>
      </c>
      <c r="H39" s="10">
        <v>2.5644498679999999E-3</v>
      </c>
      <c r="I39" s="3">
        <v>75118</v>
      </c>
      <c r="J39" s="3">
        <v>25195.209105999998</v>
      </c>
      <c r="K39" s="3">
        <v>56.795231065624677</v>
      </c>
      <c r="L39" s="3">
        <v>24.651484049224372</v>
      </c>
      <c r="N39" s="1">
        <f t="shared" si="0"/>
        <v>1124</v>
      </c>
      <c r="O39" s="1">
        <f t="shared" si="1"/>
        <v>1.314559305985231</v>
      </c>
      <c r="P39" s="1">
        <f t="shared" si="2"/>
        <v>-1.7651757472829483</v>
      </c>
      <c r="R39" s="1">
        <f t="shared" si="3"/>
        <v>3.2960191552340611E-4</v>
      </c>
    </row>
    <row r="40" spans="1:18" x14ac:dyDescent="0.3">
      <c r="A40" s="2">
        <v>45017</v>
      </c>
      <c r="B40" s="3">
        <v>1405.98060506666</v>
      </c>
      <c r="C40" s="3">
        <v>633.19963333333305</v>
      </c>
      <c r="D40" s="3">
        <v>772.78097173333299</v>
      </c>
      <c r="E40" s="3">
        <v>2538</v>
      </c>
      <c r="F40" s="3">
        <v>0</v>
      </c>
      <c r="G40" s="3">
        <v>18995.989000000001</v>
      </c>
      <c r="H40" s="10">
        <v>2.541665178E-3</v>
      </c>
      <c r="I40" s="3">
        <v>76140</v>
      </c>
      <c r="J40" s="3">
        <v>23183.429152000001</v>
      </c>
      <c r="K40" s="3">
        <v>54.963842954056311</v>
      </c>
      <c r="L40" s="3">
        <v>25.210868041669215</v>
      </c>
      <c r="N40" s="1">
        <f t="shared" si="0"/>
        <v>1155</v>
      </c>
      <c r="O40" s="1">
        <f t="shared" si="1"/>
        <v>1.220438122595249</v>
      </c>
      <c r="P40" s="1">
        <f t="shared" si="2"/>
        <v>8.4472568992763684</v>
      </c>
      <c r="R40" s="1">
        <f t="shared" si="3"/>
        <v>-1.5293084241187554E-3</v>
      </c>
    </row>
    <row r="41" spans="1:18" x14ac:dyDescent="0.3">
      <c r="A41" s="2">
        <v>45047</v>
      </c>
      <c r="B41" s="3">
        <v>1283.7033915161292</v>
      </c>
      <c r="C41" s="3">
        <v>577.91377419354842</v>
      </c>
      <c r="D41" s="3">
        <v>705.78961732258063</v>
      </c>
      <c r="E41" s="3">
        <v>2316.2903225806454</v>
      </c>
      <c r="F41" s="3">
        <v>0</v>
      </c>
      <c r="G41" s="3">
        <v>17915.327000000001</v>
      </c>
      <c r="H41" s="10">
        <v>2.3970724970000003E-3</v>
      </c>
      <c r="I41" s="3">
        <v>71805</v>
      </c>
      <c r="J41" s="3">
        <v>21879.478136999998</v>
      </c>
      <c r="K41" s="3">
        <v>54.980739475105821</v>
      </c>
      <c r="L41" s="3">
        <v>25.209648085128446</v>
      </c>
      <c r="N41" s="1">
        <f t="shared" si="0"/>
        <v>1185</v>
      </c>
      <c r="O41" s="1">
        <f t="shared" si="1"/>
        <v>1.2212714921139869</v>
      </c>
      <c r="P41" s="1">
        <f t="shared" si="2"/>
        <v>1.4095672723826016</v>
      </c>
      <c r="R41" s="1">
        <f t="shared" si="3"/>
        <v>7.1270530613233097E-3</v>
      </c>
    </row>
    <row r="42" spans="1:18" x14ac:dyDescent="0.3">
      <c r="A42" s="2">
        <v>45078</v>
      </c>
      <c r="B42" s="3">
        <v>1629.7288596333335</v>
      </c>
      <c r="C42" s="3">
        <v>613.7903</v>
      </c>
      <c r="D42" s="3">
        <v>1015.9385596333334</v>
      </c>
      <c r="E42" s="3">
        <v>2328.9333333333334</v>
      </c>
      <c r="F42" s="3">
        <v>0</v>
      </c>
      <c r="G42" s="3">
        <v>18413.708999999999</v>
      </c>
      <c r="H42" s="10">
        <v>2.4637560629999999E-3</v>
      </c>
      <c r="I42" s="3">
        <v>69868</v>
      </c>
      <c r="J42" s="3">
        <v>30478.156789000001</v>
      </c>
      <c r="K42" s="3">
        <v>62.33788851612443</v>
      </c>
      <c r="L42" s="3">
        <v>23.865683247193708</v>
      </c>
      <c r="N42" s="1">
        <f t="shared" si="0"/>
        <v>1216</v>
      </c>
      <c r="O42" s="1">
        <f t="shared" si="1"/>
        <v>1.6551883593359709</v>
      </c>
      <c r="P42" s="1">
        <f t="shared" si="2"/>
        <v>-5.8450762932854445</v>
      </c>
      <c r="R42" s="1">
        <f t="shared" si="3"/>
        <v>1.1599039263117154E-3</v>
      </c>
    </row>
    <row r="43" spans="1:18" x14ac:dyDescent="0.3">
      <c r="A43" s="2">
        <v>45108</v>
      </c>
      <c r="B43" s="3">
        <v>1342.8530121612905</v>
      </c>
      <c r="C43" s="3">
        <v>585.88045161290324</v>
      </c>
      <c r="D43" s="3">
        <v>756.97256054838715</v>
      </c>
      <c r="E43" s="3">
        <v>2229.3870967741937</v>
      </c>
      <c r="F43" s="3">
        <v>0</v>
      </c>
      <c r="G43" s="3">
        <v>18162.294000000002</v>
      </c>
      <c r="H43" s="10">
        <v>2.4301167080000002E-3</v>
      </c>
      <c r="I43" s="3">
        <v>69111</v>
      </c>
      <c r="J43" s="3">
        <v>23466.149377000002</v>
      </c>
      <c r="K43" s="3">
        <v>56.370470460505395</v>
      </c>
      <c r="L43" s="3">
        <v>23.933891159343634</v>
      </c>
      <c r="N43" s="1">
        <f t="shared" si="0"/>
        <v>1246</v>
      </c>
      <c r="O43" s="1">
        <f t="shared" si="1"/>
        <v>1.2920256316190015</v>
      </c>
      <c r="P43" s="1">
        <f t="shared" si="2"/>
        <v>-4.1501256493161645</v>
      </c>
      <c r="R43" s="1">
        <f t="shared" si="3"/>
        <v>-4.6901269238811931E-3</v>
      </c>
    </row>
    <row r="44" spans="1:18" x14ac:dyDescent="0.3">
      <c r="A44" s="2">
        <v>45139</v>
      </c>
      <c r="B44" s="3">
        <v>1325.3196534193548</v>
      </c>
      <c r="C44" s="3">
        <v>559.42125806451611</v>
      </c>
      <c r="D44" s="3">
        <v>765.89839535483873</v>
      </c>
      <c r="E44" s="3">
        <v>1924.8064516129032</v>
      </c>
      <c r="F44" s="3">
        <v>0</v>
      </c>
      <c r="G44" s="3">
        <v>17342.059000000001</v>
      </c>
      <c r="H44" s="10">
        <v>2.3203691880000002E-3</v>
      </c>
      <c r="I44" s="3">
        <v>59669</v>
      </c>
      <c r="J44" s="3">
        <v>23742.850256000002</v>
      </c>
      <c r="K44" s="3">
        <v>57.789710835329686</v>
      </c>
      <c r="L44" s="3">
        <v>21.641379273360791</v>
      </c>
      <c r="N44" s="1">
        <f t="shared" si="0"/>
        <v>1277</v>
      </c>
      <c r="O44" s="1">
        <f t="shared" si="1"/>
        <v>1.3690906169792181</v>
      </c>
      <c r="P44" s="1">
        <f t="shared" si="2"/>
        <v>-2.0276765049739653</v>
      </c>
      <c r="R44" s="1">
        <f t="shared" si="3"/>
        <v>-3.2505412454010034E-3</v>
      </c>
    </row>
    <row r="45" spans="1:18" x14ac:dyDescent="0.3">
      <c r="A45" s="2">
        <v>45170</v>
      </c>
      <c r="B45" s="3">
        <v>538.54148859999998</v>
      </c>
      <c r="C45" s="3">
        <v>257.61469999999997</v>
      </c>
      <c r="D45" s="3">
        <v>280.92678860000001</v>
      </c>
      <c r="E45" s="3">
        <v>692.26666666666665</v>
      </c>
      <c r="F45" s="3">
        <v>0</v>
      </c>
      <c r="G45" s="3">
        <v>7728.4409999999998</v>
      </c>
      <c r="H45" s="10">
        <v>1.034066159E-3</v>
      </c>
      <c r="I45" s="3">
        <v>20768</v>
      </c>
      <c r="J45" s="3">
        <v>8427.8036580000007</v>
      </c>
      <c r="K45" s="3">
        <v>52.164372577923615</v>
      </c>
      <c r="L45" s="3">
        <v>16.902059082808552</v>
      </c>
      <c r="N45" s="1">
        <f t="shared" si="0"/>
        <v>1308</v>
      </c>
      <c r="O45" s="1">
        <f t="shared" si="1"/>
        <v>1.0904920744041393</v>
      </c>
      <c r="P45" s="1">
        <f t="shared" si="2"/>
        <v>2.7321811543803589</v>
      </c>
      <c r="R45" s="1">
        <f t="shared" si="3"/>
        <v>-1.551085590693225E-3</v>
      </c>
    </row>
    <row r="46" spans="1:18" x14ac:dyDescent="0.3">
      <c r="A46" s="2">
        <v>45200</v>
      </c>
      <c r="B46" s="3">
        <v>84.313591935483871</v>
      </c>
      <c r="C46" s="3">
        <v>37.069483870967744</v>
      </c>
      <c r="D46" s="3">
        <v>47.244108064516134</v>
      </c>
      <c r="E46" s="3">
        <v>143.80645161290323</v>
      </c>
      <c r="F46" s="3">
        <v>0</v>
      </c>
      <c r="G46" s="3">
        <v>1149.154</v>
      </c>
      <c r="H46" s="10">
        <v>1.53756918E-4</v>
      </c>
      <c r="I46" s="3">
        <v>4458</v>
      </c>
      <c r="J46" s="3">
        <v>1464.56735</v>
      </c>
      <c r="K46" s="3">
        <v>56.033798323604778</v>
      </c>
      <c r="L46" s="3">
        <v>24.400496713234258</v>
      </c>
      <c r="N46" s="1">
        <f t="shared" si="0"/>
        <v>1338</v>
      </c>
      <c r="O46" s="1">
        <f t="shared" si="1"/>
        <v>1.2744743959469313</v>
      </c>
      <c r="P46" s="1">
        <f t="shared" si="2"/>
        <v>-6.7365551971658055</v>
      </c>
      <c r="R46" s="1">
        <f t="shared" si="3"/>
        <v>2.0415795158711847E-3</v>
      </c>
    </row>
    <row r="47" spans="1:18" x14ac:dyDescent="0.3">
      <c r="A47" s="2">
        <v>45231</v>
      </c>
      <c r="B47" s="3">
        <v>1310.3987811666666</v>
      </c>
      <c r="C47" s="3">
        <v>591.59456666666665</v>
      </c>
      <c r="D47" s="3">
        <v>718.80421449999994</v>
      </c>
      <c r="E47" s="3">
        <v>4284.5666666666666</v>
      </c>
      <c r="F47" s="3">
        <v>0</v>
      </c>
      <c r="G47" s="3">
        <v>17747.837</v>
      </c>
      <c r="H47" s="10">
        <v>2.3746623209999996E-3</v>
      </c>
      <c r="I47" s="3">
        <v>128537</v>
      </c>
      <c r="J47" s="3">
        <v>21564.126434999998</v>
      </c>
      <c r="K47" s="3">
        <v>54.853852493669017</v>
      </c>
      <c r="L47" s="3">
        <v>45.553270666166249</v>
      </c>
      <c r="N47" s="1">
        <f t="shared" si="0"/>
        <v>1369</v>
      </c>
      <c r="O47" s="1">
        <f t="shared" si="1"/>
        <v>1.2150284248722816</v>
      </c>
      <c r="P47" s="1">
        <f t="shared" si="2"/>
        <v>5.1699472344594373</v>
      </c>
      <c r="R47" s="1">
        <f t="shared" si="3"/>
        <v>-4.9233985528442503E-3</v>
      </c>
    </row>
    <row r="48" spans="1:18" x14ac:dyDescent="0.3">
      <c r="A48" s="2">
        <v>45261</v>
      </c>
      <c r="B48" s="3">
        <v>1167.0192140322583</v>
      </c>
      <c r="C48" s="3">
        <v>591.15109677419355</v>
      </c>
      <c r="D48" s="3">
        <v>575.86811725806456</v>
      </c>
      <c r="E48" s="3">
        <v>6359.9354838709678</v>
      </c>
      <c r="F48" s="3">
        <v>0</v>
      </c>
      <c r="G48" s="3">
        <v>18325.684000000001</v>
      </c>
      <c r="H48" s="10">
        <v>2.4519783069999997E-3</v>
      </c>
      <c r="I48" s="3">
        <v>197158</v>
      </c>
      <c r="J48" s="3">
        <v>17851.911635</v>
      </c>
      <c r="K48" s="3">
        <v>49.345213029384333</v>
      </c>
      <c r="L48" s="3">
        <v>67.669200691226578</v>
      </c>
      <c r="N48" s="1">
        <f t="shared" si="0"/>
        <v>1399</v>
      </c>
      <c r="O48" s="1">
        <f t="shared" si="1"/>
        <v>0.9741470842234321</v>
      </c>
      <c r="P48" s="1">
        <f t="shared" si="2"/>
        <v>9.0898341294791969</v>
      </c>
      <c r="R48" s="1">
        <f t="shared" si="3"/>
        <v>3.6947238069846748E-3</v>
      </c>
    </row>
    <row r="49" spans="1:18" x14ac:dyDescent="0.3">
      <c r="A49" s="2">
        <v>45292</v>
      </c>
      <c r="B49" s="3">
        <v>1237.8791533870967</v>
      </c>
      <c r="C49" s="3">
        <v>507.24299999999999</v>
      </c>
      <c r="D49" s="3">
        <v>730.63615338709667</v>
      </c>
      <c r="E49" s="3">
        <v>4691.4516129032254</v>
      </c>
      <c r="F49" s="3">
        <v>0</v>
      </c>
      <c r="G49" s="3">
        <v>15724.532999999999</v>
      </c>
      <c r="H49" s="10">
        <v>2.1039440500000002E-3</v>
      </c>
      <c r="I49" s="3">
        <v>145435</v>
      </c>
      <c r="J49" s="3">
        <v>22649.720754999998</v>
      </c>
      <c r="K49" s="3">
        <v>59.023221401533675</v>
      </c>
      <c r="L49" s="3">
        <v>58.173877914212149</v>
      </c>
      <c r="N49" s="1">
        <f t="shared" si="0"/>
        <v>1430</v>
      </c>
      <c r="O49" s="1">
        <f t="shared" si="1"/>
        <v>1.4404065770983467</v>
      </c>
      <c r="P49" s="1">
        <f t="shared" si="2"/>
        <v>3.930242426922137</v>
      </c>
      <c r="R49" s="1">
        <f t="shared" si="3"/>
        <v>6.3575233933667579E-3</v>
      </c>
    </row>
    <row r="50" spans="1:18" x14ac:dyDescent="0.3">
      <c r="A50" s="2">
        <v>45323</v>
      </c>
      <c r="B50" s="3">
        <v>1225.8732218965517</v>
      </c>
      <c r="C50" s="3">
        <v>517.61441379310338</v>
      </c>
      <c r="D50" s="3">
        <v>708.25880810344825</v>
      </c>
      <c r="E50" s="3">
        <v>4421.1034482758623</v>
      </c>
      <c r="F50" s="3">
        <v>0</v>
      </c>
      <c r="G50" s="3">
        <v>15010.817999999999</v>
      </c>
      <c r="H50" s="10">
        <v>2.0084489160000002E-3</v>
      </c>
      <c r="I50" s="3">
        <v>128212</v>
      </c>
      <c r="J50" s="3">
        <v>20539.505434999999</v>
      </c>
      <c r="K50" s="3">
        <v>57.775860949772536</v>
      </c>
      <c r="L50" s="3">
        <v>53.723110732539695</v>
      </c>
      <c r="N50" s="1">
        <f t="shared" si="0"/>
        <v>1461</v>
      </c>
      <c r="O50" s="1">
        <f t="shared" si="1"/>
        <v>1.3683135346121711</v>
      </c>
      <c r="P50" s="1">
        <f t="shared" si="2"/>
        <v>9.6709621811754243</v>
      </c>
      <c r="R50" s="1">
        <f t="shared" si="3"/>
        <v>2.6923258266158562E-3</v>
      </c>
    </row>
    <row r="51" spans="1:18" x14ac:dyDescent="0.3">
      <c r="A51" s="2">
        <v>45352</v>
      </c>
      <c r="B51" s="3">
        <v>1275.1725012903228</v>
      </c>
      <c r="C51" s="3">
        <v>490.08412903225809</v>
      </c>
      <c r="D51" s="3">
        <v>785.08837225806451</v>
      </c>
      <c r="E51" s="3">
        <v>3331.516129032258</v>
      </c>
      <c r="F51" s="3">
        <v>0</v>
      </c>
      <c r="G51" s="3">
        <v>15192.608</v>
      </c>
      <c r="H51" s="10">
        <v>2.032772431E-3</v>
      </c>
      <c r="I51" s="3">
        <v>103277</v>
      </c>
      <c r="J51" s="3">
        <v>24337.739539999999</v>
      </c>
      <c r="K51" s="3">
        <v>61.567228862263626</v>
      </c>
      <c r="L51" s="3">
        <v>42.757087828501852</v>
      </c>
      <c r="N51" s="1">
        <f t="shared" si="0"/>
        <v>1490</v>
      </c>
      <c r="O51" s="1">
        <f t="shared" si="1"/>
        <v>1.6019461266952981</v>
      </c>
      <c r="P51" s="1">
        <f t="shared" si="2"/>
        <v>-3.8119471317379312</v>
      </c>
      <c r="R51" s="1">
        <f t="shared" si="3"/>
        <v>6.4871009884814755E-3</v>
      </c>
    </row>
    <row r="52" spans="1:18" x14ac:dyDescent="0.3">
      <c r="A52" s="2">
        <v>45383</v>
      </c>
      <c r="B52" s="3">
        <v>1257.4697665333333</v>
      </c>
      <c r="C52" s="3">
        <v>456.01149999999996</v>
      </c>
      <c r="D52" s="3">
        <v>801.45826653333324</v>
      </c>
      <c r="E52" s="3">
        <v>2358.1666666666665</v>
      </c>
      <c r="F52" s="3">
        <v>0</v>
      </c>
      <c r="G52" s="3">
        <v>13680.344999999999</v>
      </c>
      <c r="H52" s="10">
        <v>1.830431495E-3</v>
      </c>
      <c r="I52" s="3">
        <v>70745</v>
      </c>
      <c r="J52" s="3">
        <v>24043.747995999998</v>
      </c>
      <c r="K52" s="3">
        <v>63.735788156787308</v>
      </c>
      <c r="L52" s="3">
        <v>32.526365453502812</v>
      </c>
      <c r="N52" s="1">
        <f t="shared" si="0"/>
        <v>1521</v>
      </c>
      <c r="O52" s="1">
        <f t="shared" si="1"/>
        <v>1.7575395939210596</v>
      </c>
      <c r="P52" s="1">
        <f t="shared" si="2"/>
        <v>4.4691406490904004</v>
      </c>
      <c r="R52" s="1">
        <f t="shared" si="3"/>
        <v>-2.5073716065227999E-3</v>
      </c>
    </row>
    <row r="53" spans="1:18" x14ac:dyDescent="0.3">
      <c r="A53" s="2">
        <v>45413</v>
      </c>
      <c r="B53" s="3">
        <v>1084.3096140645162</v>
      </c>
      <c r="C53" s="3">
        <v>442.75670967741939</v>
      </c>
      <c r="D53" s="3">
        <v>641.55290438709676</v>
      </c>
      <c r="E53" s="3">
        <v>2437.8064516129034</v>
      </c>
      <c r="F53" s="3">
        <v>0</v>
      </c>
      <c r="G53" s="3">
        <v>13725.458000000001</v>
      </c>
      <c r="H53" s="10">
        <v>1.8364676239999999E-3</v>
      </c>
      <c r="I53" s="3">
        <v>75572</v>
      </c>
      <c r="J53" s="3">
        <v>19888.140036000001</v>
      </c>
      <c r="K53" s="3">
        <v>59.166947896205272</v>
      </c>
      <c r="L53" s="3">
        <v>34.63146844353026</v>
      </c>
      <c r="N53" s="1">
        <f t="shared" si="0"/>
        <v>1551</v>
      </c>
      <c r="O53" s="1">
        <f t="shared" si="1"/>
        <v>1.4489964586974073</v>
      </c>
      <c r="P53" s="1">
        <f t="shared" si="2"/>
        <v>31.399678680557976</v>
      </c>
      <c r="R53" s="1">
        <f t="shared" si="3"/>
        <v>2.8809000877467084E-3</v>
      </c>
    </row>
    <row r="54" spans="1:18" x14ac:dyDescent="0.3">
      <c r="A54" s="2">
        <v>45444</v>
      </c>
      <c r="B54" s="3">
        <v>1262.0558241333333</v>
      </c>
      <c r="C54" s="3">
        <v>430.25493333333333</v>
      </c>
      <c r="D54" s="3">
        <v>831.80089079999993</v>
      </c>
      <c r="E54" s="3">
        <v>2576</v>
      </c>
      <c r="F54" s="3">
        <v>0</v>
      </c>
      <c r="G54" s="3">
        <v>12907.647999999999</v>
      </c>
      <c r="H54" s="10">
        <v>1.727044565E-3</v>
      </c>
      <c r="I54" s="3">
        <v>77280</v>
      </c>
      <c r="J54" s="3">
        <v>24954.026723999999</v>
      </c>
      <c r="K54" s="3">
        <v>65.90840713176901</v>
      </c>
      <c r="L54" s="3">
        <v>37.657964022570184</v>
      </c>
      <c r="N54" s="1">
        <f t="shared" si="0"/>
        <v>1582</v>
      </c>
      <c r="O54" s="1">
        <f t="shared" si="1"/>
        <v>1.9332744992736088</v>
      </c>
      <c r="P54" s="1">
        <f t="shared" si="2"/>
        <v>15.632242252715017</v>
      </c>
      <c r="R54" s="1">
        <f t="shared" si="3"/>
        <v>1.9856827301728396E-2</v>
      </c>
    </row>
    <row r="55" spans="1:18" x14ac:dyDescent="0.3">
      <c r="A55" s="2">
        <v>45474</v>
      </c>
      <c r="B55" s="3">
        <v>1599.2053560967743</v>
      </c>
      <c r="C55" s="3">
        <v>436.90996774193553</v>
      </c>
      <c r="D55" s="3">
        <v>1162.2953883548387</v>
      </c>
      <c r="E55" s="3">
        <v>2635.8064516129034</v>
      </c>
      <c r="F55" s="3">
        <v>0</v>
      </c>
      <c r="G55" s="3">
        <v>13544.209000000001</v>
      </c>
      <c r="H55" s="10">
        <v>1.812216486E-3</v>
      </c>
      <c r="I55" s="3">
        <v>81710</v>
      </c>
      <c r="J55" s="3">
        <v>36031.157038999998</v>
      </c>
      <c r="K55" s="3">
        <v>72.679558252086267</v>
      </c>
      <c r="L55" s="3">
        <v>37.945335751980792</v>
      </c>
      <c r="N55" s="1">
        <f t="shared" si="0"/>
        <v>1612</v>
      </c>
      <c r="O55" s="1">
        <f t="shared" si="1"/>
        <v>2.6602629241028395</v>
      </c>
      <c r="P55" s="1">
        <f t="shared" si="2"/>
        <v>-6.8845521236344744</v>
      </c>
      <c r="R55" s="1">
        <f t="shared" si="3"/>
        <v>9.6955701620234109E-3</v>
      </c>
    </row>
    <row r="56" spans="1:18" x14ac:dyDescent="0.3">
      <c r="A56" s="2">
        <v>45505</v>
      </c>
      <c r="B56" s="3">
        <v>1585.6083449032258</v>
      </c>
      <c r="C56" s="3">
        <v>449.85570967741938</v>
      </c>
      <c r="D56" s="3">
        <v>1135.7526352258064</v>
      </c>
      <c r="E56" s="3">
        <v>2569.7741935483873</v>
      </c>
      <c r="F56" s="3">
        <v>0</v>
      </c>
      <c r="G56" s="3">
        <v>13945.527</v>
      </c>
      <c r="H56" s="10">
        <v>1.8659128749999999E-3</v>
      </c>
      <c r="I56" s="3">
        <v>79663</v>
      </c>
      <c r="J56" s="3">
        <v>35208.331692</v>
      </c>
      <c r="K56" s="3">
        <v>71.628825546773001</v>
      </c>
      <c r="L56" s="3">
        <v>35.930111310960136</v>
      </c>
      <c r="N56" s="1">
        <f t="shared" si="0"/>
        <v>1643</v>
      </c>
      <c r="O56" s="1">
        <f t="shared" si="1"/>
        <v>2.5247042791570369</v>
      </c>
      <c r="P56" s="1">
        <f t="shared" si="2"/>
        <v>-1.185473163933797</v>
      </c>
      <c r="R56" s="1">
        <f t="shared" si="3"/>
        <v>-4.1907299219511914E-3</v>
      </c>
    </row>
    <row r="57" spans="1:18" x14ac:dyDescent="0.3">
      <c r="A57" s="2">
        <v>45536</v>
      </c>
      <c r="B57" s="3">
        <v>1211.5292421000001</v>
      </c>
      <c r="C57" s="3">
        <v>356.28626666666668</v>
      </c>
      <c r="D57" s="3">
        <v>855.2429754333333</v>
      </c>
      <c r="E57" s="3">
        <v>2013.5666666666666</v>
      </c>
      <c r="F57" s="3">
        <v>0</v>
      </c>
      <c r="G57" s="3">
        <v>10688.588</v>
      </c>
      <c r="H57" s="10">
        <v>1.430134115E-3</v>
      </c>
      <c r="I57" s="3">
        <v>60407</v>
      </c>
      <c r="J57" s="3">
        <v>25657.289262999999</v>
      </c>
      <c r="K57" s="3">
        <v>70.592020870325896</v>
      </c>
      <c r="L57" s="3">
        <v>35.547066516175946</v>
      </c>
      <c r="N57" s="1">
        <f t="shared" si="0"/>
        <v>1674</v>
      </c>
      <c r="O57" s="1">
        <f t="shared" si="1"/>
        <v>2.4004376689418656</v>
      </c>
      <c r="P57" s="1">
        <f t="shared" si="2"/>
        <v>2.6123747869096268</v>
      </c>
      <c r="R57" s="1">
        <f t="shared" si="3"/>
        <v>-7.0845798981990845E-4</v>
      </c>
    </row>
    <row r="58" spans="1:18" x14ac:dyDescent="0.3">
      <c r="A58" s="2">
        <v>45566</v>
      </c>
      <c r="B58" s="3">
        <v>1149.9882708387097</v>
      </c>
      <c r="C58" s="3">
        <v>330.31512903225808</v>
      </c>
      <c r="D58" s="3">
        <v>819.67314180645167</v>
      </c>
      <c r="E58" s="3">
        <v>2113.0967741935483</v>
      </c>
      <c r="F58" s="3">
        <v>0</v>
      </c>
      <c r="G58" s="3">
        <v>10239.769</v>
      </c>
      <c r="H58" s="10">
        <v>1.3700820920000002E-3</v>
      </c>
      <c r="I58" s="3">
        <v>65506</v>
      </c>
      <c r="J58" s="3">
        <v>25409.867396000001</v>
      </c>
      <c r="K58" s="3">
        <v>71.276652344344996</v>
      </c>
      <c r="L58" s="3">
        <v>40.237200546223256</v>
      </c>
      <c r="N58" s="1">
        <f t="shared" si="0"/>
        <v>1704</v>
      </c>
      <c r="O58" s="1">
        <f t="shared" si="1"/>
        <v>2.4814883417780225</v>
      </c>
      <c r="P58" s="1">
        <f t="shared" si="2"/>
        <v>-4.8303373825437408</v>
      </c>
      <c r="R58" s="1">
        <f t="shared" si="3"/>
        <v>1.5327976872404523E-3</v>
      </c>
    </row>
    <row r="59" spans="1:18" x14ac:dyDescent="0.3">
      <c r="A59" s="2">
        <v>45597</v>
      </c>
      <c r="B59" s="3">
        <v>1160.7495527999999</v>
      </c>
      <c r="C59" s="3">
        <v>332.21809999999999</v>
      </c>
      <c r="D59" s="3">
        <v>828.53145280000001</v>
      </c>
      <c r="E59" s="3">
        <v>2026.7</v>
      </c>
      <c r="F59" s="3">
        <v>0</v>
      </c>
      <c r="G59" s="3">
        <v>9966.5429999999997</v>
      </c>
      <c r="H59" s="10">
        <v>1.333524424E-3</v>
      </c>
      <c r="I59" s="3">
        <v>60801</v>
      </c>
      <c r="J59" s="3">
        <v>24855.943584000001</v>
      </c>
      <c r="K59" s="3">
        <v>71.379002542054664</v>
      </c>
      <c r="L59" s="3">
        <v>38.370990803932713</v>
      </c>
      <c r="N59" s="1">
        <f t="shared" si="0"/>
        <v>1735</v>
      </c>
      <c r="O59" s="1">
        <f t="shared" si="1"/>
        <v>2.4939383278635332</v>
      </c>
      <c r="P59" s="1">
        <f t="shared" si="2"/>
        <v>8.1543413027725062</v>
      </c>
      <c r="R59" s="1">
        <f t="shared" si="3"/>
        <v>-2.7851457682231723E-3</v>
      </c>
    </row>
    <row r="60" spans="1:18" x14ac:dyDescent="0.3">
      <c r="A60" s="2">
        <v>45627</v>
      </c>
      <c r="B60" s="3">
        <v>1109.8457342580646</v>
      </c>
      <c r="C60" s="3">
        <v>335.13938709677421</v>
      </c>
      <c r="D60" s="3">
        <v>774.7063471612903</v>
      </c>
      <c r="E60" s="3">
        <v>1701.258064516129</v>
      </c>
      <c r="F60" s="3">
        <v>0</v>
      </c>
      <c r="G60" s="3">
        <v>10389.321</v>
      </c>
      <c r="H60" s="10">
        <v>1.3900921619999999E-3</v>
      </c>
      <c r="I60" s="3">
        <v>52739</v>
      </c>
      <c r="J60" s="3">
        <v>24015.896762</v>
      </c>
      <c r="K60" s="3">
        <v>69.803065709774884</v>
      </c>
      <c r="L60" s="3">
        <v>31.92872394644462</v>
      </c>
      <c r="N60" s="1">
        <f t="shared" si="0"/>
        <v>1765</v>
      </c>
      <c r="O60" s="1">
        <f t="shared" si="1"/>
        <v>2.3115944499164089</v>
      </c>
      <c r="P60" s="1">
        <f t="shared" si="2"/>
        <v>15.746276768974454</v>
      </c>
      <c r="R60" s="1">
        <f t="shared" si="3"/>
        <v>4.619174542844536E-3</v>
      </c>
    </row>
    <row r="61" spans="1:18" x14ac:dyDescent="0.3">
      <c r="A61" s="2">
        <v>45658</v>
      </c>
      <c r="B61" s="3">
        <v>1119.2713592903226</v>
      </c>
      <c r="C61" s="3">
        <v>296.44012903225808</v>
      </c>
      <c r="D61" s="3">
        <v>822.83123025806447</v>
      </c>
      <c r="E61" s="3">
        <v>1408.741935483871</v>
      </c>
      <c r="F61" s="3">
        <v>0</v>
      </c>
      <c r="G61" s="3">
        <v>9189.6440000000002</v>
      </c>
      <c r="H61" s="10">
        <v>1.2295752609999999E-3</v>
      </c>
      <c r="I61" s="3">
        <v>43671</v>
      </c>
      <c r="J61" s="3">
        <v>25507.768137999999</v>
      </c>
      <c r="K61" s="3">
        <v>73.514900870847185</v>
      </c>
      <c r="L61" s="3">
        <v>29.890369616059118</v>
      </c>
      <c r="N61" s="1">
        <f t="shared" si="0"/>
        <v>1796</v>
      </c>
      <c r="O61" s="1">
        <f t="shared" si="1"/>
        <v>2.7757079749770499</v>
      </c>
      <c r="P61" s="1">
        <f t="shared" si="2"/>
        <v>5.9437254340746266</v>
      </c>
      <c r="R61" s="1">
        <f t="shared" si="3"/>
        <v>8.7682855226386015E-3</v>
      </c>
    </row>
    <row r="62" spans="1:18" x14ac:dyDescent="0.3">
      <c r="A62" s="2">
        <v>45689</v>
      </c>
      <c r="B62" s="3">
        <v>1191.2142796071428</v>
      </c>
      <c r="C62" s="3">
        <v>308.9867142857143</v>
      </c>
      <c r="D62" s="3">
        <v>882.22756532142853</v>
      </c>
      <c r="E62" s="3">
        <v>1558.3928571428571</v>
      </c>
      <c r="F62" s="3">
        <v>0</v>
      </c>
      <c r="G62" s="3">
        <v>8651.6280000000006</v>
      </c>
      <c r="H62" s="10">
        <v>1.1575886729999999E-3</v>
      </c>
      <c r="I62" s="3">
        <v>43635</v>
      </c>
      <c r="J62" s="3">
        <v>24702.371829</v>
      </c>
      <c r="K62" s="3">
        <v>74.06119792422092</v>
      </c>
      <c r="L62" s="3">
        <v>31.722980114262885</v>
      </c>
      <c r="N62" s="1">
        <f t="shared" si="0"/>
        <v>1827</v>
      </c>
      <c r="O62" s="1">
        <f t="shared" si="1"/>
        <v>2.8552281523200023</v>
      </c>
      <c r="P62" s="1">
        <f t="shared" si="2"/>
        <v>1.1963215528910218</v>
      </c>
      <c r="R62" s="1">
        <f t="shared" si="3"/>
        <v>3.2562272828995076E-3</v>
      </c>
    </row>
    <row r="63" spans="1:18" x14ac:dyDescent="0.3">
      <c r="A63" s="2">
        <v>45717</v>
      </c>
      <c r="B63" s="3">
        <v>1336.7485966129034</v>
      </c>
      <c r="C63" s="3">
        <v>336.89703225806454</v>
      </c>
      <c r="D63" s="3">
        <v>999.85156435483873</v>
      </c>
      <c r="E63" s="3">
        <v>1726.4193548387098</v>
      </c>
      <c r="F63" s="3">
        <v>0</v>
      </c>
      <c r="G63" s="3">
        <v>10443.808000000001</v>
      </c>
      <c r="H63" s="10">
        <v>1.397382528E-3</v>
      </c>
      <c r="I63" s="3">
        <v>53519</v>
      </c>
      <c r="J63" s="3">
        <v>30995.398495000001</v>
      </c>
      <c r="K63" s="3">
        <v>74.797278028815199</v>
      </c>
      <c r="L63" s="3">
        <v>32.231902980215636</v>
      </c>
      <c r="N63" s="1">
        <f t="shared" si="0"/>
        <v>1855</v>
      </c>
      <c r="O63" s="1">
        <f t="shared" si="1"/>
        <v>2.9678253846681208</v>
      </c>
      <c r="P63" s="1">
        <f t="shared" si="2"/>
        <v>-1.1754506491932413</v>
      </c>
      <c r="R63" s="1">
        <f t="shared" si="3"/>
        <v>6.4445044808112003E-4</v>
      </c>
    </row>
    <row r="64" spans="1:18" x14ac:dyDescent="0.3">
      <c r="A64" s="2">
        <v>45748</v>
      </c>
      <c r="B64" s="3">
        <v>1197.2135315999999</v>
      </c>
      <c r="C64" s="3">
        <v>307.51</v>
      </c>
      <c r="D64" s="3">
        <v>889.70353160000002</v>
      </c>
      <c r="E64" s="3">
        <v>1789.1666666666667</v>
      </c>
      <c r="F64" s="3">
        <v>0</v>
      </c>
      <c r="G64" s="3">
        <v>9225.2999999999993</v>
      </c>
      <c r="H64" s="10">
        <v>1.2343460449999999E-3</v>
      </c>
      <c r="I64" s="3">
        <v>53675</v>
      </c>
      <c r="J64" s="3">
        <v>26691.105948</v>
      </c>
      <c r="K64" s="3">
        <v>74.314523526222402</v>
      </c>
      <c r="L64" s="3">
        <v>36.595559494000199</v>
      </c>
      <c r="N64" s="1">
        <f t="shared" si="0"/>
        <v>1886</v>
      </c>
      <c r="O64" s="1">
        <f t="shared" si="1"/>
        <v>2.8932507287567883</v>
      </c>
      <c r="P64" s="1">
        <f t="shared" si="2"/>
        <v>20.796071854769661</v>
      </c>
      <c r="R64" s="1">
        <f t="shared" si="3"/>
        <v>-6.2347026798523447E-4</v>
      </c>
    </row>
    <row r="65" spans="1:18" x14ac:dyDescent="0.3">
      <c r="A65" s="2">
        <v>45778</v>
      </c>
      <c r="B65" s="3">
        <v>1200.856724</v>
      </c>
      <c r="C65" s="3">
        <v>305.57754838709678</v>
      </c>
      <c r="D65" s="3">
        <v>895.27917561290326</v>
      </c>
      <c r="E65" s="3">
        <v>1544.3870967741937</v>
      </c>
      <c r="F65" s="3">
        <v>0</v>
      </c>
      <c r="G65" s="3">
        <v>9472.9040000000005</v>
      </c>
      <c r="H65" s="10">
        <v>1.2674754840000001E-3</v>
      </c>
      <c r="I65" s="3">
        <v>47876</v>
      </c>
      <c r="J65" s="3">
        <v>27753.654444</v>
      </c>
      <c r="K65" s="3">
        <v>74.553371582145815</v>
      </c>
      <c r="L65" s="3">
        <v>31.788611475425064</v>
      </c>
      <c r="N65" s="1">
        <f t="shared" si="0"/>
        <v>1916</v>
      </c>
      <c r="O65" s="1">
        <f t="shared" si="1"/>
        <v>2.9297936983210215</v>
      </c>
      <c r="P65" s="1">
        <f t="shared" si="2"/>
        <v>24.218476613457959</v>
      </c>
      <c r="R65" s="1">
        <f t="shared" si="3"/>
        <v>1.0851984236039058E-2</v>
      </c>
    </row>
    <row r="66" spans="1:18" x14ac:dyDescent="0.3">
      <c r="A66" s="2">
        <v>45809</v>
      </c>
      <c r="B66" s="3">
        <v>1267.0807904333333</v>
      </c>
      <c r="C66" s="3">
        <v>278.16006666666664</v>
      </c>
      <c r="D66" s="3">
        <v>988.9207237666667</v>
      </c>
      <c r="E66" s="3">
        <v>1141.0666666666666</v>
      </c>
      <c r="F66" s="3">
        <v>0</v>
      </c>
      <c r="G66" s="3">
        <v>8344.8019999999997</v>
      </c>
      <c r="H66" s="10">
        <v>1.1165353239999999E-3</v>
      </c>
      <c r="I66" s="3">
        <v>34232</v>
      </c>
      <c r="J66" s="3">
        <v>29667.621713</v>
      </c>
      <c r="K66" s="3">
        <v>78.047171990387625</v>
      </c>
      <c r="L66" s="3">
        <v>25.801982311863121</v>
      </c>
      <c r="N66" s="1">
        <f t="shared" si="0"/>
        <v>1947</v>
      </c>
      <c r="O66" s="1">
        <f t="shared" si="1"/>
        <v>3.5552217671551709</v>
      </c>
      <c r="P66" s="1" t="str">
        <f t="shared" si="2"/>
        <v xml:space="preserve"> </v>
      </c>
      <c r="R66" s="1">
        <f t="shared" si="3"/>
        <v>1.2443081923357788E-2</v>
      </c>
    </row>
    <row r="67" spans="1:18" x14ac:dyDescent="0.3">
      <c r="A67" s="2">
        <v>45839</v>
      </c>
      <c r="B67" s="3">
        <v>1272.0585707419355</v>
      </c>
      <c r="C67" s="3">
        <v>271.29599999999999</v>
      </c>
      <c r="D67" s="3">
        <v>1000.7625707419355</v>
      </c>
      <c r="E67" s="3">
        <v>1314.483870967742</v>
      </c>
      <c r="F67" s="3">
        <v>0</v>
      </c>
      <c r="G67" s="3">
        <v>8410.1759999999995</v>
      </c>
      <c r="H67" s="10">
        <v>1.1252823659999999E-3</v>
      </c>
      <c r="I67" s="3">
        <v>40749</v>
      </c>
      <c r="J67" s="3">
        <v>31023.639693000001</v>
      </c>
      <c r="K67" s="3">
        <v>78.67268015483242</v>
      </c>
      <c r="L67" s="3">
        <v>30.475350361276625</v>
      </c>
      <c r="N67" s="1">
        <f t="shared" ref="N67" si="4">A67 -$A$2</f>
        <v>1977</v>
      </c>
      <c r="O67" s="1">
        <f t="shared" ref="O67" si="5">D67/C67</f>
        <v>3.6888216956458466</v>
      </c>
      <c r="P67" s="1" t="str">
        <f t="shared" ref="P67" si="6">IF(OR(N69&lt;=0, N67&lt;=0)," ", (O69 - O67) / (LN(N69) - LN(N67)))</f>
        <v xml:space="preserve"> </v>
      </c>
      <c r="R67" s="1">
        <f>(O67-O66)/(N67-N66)</f>
        <v>4.4533309496891903E-3</v>
      </c>
    </row>
    <row r="68" spans="1:18" x14ac:dyDescent="0.3">
      <c r="A68" s="2">
        <v>45870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55C3-D5C1-4AFB-9040-DD988360E5CC}">
  <dimension ref="A1:R55"/>
  <sheetViews>
    <sheetView topLeftCell="A28" zoomScale="98" workbookViewId="0">
      <selection activeCell="J2" sqref="J2:J54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16384" width="8.77734375" style="1"/>
  </cols>
  <sheetData>
    <row r="1" spans="1:1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</row>
    <row r="2" spans="1:18" x14ac:dyDescent="0.3">
      <c r="A2" s="4">
        <v>44256</v>
      </c>
      <c r="B2" s="5">
        <v>617.61432983870975</v>
      </c>
      <c r="C2" s="5">
        <v>509.03919354838712</v>
      </c>
      <c r="D2" s="5">
        <v>108.57513629032258</v>
      </c>
      <c r="E2" s="5">
        <v>3250.2903225806454</v>
      </c>
      <c r="F2" s="5">
        <v>0</v>
      </c>
      <c r="G2" s="5">
        <v>15780.215</v>
      </c>
      <c r="H2" s="9">
        <v>2.1123973430000002E-3</v>
      </c>
      <c r="I2" s="5">
        <v>100759</v>
      </c>
      <c r="J2" s="5">
        <v>3365.829225</v>
      </c>
      <c r="K2" s="5">
        <v>17.579763137729824</v>
      </c>
      <c r="L2" s="5">
        <v>40.161300603318772</v>
      </c>
      <c r="N2" s="1">
        <f>A2 -$A$2</f>
        <v>0</v>
      </c>
      <c r="O2" s="1">
        <f>D2/C2</f>
        <v>0.21329425644707628</v>
      </c>
      <c r="R2" s="1">
        <f>(O3-O2) / (N3-N2)</f>
        <v>-6.1662897977387485E-3</v>
      </c>
    </row>
    <row r="3" spans="1:18" x14ac:dyDescent="0.3">
      <c r="A3" s="2">
        <v>44287</v>
      </c>
      <c r="B3" s="3">
        <v>945.99797179999996</v>
      </c>
      <c r="C3" s="3">
        <v>925.50790000000006</v>
      </c>
      <c r="D3" s="3">
        <v>20.490071799999999</v>
      </c>
      <c r="E3" s="3">
        <v>5190.5666666666666</v>
      </c>
      <c r="F3" s="3">
        <v>0</v>
      </c>
      <c r="G3" s="3">
        <v>27765.237000000001</v>
      </c>
      <c r="H3" s="10">
        <v>3.7162272409999998E-3</v>
      </c>
      <c r="I3" s="3">
        <v>155717</v>
      </c>
      <c r="J3" s="3">
        <v>614.70215399999995</v>
      </c>
      <c r="K3" s="3">
        <v>2.1659741786774092</v>
      </c>
      <c r="L3" s="3">
        <v>35.275362014738064</v>
      </c>
      <c r="N3" s="1">
        <f t="shared" ref="N3:N54" si="0">A3 -$A$2</f>
        <v>31</v>
      </c>
      <c r="O3" s="1">
        <f t="shared" ref="O3:O54" si="1">D3/C3</f>
        <v>2.2139272717175074E-2</v>
      </c>
      <c r="P3" s="1" t="str">
        <f>IF(OR(N4&lt;=0, N2&lt;=0)," ", (O4 - O2) / (LN(N4) - LN(N2)))</f>
        <v xml:space="preserve"> </v>
      </c>
      <c r="R3" s="1">
        <f t="shared" ref="R3:R54" si="2">(O4-O3) / (N4-N3)</f>
        <v>-4.2140692002011238E-4</v>
      </c>
    </row>
    <row r="4" spans="1:18" x14ac:dyDescent="0.3">
      <c r="A4" s="2">
        <v>44317</v>
      </c>
      <c r="B4" s="3">
        <v>932.68873193548382</v>
      </c>
      <c r="C4" s="3">
        <v>923.91425806451616</v>
      </c>
      <c r="D4" s="3">
        <v>8.7744738709677428</v>
      </c>
      <c r="E4" s="3">
        <v>5241.3870967741932</v>
      </c>
      <c r="F4" s="3">
        <v>0</v>
      </c>
      <c r="G4" s="3">
        <v>28641.342000000001</v>
      </c>
      <c r="H4" s="10">
        <v>3.8322143509999999E-3</v>
      </c>
      <c r="I4" s="3">
        <v>162483</v>
      </c>
      <c r="J4" s="3">
        <v>272.00869</v>
      </c>
      <c r="K4" s="3">
        <v>0.94077193928989078</v>
      </c>
      <c r="L4" s="3">
        <v>35.682181840501741</v>
      </c>
      <c r="N4" s="1">
        <f t="shared" si="0"/>
        <v>61</v>
      </c>
      <c r="O4" s="1">
        <f t="shared" si="1"/>
        <v>9.4970651165717027E-3</v>
      </c>
      <c r="P4" s="1">
        <f t="shared" ref="P4:P54" si="3">IF(OR(N5&lt;=0, N3&lt;=0)," ", (O5 - O3) / (LN(N5) - LN(N3)))</f>
        <v>-3.1798605921252582E-3</v>
      </c>
      <c r="R4" s="1">
        <f t="shared" si="2"/>
        <v>2.9623067367508639E-4</v>
      </c>
    </row>
    <row r="5" spans="1:18" x14ac:dyDescent="0.3">
      <c r="A5" s="2">
        <v>44348</v>
      </c>
      <c r="B5" s="3">
        <v>981.32005116666664</v>
      </c>
      <c r="C5" s="3">
        <v>963.32493333333332</v>
      </c>
      <c r="D5" s="3">
        <v>17.995117833333332</v>
      </c>
      <c r="E5" s="3">
        <v>5639.7333333333336</v>
      </c>
      <c r="F5" s="3">
        <v>0</v>
      </c>
      <c r="G5" s="3">
        <v>28899.748</v>
      </c>
      <c r="H5" s="10">
        <v>3.8667891029999998E-3</v>
      </c>
      <c r="I5" s="3">
        <v>169192</v>
      </c>
      <c r="J5" s="3">
        <v>539.85353499999997</v>
      </c>
      <c r="K5" s="3">
        <v>1.8337664467305435</v>
      </c>
      <c r="L5" s="3">
        <v>36.823291386485444</v>
      </c>
      <c r="N5" s="1">
        <f t="shared" si="0"/>
        <v>92</v>
      </c>
      <c r="O5" s="1">
        <f t="shared" si="1"/>
        <v>1.8680216000499381E-2</v>
      </c>
      <c r="P5" s="1">
        <f t="shared" si="3"/>
        <v>3.0589657252358026E-2</v>
      </c>
      <c r="R5" s="1">
        <f t="shared" si="2"/>
        <v>4.0066612649464575E-4</v>
      </c>
    </row>
    <row r="6" spans="1:18" x14ac:dyDescent="0.3">
      <c r="A6" s="2">
        <v>44378</v>
      </c>
      <c r="B6" s="3">
        <v>952.5104846774193</v>
      </c>
      <c r="C6" s="3">
        <v>924.13922580645158</v>
      </c>
      <c r="D6" s="3">
        <v>28.37125887096774</v>
      </c>
      <c r="E6" s="3">
        <v>5600.0322580645161</v>
      </c>
      <c r="F6" s="3">
        <v>0</v>
      </c>
      <c r="G6" s="3">
        <v>28648.315999999999</v>
      </c>
      <c r="H6" s="10">
        <v>3.8331474760000001E-3</v>
      </c>
      <c r="I6" s="3">
        <v>173601</v>
      </c>
      <c r="J6" s="3">
        <v>879.50902499999995</v>
      </c>
      <c r="K6" s="3">
        <v>2.978577068427342</v>
      </c>
      <c r="L6" s="3">
        <v>38.114476599601872</v>
      </c>
      <c r="N6" s="1">
        <f t="shared" si="0"/>
        <v>122</v>
      </c>
      <c r="O6" s="1">
        <f t="shared" si="1"/>
        <v>3.0700199795338754E-2</v>
      </c>
      <c r="P6" s="1">
        <f t="shared" si="3"/>
        <v>1.3163637339433588E-2</v>
      </c>
      <c r="R6" s="1">
        <f t="shared" si="2"/>
        <v>-1.7175188041813704E-4</v>
      </c>
    </row>
    <row r="7" spans="1:18" x14ac:dyDescent="0.3">
      <c r="A7" s="2">
        <v>44409</v>
      </c>
      <c r="B7" s="3">
        <v>969.29791861290312</v>
      </c>
      <c r="C7" s="3">
        <v>945.30983870967736</v>
      </c>
      <c r="D7" s="3">
        <v>23.988079903225806</v>
      </c>
      <c r="E7" s="3">
        <v>5634.2903225806449</v>
      </c>
      <c r="F7" s="3">
        <v>0</v>
      </c>
      <c r="G7" s="3">
        <v>29304.605</v>
      </c>
      <c r="H7" s="10">
        <v>3.9209590069999994E-3</v>
      </c>
      <c r="I7" s="3">
        <v>174663</v>
      </c>
      <c r="J7" s="3">
        <v>743.63047700000004</v>
      </c>
      <c r="K7" s="3">
        <v>2.4747891687989521</v>
      </c>
      <c r="L7" s="3">
        <v>37.488829397290964</v>
      </c>
      <c r="N7" s="1">
        <f t="shared" si="0"/>
        <v>153</v>
      </c>
      <c r="O7" s="1">
        <f t="shared" si="1"/>
        <v>2.5375891502376506E-2</v>
      </c>
      <c r="P7" s="1">
        <f t="shared" si="3"/>
        <v>7.2248293615876672E-3</v>
      </c>
      <c r="R7" s="1">
        <f t="shared" si="2"/>
        <v>2.6751925727919938E-4</v>
      </c>
    </row>
    <row r="8" spans="1:18" x14ac:dyDescent="0.3">
      <c r="A8" s="2">
        <v>44440</v>
      </c>
      <c r="B8" s="3">
        <v>955.60069020000003</v>
      </c>
      <c r="C8" s="3">
        <v>924.47456666666665</v>
      </c>
      <c r="D8" s="3">
        <v>31.126123533333335</v>
      </c>
      <c r="E8" s="3">
        <v>5586.4</v>
      </c>
      <c r="F8" s="3">
        <v>0</v>
      </c>
      <c r="G8" s="3">
        <v>27734.237000000001</v>
      </c>
      <c r="H8" s="10">
        <v>3.7108436150000003E-3</v>
      </c>
      <c r="I8" s="3">
        <v>167592</v>
      </c>
      <c r="J8" s="3">
        <v>933.78370600000005</v>
      </c>
      <c r="K8" s="3">
        <v>3.2572311691004399</v>
      </c>
      <c r="L8" s="3">
        <v>38.00790198771287</v>
      </c>
      <c r="N8" s="1">
        <f t="shared" si="0"/>
        <v>184</v>
      </c>
      <c r="O8" s="1">
        <f t="shared" si="1"/>
        <v>3.3668988478031688E-2</v>
      </c>
      <c r="P8" s="1">
        <f t="shared" si="3"/>
        <v>-4.0340068516838204E-2</v>
      </c>
      <c r="R8" s="1">
        <f t="shared" si="2"/>
        <v>-7.276242220891696E-4</v>
      </c>
    </row>
    <row r="9" spans="1:18" x14ac:dyDescent="0.3">
      <c r="A9" s="2">
        <v>44470</v>
      </c>
      <c r="B9" s="3">
        <v>917.86099525806446</v>
      </c>
      <c r="C9" s="3">
        <v>907.12045161290325</v>
      </c>
      <c r="D9" s="3">
        <v>10.74054364516129</v>
      </c>
      <c r="E9" s="3">
        <v>6026.1290322580644</v>
      </c>
      <c r="F9" s="3">
        <v>0</v>
      </c>
      <c r="G9" s="3">
        <v>28120.734</v>
      </c>
      <c r="H9" s="10">
        <v>3.7625569529999999E-3</v>
      </c>
      <c r="I9" s="3">
        <v>186810</v>
      </c>
      <c r="J9" s="3">
        <v>332.95685300000002</v>
      </c>
      <c r="K9" s="3">
        <v>1.1701710499356708</v>
      </c>
      <c r="L9" s="3">
        <v>41.784028041373311</v>
      </c>
      <c r="N9" s="1">
        <f t="shared" si="0"/>
        <v>214</v>
      </c>
      <c r="O9" s="1">
        <f t="shared" si="1"/>
        <v>1.1840261815356598E-2</v>
      </c>
      <c r="P9" s="1">
        <f t="shared" si="3"/>
        <v>-8.4323341523564965E-2</v>
      </c>
      <c r="R9" s="1">
        <f t="shared" si="2"/>
        <v>-7.4675462002912936E-5</v>
      </c>
    </row>
    <row r="10" spans="1:18" x14ac:dyDescent="0.3">
      <c r="A10" s="2">
        <v>44501</v>
      </c>
      <c r="B10" s="3">
        <v>943.59197859999995</v>
      </c>
      <c r="C10" s="3">
        <v>934.68876666666665</v>
      </c>
      <c r="D10" s="3">
        <v>8.9032119333333331</v>
      </c>
      <c r="E10" s="3">
        <v>5462.2666666666664</v>
      </c>
      <c r="F10" s="3">
        <v>0</v>
      </c>
      <c r="G10" s="3">
        <v>28040.663</v>
      </c>
      <c r="H10" s="10">
        <v>3.7518434469999999E-3</v>
      </c>
      <c r="I10" s="3">
        <v>163868</v>
      </c>
      <c r="J10" s="3">
        <v>267.09635800000001</v>
      </c>
      <c r="K10" s="3">
        <v>0.94354468194430396</v>
      </c>
      <c r="L10" s="3">
        <v>36.757224549219828</v>
      </c>
      <c r="N10" s="1">
        <f t="shared" si="0"/>
        <v>245</v>
      </c>
      <c r="O10" s="1">
        <f t="shared" si="1"/>
        <v>9.5253224932662969E-3</v>
      </c>
      <c r="P10" s="1">
        <f t="shared" si="3"/>
        <v>-1.7609901099187402E-2</v>
      </c>
      <c r="R10" s="1">
        <f t="shared" si="2"/>
        <v>-7.0051242648191928E-5</v>
      </c>
    </row>
    <row r="11" spans="1:18" x14ac:dyDescent="0.3">
      <c r="A11" s="2">
        <v>44531</v>
      </c>
      <c r="B11" s="3">
        <v>931.4043663225807</v>
      </c>
      <c r="C11" s="3">
        <v>924.54077419354837</v>
      </c>
      <c r="D11" s="3">
        <v>6.8635921290322583</v>
      </c>
      <c r="E11" s="3">
        <v>5636.4193548387093</v>
      </c>
      <c r="F11" s="3">
        <v>0</v>
      </c>
      <c r="G11" s="3">
        <v>28660.763999999999</v>
      </c>
      <c r="H11" s="10">
        <v>3.8348130209999998E-3</v>
      </c>
      <c r="I11" s="3">
        <v>174729</v>
      </c>
      <c r="J11" s="3">
        <v>212.771356</v>
      </c>
      <c r="K11" s="3">
        <v>0.73690787559129134</v>
      </c>
      <c r="L11" s="3">
        <v>38.34546993234374</v>
      </c>
      <c r="N11" s="1">
        <f t="shared" si="0"/>
        <v>275</v>
      </c>
      <c r="O11" s="1">
        <f t="shared" si="1"/>
        <v>7.423785213820539E-3</v>
      </c>
      <c r="P11" s="1">
        <f t="shared" si="3"/>
        <v>4.4635824471978926E-2</v>
      </c>
      <c r="R11" s="1">
        <f t="shared" si="2"/>
        <v>3.8791230257156413E-4</v>
      </c>
    </row>
    <row r="12" spans="1:18" x14ac:dyDescent="0.3">
      <c r="A12" s="2">
        <v>44562</v>
      </c>
      <c r="B12" s="3">
        <v>723.83609932258071</v>
      </c>
      <c r="C12" s="3">
        <v>710.02674193548387</v>
      </c>
      <c r="D12" s="3">
        <v>13.809357387096775</v>
      </c>
      <c r="E12" s="3">
        <v>5214.8709677419356</v>
      </c>
      <c r="F12" s="3">
        <v>0</v>
      </c>
      <c r="G12" s="3">
        <v>22010.829000000002</v>
      </c>
      <c r="H12" s="10">
        <v>2.9450510689999999E-3</v>
      </c>
      <c r="I12" s="3">
        <v>161661</v>
      </c>
      <c r="J12" s="3">
        <v>428.090079</v>
      </c>
      <c r="K12" s="3">
        <v>1.9078016970997429</v>
      </c>
      <c r="L12" s="3">
        <v>46.196140899554486</v>
      </c>
      <c r="N12" s="1">
        <f t="shared" si="0"/>
        <v>306</v>
      </c>
      <c r="O12" s="1">
        <f t="shared" si="1"/>
        <v>1.9449066593539028E-2</v>
      </c>
      <c r="P12" s="1">
        <f t="shared" si="3"/>
        <v>5.4169296286782964E-2</v>
      </c>
      <c r="R12" s="1">
        <f t="shared" si="2"/>
        <v>-3.2645886333970651E-5</v>
      </c>
    </row>
    <row r="13" spans="1:18" x14ac:dyDescent="0.3">
      <c r="A13" s="2">
        <v>44593</v>
      </c>
      <c r="B13" s="3">
        <v>735.43106671428563</v>
      </c>
      <c r="C13" s="3">
        <v>722.11735714285714</v>
      </c>
      <c r="D13" s="3">
        <v>13.313709571428571</v>
      </c>
      <c r="E13" s="3">
        <v>4670.3571428571431</v>
      </c>
      <c r="F13" s="3">
        <v>0</v>
      </c>
      <c r="G13" s="3">
        <v>20219.286</v>
      </c>
      <c r="H13" s="10">
        <v>2.7053424409999999E-3</v>
      </c>
      <c r="I13" s="3">
        <v>130770</v>
      </c>
      <c r="J13" s="3">
        <v>372.78386799999998</v>
      </c>
      <c r="K13" s="3">
        <v>1.8103273269255209</v>
      </c>
      <c r="L13" s="3">
        <v>40.679831424314386</v>
      </c>
      <c r="N13" s="1">
        <f t="shared" si="0"/>
        <v>337</v>
      </c>
      <c r="O13" s="1">
        <f t="shared" si="1"/>
        <v>1.8437044117185938E-2</v>
      </c>
      <c r="P13" s="1">
        <f t="shared" si="3"/>
        <v>4.9425623843543862E-3</v>
      </c>
      <c r="R13" s="1">
        <f t="shared" si="2"/>
        <v>6.7266313541460755E-5</v>
      </c>
    </row>
    <row r="14" spans="1:18" x14ac:dyDescent="0.3">
      <c r="A14" s="2">
        <v>44621</v>
      </c>
      <c r="B14" s="3">
        <v>726.79252690322585</v>
      </c>
      <c r="C14" s="3">
        <v>712.3178709677419</v>
      </c>
      <c r="D14" s="3">
        <v>14.474655935483872</v>
      </c>
      <c r="E14" s="3">
        <v>5092.7741935483873</v>
      </c>
      <c r="F14" s="3">
        <v>0</v>
      </c>
      <c r="G14" s="3">
        <v>22081.853999999999</v>
      </c>
      <c r="H14" s="10">
        <v>2.9545542189999999E-3</v>
      </c>
      <c r="I14" s="3">
        <v>157876</v>
      </c>
      <c r="J14" s="3">
        <v>448.71433400000001</v>
      </c>
      <c r="K14" s="3">
        <v>1.9915801827460462</v>
      </c>
      <c r="L14" s="3">
        <v>44.969433490503107</v>
      </c>
      <c r="N14" s="1">
        <f t="shared" si="0"/>
        <v>365</v>
      </c>
      <c r="O14" s="1">
        <f t="shared" si="1"/>
        <v>2.0320500896346839E-2</v>
      </c>
      <c r="P14" s="1">
        <f t="shared" si="3"/>
        <v>2.1144514577278742E-2</v>
      </c>
      <c r="R14" s="1">
        <f t="shared" si="2"/>
        <v>4.9284349730484066E-5</v>
      </c>
    </row>
    <row r="15" spans="1:18" x14ac:dyDescent="0.3">
      <c r="A15" s="2">
        <v>44652</v>
      </c>
      <c r="B15" s="3">
        <v>719.08062056666665</v>
      </c>
      <c r="C15" s="3">
        <v>703.70583333333332</v>
      </c>
      <c r="D15" s="3">
        <v>15.374787233333333</v>
      </c>
      <c r="E15" s="3">
        <v>5343.9666666666662</v>
      </c>
      <c r="F15" s="3">
        <v>0</v>
      </c>
      <c r="G15" s="3">
        <v>21111.174999999999</v>
      </c>
      <c r="H15" s="10">
        <v>2.824677275E-3</v>
      </c>
      <c r="I15" s="3">
        <v>160319</v>
      </c>
      <c r="J15" s="3">
        <v>461.24361699999997</v>
      </c>
      <c r="K15" s="3">
        <v>2.1381173116885468</v>
      </c>
      <c r="L15" s="3">
        <v>47.764960794460755</v>
      </c>
      <c r="N15" s="1">
        <f t="shared" si="0"/>
        <v>396</v>
      </c>
      <c r="O15" s="1">
        <f t="shared" si="1"/>
        <v>2.1848315737991845E-2</v>
      </c>
      <c r="P15" s="1">
        <f t="shared" si="3"/>
        <v>0.103147732264346</v>
      </c>
      <c r="R15" s="1">
        <f t="shared" si="2"/>
        <v>4.8042804145399164E-4</v>
      </c>
    </row>
    <row r="16" spans="1:18" x14ac:dyDescent="0.3">
      <c r="A16" s="2">
        <v>44682</v>
      </c>
      <c r="B16" s="3">
        <v>699.90445738709684</v>
      </c>
      <c r="C16" s="3">
        <v>675.41319354838708</v>
      </c>
      <c r="D16" s="3">
        <v>24.491263838709678</v>
      </c>
      <c r="E16" s="3">
        <v>5137.2903225806449</v>
      </c>
      <c r="F16" s="3">
        <v>0</v>
      </c>
      <c r="G16" s="3">
        <v>20937.809000000001</v>
      </c>
      <c r="H16" s="10">
        <v>2.8014808990000023E-3</v>
      </c>
      <c r="I16" s="3">
        <v>159256</v>
      </c>
      <c r="J16" s="3">
        <v>759.22917900000004</v>
      </c>
      <c r="K16" s="3">
        <v>3.4992295848695059</v>
      </c>
      <c r="L16" s="3">
        <v>47.841127445569875</v>
      </c>
      <c r="N16" s="1">
        <f t="shared" si="0"/>
        <v>426</v>
      </c>
      <c r="O16" s="1">
        <f t="shared" si="1"/>
        <v>3.6261156981611593E-2</v>
      </c>
      <c r="P16" s="1">
        <f t="shared" si="3"/>
        <v>0.25300304315319483</v>
      </c>
      <c r="R16" s="1">
        <f t="shared" si="2"/>
        <v>7.0434507081588028E-4</v>
      </c>
    </row>
    <row r="17" spans="1:18" x14ac:dyDescent="0.3">
      <c r="A17" s="2">
        <v>44713</v>
      </c>
      <c r="B17" s="3">
        <v>681.94626973333322</v>
      </c>
      <c r="C17" s="3">
        <v>644.50329999999997</v>
      </c>
      <c r="D17" s="3">
        <v>37.442969733333335</v>
      </c>
      <c r="E17" s="3">
        <v>4909.3666666666668</v>
      </c>
      <c r="F17" s="3">
        <v>0</v>
      </c>
      <c r="G17" s="3">
        <v>19335.098999999998</v>
      </c>
      <c r="H17" s="10">
        <v>2.5870381330000002E-3</v>
      </c>
      <c r="I17" s="3">
        <v>147281</v>
      </c>
      <c r="J17" s="3">
        <v>1123.289092</v>
      </c>
      <c r="K17" s="3">
        <v>5.4906040835115864</v>
      </c>
      <c r="L17" s="3">
        <v>47.911212339797181</v>
      </c>
      <c r="N17" s="1">
        <f t="shared" si="0"/>
        <v>457</v>
      </c>
      <c r="O17" s="1">
        <f t="shared" si="1"/>
        <v>5.8095854176903883E-2</v>
      </c>
      <c r="P17" s="1">
        <f t="shared" si="3"/>
        <v>0.43014688921268363</v>
      </c>
      <c r="R17" s="1">
        <f t="shared" si="2"/>
        <v>1.1909871416831816E-3</v>
      </c>
    </row>
    <row r="18" spans="1:18" x14ac:dyDescent="0.3">
      <c r="A18" s="2">
        <v>44743</v>
      </c>
      <c r="B18" s="3">
        <v>640.71980622580645</v>
      </c>
      <c r="C18" s="3">
        <v>585.76054838709683</v>
      </c>
      <c r="D18" s="3">
        <v>54.959257838709675</v>
      </c>
      <c r="E18" s="3">
        <v>4292.1290322580644</v>
      </c>
      <c r="F18" s="3">
        <v>0</v>
      </c>
      <c r="G18" s="3">
        <v>18158.577000000001</v>
      </c>
      <c r="H18" s="10">
        <v>2.4296193760000003E-3</v>
      </c>
      <c r="I18" s="3">
        <v>133056</v>
      </c>
      <c r="J18" s="3">
        <v>1703.736993</v>
      </c>
      <c r="K18" s="3">
        <v>8.5777366806326878</v>
      </c>
      <c r="L18" s="3">
        <v>46.088172481797436</v>
      </c>
      <c r="N18" s="1">
        <f t="shared" si="0"/>
        <v>487</v>
      </c>
      <c r="O18" s="1">
        <f t="shared" si="1"/>
        <v>9.3825468427399333E-2</v>
      </c>
      <c r="P18" s="1">
        <f t="shared" si="3"/>
        <v>0.39246156327775683</v>
      </c>
      <c r="R18" s="1">
        <f t="shared" si="2"/>
        <v>4.3363295491244402E-4</v>
      </c>
    </row>
    <row r="19" spans="1:18" x14ac:dyDescent="0.3">
      <c r="A19" s="2">
        <v>44774</v>
      </c>
      <c r="B19" s="3">
        <v>683.570919548387</v>
      </c>
      <c r="C19" s="3">
        <v>617.34906451612903</v>
      </c>
      <c r="D19" s="3">
        <v>66.221855032258006</v>
      </c>
      <c r="E19" s="3">
        <v>4459.6774193548299</v>
      </c>
      <c r="F19" s="3">
        <v>0</v>
      </c>
      <c r="G19" s="3">
        <v>19137.821</v>
      </c>
      <c r="H19" s="10">
        <v>2.5606423180000002E-3</v>
      </c>
      <c r="I19" s="3">
        <v>138250</v>
      </c>
      <c r="J19" s="3">
        <v>2052.8775059999998</v>
      </c>
      <c r="K19" s="3">
        <v>9.6876349093388381</v>
      </c>
      <c r="L19" s="3">
        <v>45.436983134077806</v>
      </c>
      <c r="N19" s="1">
        <f t="shared" si="0"/>
        <v>518</v>
      </c>
      <c r="O19" s="1">
        <f t="shared" si="1"/>
        <v>0.1072680900296851</v>
      </c>
      <c r="P19" s="1">
        <f t="shared" si="3"/>
        <v>6.2090693976386842E-2</v>
      </c>
      <c r="R19" s="1">
        <f t="shared" si="2"/>
        <v>-1.9361372932160284E-4</v>
      </c>
    </row>
    <row r="20" spans="1:18" x14ac:dyDescent="0.3">
      <c r="A20" s="2">
        <v>44805</v>
      </c>
      <c r="B20" s="3">
        <v>707.91144646666601</v>
      </c>
      <c r="C20" s="3">
        <v>642.81600000000003</v>
      </c>
      <c r="D20" s="3">
        <v>65.095446466666601</v>
      </c>
      <c r="E20" s="3">
        <v>4698.1333333333296</v>
      </c>
      <c r="F20" s="3">
        <v>0</v>
      </c>
      <c r="G20" s="3">
        <v>19284.48</v>
      </c>
      <c r="H20" s="10">
        <v>2.5802653070000001E-3</v>
      </c>
      <c r="I20" s="3">
        <v>140944</v>
      </c>
      <c r="J20" s="3">
        <v>1952.863394</v>
      </c>
      <c r="K20" s="3">
        <v>9.1954222228742868</v>
      </c>
      <c r="L20" s="3">
        <v>45.970105037833527</v>
      </c>
      <c r="N20" s="1">
        <f t="shared" si="0"/>
        <v>549</v>
      </c>
      <c r="O20" s="1">
        <f t="shared" si="1"/>
        <v>0.10126606442071541</v>
      </c>
      <c r="P20" s="1">
        <f t="shared" si="3"/>
        <v>0.32829954324752292</v>
      </c>
      <c r="R20" s="1">
        <f t="shared" si="2"/>
        <v>1.4183568704468487E-3</v>
      </c>
    </row>
    <row r="21" spans="1:18" x14ac:dyDescent="0.3">
      <c r="A21" s="2">
        <v>44835</v>
      </c>
      <c r="B21" s="3">
        <v>780.86489161290297</v>
      </c>
      <c r="C21" s="3">
        <v>682.68354838709604</v>
      </c>
      <c r="D21" s="3">
        <v>98.181343225806401</v>
      </c>
      <c r="E21" s="3">
        <v>4879.2580645161197</v>
      </c>
      <c r="F21" s="3">
        <v>0</v>
      </c>
      <c r="G21" s="3">
        <v>21163.19</v>
      </c>
      <c r="H21" s="10">
        <v>2.8316368870000001E-3</v>
      </c>
      <c r="I21" s="3">
        <v>151257</v>
      </c>
      <c r="J21" s="3">
        <v>3043.6216399999998</v>
      </c>
      <c r="K21" s="3">
        <v>12.573409853657209</v>
      </c>
      <c r="L21" s="3">
        <v>44.954294631385913</v>
      </c>
      <c r="N21" s="1">
        <f t="shared" si="0"/>
        <v>579</v>
      </c>
      <c r="O21" s="1">
        <f t="shared" si="1"/>
        <v>0.14381677053412087</v>
      </c>
      <c r="P21" s="1">
        <f t="shared" si="3"/>
        <v>0.28342553471573145</v>
      </c>
      <c r="R21" s="1">
        <f t="shared" si="2"/>
        <v>-4.0931760081163566E-4</v>
      </c>
    </row>
    <row r="22" spans="1:18" x14ac:dyDescent="0.3">
      <c r="A22" s="2">
        <v>44866</v>
      </c>
      <c r="B22" s="3">
        <v>699.48098760000005</v>
      </c>
      <c r="C22" s="3">
        <v>618.39246666666668</v>
      </c>
      <c r="D22" s="3">
        <v>81.088520933333328</v>
      </c>
      <c r="E22" s="3">
        <v>4720.666666666667</v>
      </c>
      <c r="F22" s="3">
        <v>0</v>
      </c>
      <c r="G22" s="3">
        <v>18551.774000000001</v>
      </c>
      <c r="H22" s="10">
        <v>2.4822291690000001E-3</v>
      </c>
      <c r="I22" s="3">
        <v>141620</v>
      </c>
      <c r="J22" s="3">
        <v>2432.655628</v>
      </c>
      <c r="K22" s="3">
        <v>11.59266976098341</v>
      </c>
      <c r="L22" s="3">
        <v>48.014894748070986</v>
      </c>
      <c r="N22" s="1">
        <f t="shared" si="0"/>
        <v>610</v>
      </c>
      <c r="O22" s="1">
        <f t="shared" si="1"/>
        <v>0.13112792490896016</v>
      </c>
      <c r="P22" s="1">
        <f t="shared" si="3"/>
        <v>0.51266678491436168</v>
      </c>
      <c r="R22" s="1">
        <f t="shared" si="2"/>
        <v>2.1346824125924582E-3</v>
      </c>
    </row>
    <row r="23" spans="1:18" x14ac:dyDescent="0.3">
      <c r="A23" s="2">
        <v>44896</v>
      </c>
      <c r="B23" s="3">
        <v>674.7805495161291</v>
      </c>
      <c r="C23" s="3">
        <v>564.59035483870969</v>
      </c>
      <c r="D23" s="3">
        <v>110.19019467741936</v>
      </c>
      <c r="E23" s="3">
        <v>3961.6129032258063</v>
      </c>
      <c r="F23" s="3">
        <v>0</v>
      </c>
      <c r="G23" s="3">
        <v>17502.300999999999</v>
      </c>
      <c r="H23" s="10">
        <v>2.3418095840000001E-3</v>
      </c>
      <c r="I23" s="3">
        <v>122810</v>
      </c>
      <c r="J23" s="3">
        <v>3415.8960350000002</v>
      </c>
      <c r="K23" s="3">
        <v>16.329782290914345</v>
      </c>
      <c r="L23" s="3">
        <v>44.134216295331676</v>
      </c>
      <c r="N23" s="1">
        <f t="shared" si="0"/>
        <v>640</v>
      </c>
      <c r="O23" s="1">
        <f t="shared" si="1"/>
        <v>0.19516839728673391</v>
      </c>
      <c r="P23" s="1">
        <f t="shared" si="3"/>
        <v>0.95584099166804026</v>
      </c>
      <c r="R23" s="1">
        <f t="shared" si="2"/>
        <v>8.7293240007907304E-4</v>
      </c>
    </row>
    <row r="24" spans="1:18" x14ac:dyDescent="0.3">
      <c r="A24" s="2">
        <v>44927</v>
      </c>
      <c r="B24" s="3">
        <v>792.74096093548303</v>
      </c>
      <c r="C24" s="3">
        <v>648.60248387096703</v>
      </c>
      <c r="D24" s="3">
        <v>144.138477064516</v>
      </c>
      <c r="E24" s="3">
        <v>4400.1290322580599</v>
      </c>
      <c r="F24" s="3">
        <v>0</v>
      </c>
      <c r="G24" s="3">
        <v>20106.677</v>
      </c>
      <c r="H24" s="10">
        <v>2.6902753459999902E-3</v>
      </c>
      <c r="I24" s="3">
        <v>136404</v>
      </c>
      <c r="J24" s="3">
        <v>4468.2927890000001</v>
      </c>
      <c r="K24" s="3">
        <v>18.182292093803724</v>
      </c>
      <c r="L24" s="3">
        <v>42.670098057476125</v>
      </c>
      <c r="N24" s="1">
        <f t="shared" si="0"/>
        <v>671</v>
      </c>
      <c r="O24" s="1">
        <f t="shared" si="1"/>
        <v>0.22222930168918517</v>
      </c>
      <c r="P24" s="1">
        <f t="shared" si="3"/>
        <v>0.866700595556678</v>
      </c>
      <c r="R24" s="1">
        <f t="shared" si="2"/>
        <v>1.7122181770721269E-3</v>
      </c>
    </row>
    <row r="25" spans="1:18" x14ac:dyDescent="0.3">
      <c r="A25" s="2">
        <v>44958</v>
      </c>
      <c r="B25" s="3">
        <v>800.853383821428</v>
      </c>
      <c r="C25" s="3">
        <v>627.96857142857095</v>
      </c>
      <c r="D25" s="3">
        <v>172.88481239285699</v>
      </c>
      <c r="E25" s="3">
        <v>4433.7857142857101</v>
      </c>
      <c r="F25" s="3">
        <v>0</v>
      </c>
      <c r="G25" s="3">
        <v>17583.12</v>
      </c>
      <c r="H25" s="10">
        <v>2.3526231690000001E-3</v>
      </c>
      <c r="I25" s="3">
        <v>124146</v>
      </c>
      <c r="J25" s="3">
        <v>4840.7747470000004</v>
      </c>
      <c r="K25" s="3">
        <v>21.587573441708326</v>
      </c>
      <c r="L25" s="3">
        <v>44.409269276442409</v>
      </c>
      <c r="N25" s="1">
        <f t="shared" si="0"/>
        <v>702</v>
      </c>
      <c r="O25" s="1">
        <f t="shared" si="1"/>
        <v>0.2753080651784211</v>
      </c>
      <c r="P25" s="1">
        <f t="shared" si="3"/>
        <v>1.0855659088650196</v>
      </c>
      <c r="R25" s="1">
        <f t="shared" si="2"/>
        <v>1.3717048084069658E-3</v>
      </c>
    </row>
    <row r="26" spans="1:18" x14ac:dyDescent="0.3">
      <c r="A26" s="2">
        <v>44986</v>
      </c>
      <c r="B26" s="3">
        <v>839.39409109677399</v>
      </c>
      <c r="C26" s="3">
        <v>638.94648387096697</v>
      </c>
      <c r="D26" s="3">
        <v>200.447607225806</v>
      </c>
      <c r="E26" s="3">
        <v>4320.9677419354803</v>
      </c>
      <c r="F26" s="3">
        <v>0</v>
      </c>
      <c r="G26" s="3">
        <v>19807.341</v>
      </c>
      <c r="H26" s="10">
        <v>2.6502241589999999E-3</v>
      </c>
      <c r="I26" s="3">
        <v>133950</v>
      </c>
      <c r="J26" s="3">
        <v>6213.8758239999997</v>
      </c>
      <c r="K26" s="3">
        <v>23.880035534190664</v>
      </c>
      <c r="L26" s="3">
        <v>42.535679574557733</v>
      </c>
      <c r="N26" s="1">
        <f t="shared" si="0"/>
        <v>730</v>
      </c>
      <c r="O26" s="1">
        <f t="shared" si="1"/>
        <v>0.31371579981381614</v>
      </c>
      <c r="P26" s="1">
        <f t="shared" si="3"/>
        <v>0.65480982489235307</v>
      </c>
      <c r="R26" s="1">
        <f t="shared" si="2"/>
        <v>4.6565767757081951E-4</v>
      </c>
    </row>
    <row r="27" spans="1:18" x14ac:dyDescent="0.3">
      <c r="A27" s="2">
        <v>45017</v>
      </c>
      <c r="B27" s="3">
        <v>836.13443700000005</v>
      </c>
      <c r="C27" s="3">
        <v>629.54763333333301</v>
      </c>
      <c r="D27" s="3">
        <v>206.58680366666599</v>
      </c>
      <c r="E27" s="3">
        <v>4356.8</v>
      </c>
      <c r="F27" s="3">
        <v>0</v>
      </c>
      <c r="G27" s="3">
        <v>18886.429</v>
      </c>
      <c r="H27" s="10">
        <v>2.5270060409999999E-3</v>
      </c>
      <c r="I27" s="3">
        <v>130704</v>
      </c>
      <c r="J27" s="3">
        <v>6197.6041100000002</v>
      </c>
      <c r="K27" s="3">
        <v>24.707366964562265</v>
      </c>
      <c r="L27" s="3">
        <v>43.528716794477134</v>
      </c>
      <c r="N27" s="1">
        <f t="shared" si="0"/>
        <v>761</v>
      </c>
      <c r="O27" s="1">
        <f t="shared" si="1"/>
        <v>0.32815118781851155</v>
      </c>
      <c r="P27" s="1">
        <f t="shared" si="3"/>
        <v>-0.20748459260921753</v>
      </c>
      <c r="R27" s="1">
        <f t="shared" si="2"/>
        <v>-1.0362246328638172E-3</v>
      </c>
    </row>
    <row r="28" spans="1:18" x14ac:dyDescent="0.3">
      <c r="A28" s="2">
        <v>45047</v>
      </c>
      <c r="B28" s="3">
        <v>808.5208564193548</v>
      </c>
      <c r="C28" s="3">
        <v>623.34670967741931</v>
      </c>
      <c r="D28" s="3">
        <v>185.17414674193546</v>
      </c>
      <c r="E28" s="3">
        <v>4310.8709677419356</v>
      </c>
      <c r="F28" s="3">
        <v>0</v>
      </c>
      <c r="G28" s="3">
        <v>19323.748</v>
      </c>
      <c r="H28" s="10">
        <v>2.5855193689999999E-3</v>
      </c>
      <c r="I28" s="3">
        <v>133637</v>
      </c>
      <c r="J28" s="3">
        <v>5740.3985489999995</v>
      </c>
      <c r="K28" s="3">
        <v>22.902828699064674</v>
      </c>
      <c r="L28" s="3">
        <v>43.498290424818208</v>
      </c>
      <c r="N28" s="1">
        <f t="shared" si="0"/>
        <v>791</v>
      </c>
      <c r="O28" s="1">
        <f t="shared" si="1"/>
        <v>0.29706444883259703</v>
      </c>
      <c r="P28" s="1">
        <f t="shared" si="3"/>
        <v>1.3570391108710331</v>
      </c>
      <c r="R28" s="1">
        <f t="shared" si="2"/>
        <v>4.3781936832977316E-3</v>
      </c>
    </row>
    <row r="29" spans="1:18" x14ac:dyDescent="0.3">
      <c r="A29" s="2">
        <v>45078</v>
      </c>
      <c r="B29" s="3">
        <v>1046.3972629000002</v>
      </c>
      <c r="C29" s="3">
        <v>730.32223333333343</v>
      </c>
      <c r="D29" s="3">
        <v>316.07502956666667</v>
      </c>
      <c r="E29" s="3">
        <v>4734.3666666666668</v>
      </c>
      <c r="F29" s="3">
        <v>0</v>
      </c>
      <c r="G29" s="3">
        <v>21909.667000000001</v>
      </c>
      <c r="H29" s="10">
        <v>2.9315155819999998E-3</v>
      </c>
      <c r="I29" s="3">
        <v>142031</v>
      </c>
      <c r="J29" s="3">
        <v>9482.2508870000001</v>
      </c>
      <c r="K29" s="3">
        <v>30.206026025975248</v>
      </c>
      <c r="L29" s="3">
        <v>40.774083138735058</v>
      </c>
      <c r="N29" s="1">
        <f t="shared" si="0"/>
        <v>822</v>
      </c>
      <c r="O29" s="1">
        <f t="shared" si="1"/>
        <v>0.43278845301482671</v>
      </c>
      <c r="P29" s="1">
        <f t="shared" si="3"/>
        <v>1.2166803829553485</v>
      </c>
      <c r="R29" s="1">
        <f t="shared" si="2"/>
        <v>-1.511285723129561E-3</v>
      </c>
    </row>
    <row r="30" spans="1:18" x14ac:dyDescent="0.3">
      <c r="A30" s="2">
        <v>45108</v>
      </c>
      <c r="B30" s="3">
        <v>1159.1966522903226</v>
      </c>
      <c r="C30" s="3">
        <v>835.48722580645165</v>
      </c>
      <c r="D30" s="3">
        <v>323.70942648387097</v>
      </c>
      <c r="E30" s="3">
        <v>5152.0322580645161</v>
      </c>
      <c r="F30" s="3">
        <v>0</v>
      </c>
      <c r="G30" s="3">
        <v>25900.103999999999</v>
      </c>
      <c r="H30" s="10">
        <v>3.4654364390000001E-3</v>
      </c>
      <c r="I30" s="3">
        <v>159713</v>
      </c>
      <c r="J30" s="3">
        <v>10034.992221</v>
      </c>
      <c r="K30" s="3">
        <v>27.925324477455227</v>
      </c>
      <c r="L30" s="3">
        <v>38.7860538088959</v>
      </c>
      <c r="N30" s="1">
        <f t="shared" si="0"/>
        <v>852</v>
      </c>
      <c r="O30" s="1">
        <f t="shared" si="1"/>
        <v>0.38744988132093988</v>
      </c>
      <c r="P30" s="1">
        <f t="shared" si="3"/>
        <v>-8.8715735005989685E-2</v>
      </c>
      <c r="R30" s="1">
        <f t="shared" si="2"/>
        <v>1.2576733243372473E-3</v>
      </c>
    </row>
    <row r="31" spans="1:18" x14ac:dyDescent="0.3">
      <c r="A31" s="2">
        <v>45139</v>
      </c>
      <c r="B31" s="3">
        <v>1010.5341051935485</v>
      </c>
      <c r="C31" s="3">
        <v>708.43196774193552</v>
      </c>
      <c r="D31" s="3">
        <v>302.10213745161292</v>
      </c>
      <c r="E31" s="3">
        <v>3600.7096774193546</v>
      </c>
      <c r="F31" s="3">
        <v>0</v>
      </c>
      <c r="G31" s="3">
        <v>21961.391</v>
      </c>
      <c r="H31" s="10">
        <v>2.9384362580000003E-3</v>
      </c>
      <c r="I31" s="3">
        <v>111622</v>
      </c>
      <c r="J31" s="3">
        <v>9365.1662610000003</v>
      </c>
      <c r="K31" s="3">
        <v>29.895293577820514</v>
      </c>
      <c r="L31" s="3">
        <v>31.968833649926818</v>
      </c>
      <c r="N31" s="1">
        <f t="shared" si="0"/>
        <v>883</v>
      </c>
      <c r="O31" s="1">
        <f t="shared" si="1"/>
        <v>0.42643775437539455</v>
      </c>
      <c r="P31" s="1">
        <f t="shared" si="3"/>
        <v>0.77380213015087607</v>
      </c>
      <c r="R31" s="1">
        <f t="shared" si="2"/>
        <v>4.9571349376307324E-4</v>
      </c>
    </row>
    <row r="32" spans="1:18" x14ac:dyDescent="0.3">
      <c r="A32" s="2">
        <v>45170</v>
      </c>
      <c r="B32" s="3">
        <v>918.67279220000012</v>
      </c>
      <c r="C32" s="3">
        <v>637.16860000000008</v>
      </c>
      <c r="D32" s="3">
        <v>281.50419219999998</v>
      </c>
      <c r="E32" s="3">
        <v>2867.6333333333332</v>
      </c>
      <c r="F32" s="3">
        <v>0</v>
      </c>
      <c r="G32" s="3">
        <v>19115.058000000001</v>
      </c>
      <c r="H32" s="10">
        <v>2.5575966250000002E-3</v>
      </c>
      <c r="I32" s="3">
        <v>86029</v>
      </c>
      <c r="J32" s="3">
        <v>8445.1257659999992</v>
      </c>
      <c r="K32" s="3">
        <v>30.642487139067786</v>
      </c>
      <c r="L32" s="3">
        <v>28.30779818716741</v>
      </c>
      <c r="N32" s="1">
        <f t="shared" si="0"/>
        <v>914</v>
      </c>
      <c r="O32" s="1">
        <f t="shared" si="1"/>
        <v>0.44180487268204982</v>
      </c>
      <c r="P32" s="1">
        <f t="shared" si="3"/>
        <v>0.28704601162328214</v>
      </c>
      <c r="R32" s="1">
        <f t="shared" si="2"/>
        <v>1.2692774748760961E-4</v>
      </c>
    </row>
    <row r="33" spans="1:18" x14ac:dyDescent="0.3">
      <c r="A33" s="2">
        <v>45200</v>
      </c>
      <c r="B33" s="3">
        <v>1076.4241582903223</v>
      </c>
      <c r="C33" s="3">
        <v>744.61448387096766</v>
      </c>
      <c r="D33" s="3">
        <v>331.80967441935485</v>
      </c>
      <c r="E33" s="3">
        <v>4019.5483870967741</v>
      </c>
      <c r="F33" s="3">
        <v>0</v>
      </c>
      <c r="G33" s="3">
        <v>23083.048999999999</v>
      </c>
      <c r="H33" s="10">
        <v>3.0885142080000001E-3</v>
      </c>
      <c r="I33" s="3">
        <v>124606</v>
      </c>
      <c r="J33" s="3">
        <v>10286.099907</v>
      </c>
      <c r="K33" s="3">
        <v>30.825179076839561</v>
      </c>
      <c r="L33" s="3">
        <v>33.953349005150919</v>
      </c>
      <c r="N33" s="1">
        <f t="shared" si="0"/>
        <v>944</v>
      </c>
      <c r="O33" s="1">
        <f t="shared" si="1"/>
        <v>0.44561270510667811</v>
      </c>
      <c r="P33" s="1">
        <f t="shared" si="3"/>
        <v>0.9179692629359778</v>
      </c>
      <c r="R33" s="1">
        <f t="shared" si="2"/>
        <v>1.7903005009702788E-3</v>
      </c>
    </row>
    <row r="34" spans="1:18" x14ac:dyDescent="0.3">
      <c r="A34" s="2">
        <v>45231</v>
      </c>
      <c r="B34" s="3">
        <v>1153.7878235999999</v>
      </c>
      <c r="C34" s="3">
        <v>768.62206666666668</v>
      </c>
      <c r="D34" s="3">
        <v>385.16575693333328</v>
      </c>
      <c r="E34" s="3">
        <v>5214.3</v>
      </c>
      <c r="F34" s="3">
        <v>0</v>
      </c>
      <c r="G34" s="3">
        <v>23058.662</v>
      </c>
      <c r="H34" s="10">
        <v>3.0852512270000002E-3</v>
      </c>
      <c r="I34" s="3">
        <v>156429</v>
      </c>
      <c r="J34" s="3">
        <v>11554.972707999999</v>
      </c>
      <c r="K34" s="3">
        <v>33.382719860186718</v>
      </c>
      <c r="L34" s="3">
        <v>42.669740516600655</v>
      </c>
      <c r="N34" s="1">
        <f t="shared" si="0"/>
        <v>975</v>
      </c>
      <c r="O34" s="1">
        <f t="shared" si="1"/>
        <v>0.50111202063675675</v>
      </c>
      <c r="P34" s="1">
        <f t="shared" si="3"/>
        <v>4.0445763254104579</v>
      </c>
      <c r="R34" s="1">
        <f t="shared" si="2"/>
        <v>6.5919507406980273E-3</v>
      </c>
    </row>
    <row r="35" spans="1:18" x14ac:dyDescent="0.3">
      <c r="A35" s="2">
        <v>45261</v>
      </c>
      <c r="B35" s="3">
        <v>1244.976778451613</v>
      </c>
      <c r="C35" s="3">
        <v>732.8261612903226</v>
      </c>
      <c r="D35" s="3">
        <v>512.15061716129037</v>
      </c>
      <c r="E35" s="3">
        <v>7968.7741935483873</v>
      </c>
      <c r="F35" s="3">
        <v>0</v>
      </c>
      <c r="G35" s="3">
        <v>22717.611000000001</v>
      </c>
      <c r="H35" s="10">
        <v>3.0396185690000003E-3</v>
      </c>
      <c r="I35" s="3">
        <v>247032</v>
      </c>
      <c r="J35" s="3">
        <v>15876.669132000001</v>
      </c>
      <c r="K35" s="3">
        <v>41.137363043691145</v>
      </c>
      <c r="L35" s="3">
        <v>68.395478450617006</v>
      </c>
      <c r="N35" s="1">
        <f t="shared" si="0"/>
        <v>1005</v>
      </c>
      <c r="O35" s="1">
        <f t="shared" si="1"/>
        <v>0.69887054285769756</v>
      </c>
      <c r="P35" s="1">
        <f t="shared" si="3"/>
        <v>4.4050073529700047</v>
      </c>
      <c r="R35" s="1">
        <f t="shared" si="2"/>
        <v>2.243843121540428E-3</v>
      </c>
    </row>
    <row r="36" spans="1:18" x14ac:dyDescent="0.3">
      <c r="A36" s="2">
        <v>45292</v>
      </c>
      <c r="B36" s="3">
        <v>1214.1104905806451</v>
      </c>
      <c r="C36" s="3">
        <v>686.54722580645159</v>
      </c>
      <c r="D36" s="3">
        <v>527.56326477419361</v>
      </c>
      <c r="E36" s="3">
        <v>7450.9354838709678</v>
      </c>
      <c r="F36" s="3">
        <v>0</v>
      </c>
      <c r="G36" s="3">
        <v>21282.964</v>
      </c>
      <c r="H36" s="10">
        <v>2.8476626620000003E-3</v>
      </c>
      <c r="I36" s="3">
        <v>230979</v>
      </c>
      <c r="J36" s="3">
        <v>16354.461208000001</v>
      </c>
      <c r="K36" s="3">
        <v>43.452656810657139</v>
      </c>
      <c r="L36" s="3">
        <v>68.261719288723128</v>
      </c>
      <c r="N36" s="1">
        <f t="shared" si="0"/>
        <v>1036</v>
      </c>
      <c r="O36" s="1">
        <f t="shared" si="1"/>
        <v>0.76842967962545083</v>
      </c>
      <c r="P36" s="1">
        <f t="shared" si="3"/>
        <v>0.1937521586113698</v>
      </c>
      <c r="R36" s="1">
        <f t="shared" si="2"/>
        <v>-1.8696925105390015E-3</v>
      </c>
    </row>
    <row r="37" spans="1:18" x14ac:dyDescent="0.3">
      <c r="A37" s="2">
        <v>45323</v>
      </c>
      <c r="B37" s="3">
        <v>1226.9101285517243</v>
      </c>
      <c r="C37" s="3">
        <v>717.29448275862069</v>
      </c>
      <c r="D37" s="3">
        <v>509.61564579310345</v>
      </c>
      <c r="E37" s="3">
        <v>7171.0689655172409</v>
      </c>
      <c r="F37" s="3">
        <v>0</v>
      </c>
      <c r="G37" s="3">
        <v>20801.54</v>
      </c>
      <c r="H37" s="10">
        <v>2.783248079E-3</v>
      </c>
      <c r="I37" s="3">
        <v>207961</v>
      </c>
      <c r="J37" s="3">
        <v>14778.853728</v>
      </c>
      <c r="K37" s="3">
        <v>41.536509800817008</v>
      </c>
      <c r="L37" s="3">
        <v>62.881550971706901</v>
      </c>
      <c r="N37" s="1">
        <f t="shared" si="0"/>
        <v>1067</v>
      </c>
      <c r="O37" s="1">
        <f t="shared" si="1"/>
        <v>0.71046921179874178</v>
      </c>
      <c r="P37" s="1">
        <f t="shared" si="3"/>
        <v>-0.604962396757873</v>
      </c>
      <c r="R37" s="1">
        <f t="shared" si="2"/>
        <v>8.2417440877098961E-4</v>
      </c>
    </row>
    <row r="38" spans="1:18" x14ac:dyDescent="0.3">
      <c r="A38" s="2">
        <v>45352</v>
      </c>
      <c r="B38" s="3">
        <v>1222.5715899354839</v>
      </c>
      <c r="C38" s="3">
        <v>704.90806451612912</v>
      </c>
      <c r="D38" s="3">
        <v>517.66352541935487</v>
      </c>
      <c r="E38" s="3">
        <v>5215.322580645161</v>
      </c>
      <c r="F38" s="3">
        <v>0</v>
      </c>
      <c r="G38" s="3">
        <v>21852.15</v>
      </c>
      <c r="H38" s="10">
        <v>2.9238198030000001E-3</v>
      </c>
      <c r="I38" s="3">
        <v>161675</v>
      </c>
      <c r="J38" s="3">
        <v>16047.569288000001</v>
      </c>
      <c r="K38" s="3">
        <v>42.342185086001585</v>
      </c>
      <c r="L38" s="3">
        <v>46.535623039380553</v>
      </c>
      <c r="N38" s="1">
        <f t="shared" si="0"/>
        <v>1096</v>
      </c>
      <c r="O38" s="1">
        <f t="shared" si="1"/>
        <v>0.73437026965310048</v>
      </c>
      <c r="P38" s="1">
        <f t="shared" si="3"/>
        <v>2.8695696336630525</v>
      </c>
      <c r="R38" s="1">
        <f t="shared" si="2"/>
        <v>4.2931648906171698E-3</v>
      </c>
    </row>
    <row r="39" spans="1:18" x14ac:dyDescent="0.3">
      <c r="A39" s="2">
        <v>45383</v>
      </c>
      <c r="B39" s="3">
        <v>1305.2637705000002</v>
      </c>
      <c r="C39" s="3">
        <v>698.952</v>
      </c>
      <c r="D39" s="3">
        <v>606.31177050000008</v>
      </c>
      <c r="E39" s="3">
        <v>4140.833333333333</v>
      </c>
      <c r="F39" s="3">
        <v>0</v>
      </c>
      <c r="G39" s="3">
        <v>20968.560000000001</v>
      </c>
      <c r="H39" s="10">
        <v>2.8055953749999999E-3</v>
      </c>
      <c r="I39" s="3">
        <v>124225</v>
      </c>
      <c r="J39" s="3">
        <v>18189.353115000002</v>
      </c>
      <c r="K39" s="3">
        <v>46.451283196785859</v>
      </c>
      <c r="L39" s="3">
        <v>37.262950102439078</v>
      </c>
      <c r="N39" s="1">
        <f t="shared" si="0"/>
        <v>1127</v>
      </c>
      <c r="O39" s="1">
        <f t="shared" si="1"/>
        <v>0.86745838126223274</v>
      </c>
      <c r="P39" s="1">
        <f t="shared" si="3"/>
        <v>0.10671326960249997</v>
      </c>
      <c r="R39" s="1">
        <f t="shared" si="2"/>
        <v>-4.2436057691913427E-3</v>
      </c>
    </row>
    <row r="40" spans="1:18" x14ac:dyDescent="0.3">
      <c r="A40" s="2">
        <v>45413</v>
      </c>
      <c r="B40" s="3">
        <v>1129.787807419355</v>
      </c>
      <c r="C40" s="3">
        <v>649.24729032258062</v>
      </c>
      <c r="D40" s="3">
        <v>480.54051709677418</v>
      </c>
      <c r="E40" s="3">
        <v>4201.322580645161</v>
      </c>
      <c r="F40" s="3">
        <v>0</v>
      </c>
      <c r="G40" s="3">
        <v>20126.666000000001</v>
      </c>
      <c r="H40" s="10">
        <v>2.692949876E-3</v>
      </c>
      <c r="I40" s="3">
        <v>130241</v>
      </c>
      <c r="J40" s="3">
        <v>14896.75603</v>
      </c>
      <c r="K40" s="3">
        <v>42.533696499559326</v>
      </c>
      <c r="L40" s="3">
        <v>40.701715912610659</v>
      </c>
      <c r="N40" s="1">
        <f t="shared" si="0"/>
        <v>1157</v>
      </c>
      <c r="O40" s="1">
        <f t="shared" si="1"/>
        <v>0.74015020818649246</v>
      </c>
      <c r="P40" s="1">
        <f t="shared" si="3"/>
        <v>0.45725152861213902</v>
      </c>
      <c r="R40" s="1">
        <f t="shared" si="2"/>
        <v>4.8842196515109185E-3</v>
      </c>
    </row>
    <row r="41" spans="1:18" x14ac:dyDescent="0.3">
      <c r="A41" s="2">
        <v>45444</v>
      </c>
      <c r="B41" s="3">
        <v>1146.7576688000001</v>
      </c>
      <c r="C41" s="3">
        <v>606.24936666666667</v>
      </c>
      <c r="D41" s="3">
        <v>540.50830213333336</v>
      </c>
      <c r="E41" s="3">
        <v>4206.8666666666668</v>
      </c>
      <c r="F41" s="3">
        <v>0</v>
      </c>
      <c r="G41" s="3">
        <v>18187.481</v>
      </c>
      <c r="H41" s="10">
        <v>2.433486728E-3</v>
      </c>
      <c r="I41" s="3">
        <v>126206</v>
      </c>
      <c r="J41" s="3">
        <v>16215.249064</v>
      </c>
      <c r="K41" s="3">
        <v>47.133611297226956</v>
      </c>
      <c r="L41" s="3">
        <v>43.645983674154763</v>
      </c>
      <c r="N41" s="1">
        <f t="shared" si="0"/>
        <v>1188</v>
      </c>
      <c r="O41" s="1">
        <f t="shared" si="1"/>
        <v>0.89156101738333093</v>
      </c>
      <c r="P41" s="1">
        <f t="shared" si="3"/>
        <v>5.9101499845590624</v>
      </c>
      <c r="R41" s="1">
        <f t="shared" si="2"/>
        <v>5.0750349509370444E-3</v>
      </c>
    </row>
    <row r="42" spans="1:18" x14ac:dyDescent="0.3">
      <c r="A42" s="2">
        <v>45474</v>
      </c>
      <c r="B42" s="3">
        <v>1224.0778127741937</v>
      </c>
      <c r="C42" s="3">
        <v>598.91896774193549</v>
      </c>
      <c r="D42" s="3">
        <v>625.15884503225811</v>
      </c>
      <c r="E42" s="3">
        <v>4135.5161290322585</v>
      </c>
      <c r="F42" s="3">
        <v>0</v>
      </c>
      <c r="G42" s="3">
        <v>18566.488000000001</v>
      </c>
      <c r="H42" s="10">
        <v>2.4841979019999999E-3</v>
      </c>
      <c r="I42" s="3">
        <v>128201</v>
      </c>
      <c r="J42" s="3">
        <v>19379.924196</v>
      </c>
      <c r="K42" s="3">
        <v>51.071822273734938</v>
      </c>
      <c r="L42" s="3">
        <v>43.430865858960509</v>
      </c>
      <c r="N42" s="1">
        <f t="shared" si="0"/>
        <v>1218</v>
      </c>
      <c r="O42" s="1">
        <f t="shared" si="1"/>
        <v>1.0438120659114423</v>
      </c>
      <c r="P42" s="1">
        <f t="shared" si="3"/>
        <v>2.0992220670547068</v>
      </c>
      <c r="R42" s="1">
        <f t="shared" si="2"/>
        <v>-1.5206057989745989E-3</v>
      </c>
    </row>
    <row r="43" spans="1:18" x14ac:dyDescent="0.3">
      <c r="A43" s="2">
        <v>45505</v>
      </c>
      <c r="B43" s="3">
        <v>1205.8439415483872</v>
      </c>
      <c r="C43" s="3">
        <v>603.92651612903228</v>
      </c>
      <c r="D43" s="3">
        <v>601.9174254193548</v>
      </c>
      <c r="E43" s="3">
        <v>3948.9354838709678</v>
      </c>
      <c r="F43" s="3">
        <v>0</v>
      </c>
      <c r="G43" s="3">
        <v>18721.722000000002</v>
      </c>
      <c r="H43" s="10">
        <v>2.5049682320000002E-3</v>
      </c>
      <c r="I43" s="1">
        <v>122417</v>
      </c>
      <c r="J43" s="3">
        <v>18659.440188</v>
      </c>
      <c r="K43" s="3">
        <v>49.916693585278637</v>
      </c>
      <c r="L43" s="3">
        <v>41.127544068862889</v>
      </c>
      <c r="N43" s="1">
        <f t="shared" si="0"/>
        <v>1249</v>
      </c>
      <c r="O43" s="1">
        <f t="shared" si="1"/>
        <v>0.9966732861432297</v>
      </c>
      <c r="P43" s="1">
        <f t="shared" si="3"/>
        <v>-1.6128524581389911</v>
      </c>
      <c r="R43" s="1">
        <f t="shared" si="2"/>
        <v>-1.0625547559467501E-3</v>
      </c>
    </row>
    <row r="44" spans="1:18" x14ac:dyDescent="0.3">
      <c r="A44" s="2">
        <v>45536</v>
      </c>
      <c r="B44" s="3">
        <v>1165.0780018333332</v>
      </c>
      <c r="C44" s="3">
        <v>593.29723333333334</v>
      </c>
      <c r="D44" s="3">
        <v>571.78076850000002</v>
      </c>
      <c r="E44" s="3">
        <v>3824.8</v>
      </c>
      <c r="F44" s="3">
        <v>0</v>
      </c>
      <c r="G44" s="3">
        <v>17798.917000000001</v>
      </c>
      <c r="H44" s="10">
        <v>2.381496831E-3</v>
      </c>
      <c r="I44" s="1">
        <v>114744</v>
      </c>
      <c r="J44" s="3">
        <v>17153.423054999999</v>
      </c>
      <c r="K44" s="3">
        <v>49.076608398773487</v>
      </c>
      <c r="L44" s="3">
        <v>40.54835534094574</v>
      </c>
      <c r="N44" s="1">
        <f t="shared" si="0"/>
        <v>1280</v>
      </c>
      <c r="O44" s="1">
        <f t="shared" si="1"/>
        <v>0.96373408870888044</v>
      </c>
      <c r="P44" s="1">
        <f t="shared" si="3"/>
        <v>3.090654412559081E-2</v>
      </c>
      <c r="R44" s="1">
        <f t="shared" si="2"/>
        <v>1.1470980727123492E-3</v>
      </c>
    </row>
    <row r="45" spans="1:18" x14ac:dyDescent="0.3">
      <c r="A45" s="2">
        <v>45566</v>
      </c>
      <c r="B45" s="3">
        <v>1106.1801907419356</v>
      </c>
      <c r="C45" s="3">
        <v>553.60299999999995</v>
      </c>
      <c r="D45" s="3">
        <v>552.57719074193551</v>
      </c>
      <c r="E45" s="3">
        <v>3571.2580645161293</v>
      </c>
      <c r="F45" s="3">
        <v>0</v>
      </c>
      <c r="G45" s="3">
        <v>17161.692999999999</v>
      </c>
      <c r="H45" s="10">
        <v>2.2962361959999998E-3</v>
      </c>
      <c r="I45" s="1">
        <v>110709</v>
      </c>
      <c r="J45" s="3">
        <v>17129.892913</v>
      </c>
      <c r="K45" s="3">
        <v>49.953632813774377</v>
      </c>
      <c r="L45" s="3">
        <v>40.575103412000203</v>
      </c>
      <c r="N45" s="1">
        <f t="shared" si="0"/>
        <v>1310</v>
      </c>
      <c r="O45" s="1">
        <f t="shared" si="1"/>
        <v>0.99814703089025092</v>
      </c>
      <c r="P45" s="1">
        <f t="shared" si="3"/>
        <v>1.2441442641789326</v>
      </c>
      <c r="R45" s="1">
        <f t="shared" si="2"/>
        <v>7.5834996500732542E-4</v>
      </c>
    </row>
    <row r="46" spans="1:18" x14ac:dyDescent="0.3">
      <c r="A46" s="2">
        <v>45597</v>
      </c>
      <c r="B46" s="3">
        <v>1106.5992374</v>
      </c>
      <c r="C46" s="3">
        <v>547.37270000000001</v>
      </c>
      <c r="D46" s="3">
        <v>559.22653739999998</v>
      </c>
      <c r="E46" s="3">
        <v>3353.3333333333335</v>
      </c>
      <c r="F46" s="3">
        <v>0</v>
      </c>
      <c r="G46" s="3">
        <v>16421.181</v>
      </c>
      <c r="H46" s="10">
        <v>2.1971556209999998E-3</v>
      </c>
      <c r="I46" s="1">
        <v>100600</v>
      </c>
      <c r="J46" s="3">
        <v>16776.796122</v>
      </c>
      <c r="K46" s="3">
        <v>50.535597576763699</v>
      </c>
      <c r="L46" s="3">
        <v>38.532787623496752</v>
      </c>
      <c r="N46" s="1">
        <f t="shared" si="0"/>
        <v>1341</v>
      </c>
      <c r="O46" s="1">
        <f t="shared" si="1"/>
        <v>1.021655879805478</v>
      </c>
      <c r="P46" s="1">
        <f t="shared" si="3"/>
        <v>0.43213623477401075</v>
      </c>
      <c r="R46" s="1">
        <f t="shared" si="2"/>
        <v>-1.2803062171610571E-4</v>
      </c>
    </row>
    <row r="47" spans="1:18" x14ac:dyDescent="0.3">
      <c r="A47" s="2">
        <v>45627</v>
      </c>
      <c r="B47" s="3">
        <v>1059.1371436774193</v>
      </c>
      <c r="C47" s="3">
        <v>524.89309677419351</v>
      </c>
      <c r="D47" s="3">
        <v>534.24404690322581</v>
      </c>
      <c r="E47" s="3">
        <v>2686.3225806451615</v>
      </c>
      <c r="F47" s="3">
        <v>0</v>
      </c>
      <c r="G47" s="3">
        <v>16271.686</v>
      </c>
      <c r="H47" s="10">
        <v>2.177153177E-3</v>
      </c>
      <c r="I47" s="1">
        <v>83276</v>
      </c>
      <c r="J47" s="3">
        <v>16561.565454</v>
      </c>
      <c r="K47" s="3">
        <v>50.441441893755368</v>
      </c>
      <c r="L47" s="3">
        <v>32.190234300243993</v>
      </c>
      <c r="N47" s="1">
        <f t="shared" si="0"/>
        <v>1371</v>
      </c>
      <c r="O47" s="1">
        <f t="shared" si="1"/>
        <v>1.0178149611539948</v>
      </c>
      <c r="P47" s="1">
        <f t="shared" si="3"/>
        <v>3.6891268667038548</v>
      </c>
      <c r="R47" s="1">
        <f t="shared" si="2"/>
        <v>5.4177005852726031E-3</v>
      </c>
    </row>
    <row r="48" spans="1:18" x14ac:dyDescent="0.3">
      <c r="A48" s="2">
        <v>45658</v>
      </c>
      <c r="B48" s="3">
        <v>1111.332716967742</v>
      </c>
      <c r="C48" s="3">
        <v>508.44138709677424</v>
      </c>
      <c r="D48" s="3">
        <v>602.89132987096775</v>
      </c>
      <c r="E48" s="3">
        <v>2414.7419354838707</v>
      </c>
      <c r="F48" s="3">
        <v>0</v>
      </c>
      <c r="G48" s="3">
        <v>15761.683000000001</v>
      </c>
      <c r="H48" s="10">
        <v>2.1089147250000001E-3</v>
      </c>
      <c r="I48" s="1">
        <v>74857</v>
      </c>
      <c r="J48" s="3">
        <v>18689.631226000001</v>
      </c>
      <c r="K48" s="3">
        <v>54.249399902123784</v>
      </c>
      <c r="L48" s="3">
        <v>29.872162674506267</v>
      </c>
      <c r="N48" s="1">
        <f t="shared" si="0"/>
        <v>1402</v>
      </c>
      <c r="O48" s="1">
        <f t="shared" si="1"/>
        <v>1.1857636792974455</v>
      </c>
      <c r="P48" s="1">
        <f t="shared" si="3"/>
        <v>6.963749743775872</v>
      </c>
      <c r="R48" s="1">
        <f t="shared" si="2"/>
        <v>4.5179412906512202E-3</v>
      </c>
    </row>
    <row r="49" spans="1:18" x14ac:dyDescent="0.3">
      <c r="A49" s="2">
        <v>45689</v>
      </c>
      <c r="B49" s="3">
        <v>1148.4491446785714</v>
      </c>
      <c r="C49" s="3">
        <v>493.78249999999997</v>
      </c>
      <c r="D49" s="3">
        <v>654.6666446785714</v>
      </c>
      <c r="E49" s="3">
        <v>2481.3571428571427</v>
      </c>
      <c r="F49" s="3">
        <v>0</v>
      </c>
      <c r="G49" s="3">
        <v>13825.91</v>
      </c>
      <c r="H49" s="10">
        <v>1.8499081069999999E-3</v>
      </c>
      <c r="I49" s="1">
        <v>69478</v>
      </c>
      <c r="J49" s="3">
        <v>18330.666051</v>
      </c>
      <c r="K49" s="3">
        <v>57.004408746527467</v>
      </c>
      <c r="L49" s="3">
        <v>31.6075198232883</v>
      </c>
      <c r="N49" s="1">
        <f t="shared" si="0"/>
        <v>1433</v>
      </c>
      <c r="O49" s="1">
        <f t="shared" si="1"/>
        <v>1.3258198593076334</v>
      </c>
      <c r="P49" s="1">
        <f t="shared" si="3"/>
        <v>8.6382523391463746</v>
      </c>
      <c r="R49" s="1">
        <f t="shared" si="2"/>
        <v>7.7151497346269705E-3</v>
      </c>
    </row>
    <row r="50" spans="1:18" x14ac:dyDescent="0.3">
      <c r="A50" s="2">
        <v>45717</v>
      </c>
      <c r="B50" s="3">
        <v>1236.3071116451613</v>
      </c>
      <c r="C50" s="3">
        <v>486.38196774193551</v>
      </c>
      <c r="D50" s="3">
        <v>749.92514390322583</v>
      </c>
      <c r="E50" s="3">
        <v>2489.8387096774195</v>
      </c>
      <c r="F50" s="3">
        <v>0</v>
      </c>
      <c r="G50" s="3">
        <v>15077.841</v>
      </c>
      <c r="H50" s="10">
        <v>2.017416597E-3</v>
      </c>
      <c r="I50" s="1">
        <v>77185</v>
      </c>
      <c r="J50" s="3">
        <v>23247.679461</v>
      </c>
      <c r="K50" s="3">
        <v>60.658483384868333</v>
      </c>
      <c r="L50" s="3">
        <v>32.198125248833705</v>
      </c>
      <c r="N50" s="1">
        <f t="shared" si="0"/>
        <v>1461</v>
      </c>
      <c r="O50" s="1">
        <f t="shared" si="1"/>
        <v>1.5418440518771885</v>
      </c>
      <c r="P50" s="1">
        <f t="shared" si="3"/>
        <v>5.5066709776813667</v>
      </c>
      <c r="R50" s="1">
        <f t="shared" si="2"/>
        <v>1.9856144731664462E-4</v>
      </c>
    </row>
    <row r="51" spans="1:18" x14ac:dyDescent="0.3">
      <c r="A51" s="2">
        <v>45748</v>
      </c>
      <c r="B51" s="3">
        <v>1113.1496186666666</v>
      </c>
      <c r="C51" s="3">
        <v>436.87200000000001</v>
      </c>
      <c r="D51" s="3">
        <v>676.27761866666674</v>
      </c>
      <c r="E51" s="3">
        <v>2541.2333333333331</v>
      </c>
      <c r="F51" s="3">
        <v>0</v>
      </c>
      <c r="G51" s="3">
        <v>13106.16</v>
      </c>
      <c r="H51" s="10">
        <v>1.7536054899999999E-3</v>
      </c>
      <c r="I51" s="1">
        <v>76237</v>
      </c>
      <c r="J51" s="3">
        <v>20288.328560000002</v>
      </c>
      <c r="K51" s="3">
        <v>60.753523814409938</v>
      </c>
      <c r="L51" s="3">
        <v>36.58703102968375</v>
      </c>
      <c r="N51" s="1">
        <f t="shared" si="0"/>
        <v>1492</v>
      </c>
      <c r="O51" s="1">
        <f t="shared" si="1"/>
        <v>1.5479994567440045</v>
      </c>
      <c r="P51" s="1">
        <f t="shared" si="3"/>
        <v>-1.7848585485799822</v>
      </c>
      <c r="R51" s="1">
        <f t="shared" si="2"/>
        <v>-2.6387828342542348E-3</v>
      </c>
    </row>
    <row r="52" spans="1:18" x14ac:dyDescent="0.3">
      <c r="A52" s="2">
        <v>45778</v>
      </c>
      <c r="B52" s="3">
        <v>1142.7477170322582</v>
      </c>
      <c r="C52" s="3">
        <v>462.86903225806452</v>
      </c>
      <c r="D52" s="3">
        <v>679.87868477419352</v>
      </c>
      <c r="E52" s="3">
        <v>2326.7096774193546</v>
      </c>
      <c r="F52" s="3">
        <v>0</v>
      </c>
      <c r="G52" s="3">
        <v>14348.94</v>
      </c>
      <c r="H52" s="10">
        <v>1.919889571E-3</v>
      </c>
      <c r="I52" s="1">
        <v>72128</v>
      </c>
      <c r="J52" s="3">
        <v>21076.239227999999</v>
      </c>
      <c r="K52" s="3">
        <v>59.495081428808625</v>
      </c>
      <c r="L52" s="3">
        <v>31.617018009692696</v>
      </c>
      <c r="N52" s="1">
        <f t="shared" si="0"/>
        <v>1522</v>
      </c>
      <c r="O52" s="1">
        <f t="shared" si="1"/>
        <v>1.4688359717163775</v>
      </c>
      <c r="P52" s="1">
        <f t="shared" si="3"/>
        <v>1.7065052054575978</v>
      </c>
      <c r="R52" s="1">
        <f t="shared" si="2"/>
        <v>4.7595137885712655E-3</v>
      </c>
    </row>
    <row r="53" spans="1:18" x14ac:dyDescent="0.3">
      <c r="A53" s="2">
        <v>45809</v>
      </c>
      <c r="B53" s="3">
        <v>1198.4763539333333</v>
      </c>
      <c r="C53" s="3">
        <v>458.06646666666671</v>
      </c>
      <c r="D53" s="3">
        <v>740.40988726666671</v>
      </c>
      <c r="E53" s="3">
        <v>1878.4</v>
      </c>
      <c r="F53" s="3">
        <v>0</v>
      </c>
      <c r="G53" s="3">
        <v>13741.994000000001</v>
      </c>
      <c r="H53" s="10">
        <v>1.838680142E-3</v>
      </c>
      <c r="I53" s="1">
        <v>56352</v>
      </c>
      <c r="J53" s="3">
        <v>22212.296618</v>
      </c>
      <c r="K53" s="3">
        <v>61.779265384476069</v>
      </c>
      <c r="L53" s="3">
        <v>25.792676783296514</v>
      </c>
      <c r="N53" s="1">
        <f t="shared" si="0"/>
        <v>1553</v>
      </c>
      <c r="O53" s="1">
        <f t="shared" si="1"/>
        <v>1.6163808991620867</v>
      </c>
      <c r="P53" s="1">
        <f t="shared" si="3"/>
        <v>6.4060210304779206</v>
      </c>
      <c r="R53" s="1">
        <f t="shared" si="2"/>
        <v>3.4729805149236997E-3</v>
      </c>
    </row>
    <row r="54" spans="1:18" x14ac:dyDescent="0.3">
      <c r="A54" s="2">
        <v>45839</v>
      </c>
      <c r="B54" s="3">
        <v>1200.7755747096774</v>
      </c>
      <c r="C54" s="3">
        <v>441.36906451612907</v>
      </c>
      <c r="D54" s="3">
        <v>759.40651019354834</v>
      </c>
      <c r="E54" s="3">
        <v>2140.3870967741937</v>
      </c>
      <c r="F54" s="3">
        <v>0</v>
      </c>
      <c r="G54" s="3">
        <v>13682.441000000001</v>
      </c>
      <c r="H54" s="10">
        <v>1.830711939E-3</v>
      </c>
      <c r="I54" s="1">
        <v>66352</v>
      </c>
      <c r="J54" s="3">
        <v>23541.601815999999</v>
      </c>
      <c r="K54" s="3">
        <v>63.243001122600042</v>
      </c>
      <c r="L54" s="3">
        <v>30.501926491040596</v>
      </c>
      <c r="N54" s="1">
        <f t="shared" si="0"/>
        <v>1583</v>
      </c>
      <c r="O54" s="1">
        <f t="shared" si="1"/>
        <v>1.7205703146097977</v>
      </c>
      <c r="P54" s="1" t="str">
        <f t="shared" si="3"/>
        <v xml:space="preserve"> </v>
      </c>
      <c r="R54" s="1">
        <f t="shared" si="2"/>
        <v>1.0869048102399228E-3</v>
      </c>
    </row>
    <row r="55" spans="1:18" x14ac:dyDescent="0.3">
      <c r="A55" s="2">
        <v>45870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8D7E-1F30-4766-BEA1-AF2893C3D546}">
  <dimension ref="A1:R67"/>
  <sheetViews>
    <sheetView workbookViewId="0">
      <selection activeCell="J62" sqref="J62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17" width="8.77734375" style="1"/>
    <col min="18" max="18" width="12" style="1" bestFit="1" customWidth="1"/>
    <col min="19" max="16384" width="8.77734375" style="1"/>
  </cols>
  <sheetData>
    <row r="1" spans="1:1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</row>
    <row r="2" spans="1:18" x14ac:dyDescent="0.3">
      <c r="A2" s="4">
        <v>43862</v>
      </c>
      <c r="B2" s="5">
        <v>602.04696365517248</v>
      </c>
      <c r="C2" s="5">
        <v>592.9343448275863</v>
      </c>
      <c r="D2" s="5">
        <v>9.112618827586207</v>
      </c>
      <c r="E2" s="5">
        <v>213.65517241379311</v>
      </c>
      <c r="F2" s="5">
        <v>0</v>
      </c>
      <c r="G2" s="5">
        <v>17195.096000000001</v>
      </c>
      <c r="H2" s="9">
        <v>2.301798497E-3</v>
      </c>
      <c r="I2" s="5">
        <v>6196</v>
      </c>
      <c r="J2" s="5">
        <v>264.26594599999999</v>
      </c>
      <c r="K2" s="5">
        <v>1.5136059772249821</v>
      </c>
      <c r="L2" s="5">
        <v>2.266436942253768</v>
      </c>
      <c r="N2" s="1">
        <f>A2 -$A$2</f>
        <v>0</v>
      </c>
      <c r="O2" s="1">
        <f>D2/C2</f>
        <v>1.5368681047200898E-2</v>
      </c>
      <c r="P2" s="1" t="str">
        <f>IF(OR(N4&lt;=0, N2&lt;=0)," ", (O4 - O2) / (LN(N4) - LN(N2)))</f>
        <v xml:space="preserve"> </v>
      </c>
      <c r="R2" s="1">
        <f>(O3-O2) / (N3-N2)</f>
        <v>9.7922057095163533E-5</v>
      </c>
    </row>
    <row r="3" spans="1:18" x14ac:dyDescent="0.3">
      <c r="A3" s="2">
        <v>43891</v>
      </c>
      <c r="B3" s="3">
        <v>995.68351548387091</v>
      </c>
      <c r="C3" s="3">
        <v>977.87790322580645</v>
      </c>
      <c r="D3" s="3">
        <v>17.805612258064517</v>
      </c>
      <c r="E3" s="3">
        <v>396.96774193548384</v>
      </c>
      <c r="F3" s="3">
        <v>0</v>
      </c>
      <c r="G3" s="3">
        <v>30314.215</v>
      </c>
      <c r="H3" s="10">
        <v>4.0579717890000004E-3</v>
      </c>
      <c r="I3" s="3">
        <v>12306</v>
      </c>
      <c r="J3" s="3">
        <v>551.97397999999998</v>
      </c>
      <c r="K3" s="3">
        <v>1.7882803100753903</v>
      </c>
      <c r="L3" s="3">
        <v>2.55333277803829</v>
      </c>
      <c r="N3" s="1">
        <f t="shared" ref="N3:N66" si="0">A3 -$A$2</f>
        <v>29</v>
      </c>
      <c r="O3" s="1">
        <f t="shared" ref="O3:O66" si="1">D3/C3</f>
        <v>1.8208420702960641E-2</v>
      </c>
      <c r="P3" s="1">
        <f t="shared" ref="P3:P15" si="2">IF(OR(N5&lt;=0, N3&lt;=0)," ", (O5 - O3) / (LN(N5) - LN(N3)))</f>
        <v>0.14551239357926452</v>
      </c>
      <c r="R3" s="1">
        <f t="shared" ref="R3:R15" si="3">(O4-O3) / (N4-N3)</f>
        <v>6.0738270755529698E-5</v>
      </c>
    </row>
    <row r="4" spans="1:18" x14ac:dyDescent="0.3">
      <c r="A4" s="2">
        <v>43922</v>
      </c>
      <c r="B4" s="3">
        <v>993.78702863333331</v>
      </c>
      <c r="C4" s="3">
        <v>974.21379999999999</v>
      </c>
      <c r="D4" s="3">
        <v>19.573228633333333</v>
      </c>
      <c r="E4" s="3">
        <v>394.1</v>
      </c>
      <c r="F4" s="3">
        <v>0</v>
      </c>
      <c r="G4" s="3">
        <v>29226.414000000001</v>
      </c>
      <c r="H4" s="10">
        <v>3.9123547609999998E-3</v>
      </c>
      <c r="I4" s="3">
        <v>11823</v>
      </c>
      <c r="J4" s="3">
        <v>587.19685900000002</v>
      </c>
      <c r="K4" s="3">
        <v>1.9695596812378049</v>
      </c>
      <c r="L4" s="3">
        <v>2.5444211321991128</v>
      </c>
      <c r="N4" s="1">
        <f t="shared" si="0"/>
        <v>60</v>
      </c>
      <c r="O4" s="1">
        <f t="shared" si="1"/>
        <v>2.0091307096382061E-2</v>
      </c>
      <c r="P4" s="1">
        <f t="shared" si="2"/>
        <v>0.70517289838974961</v>
      </c>
      <c r="R4" s="1">
        <f t="shared" si="3"/>
        <v>5.4303971092216205E-3</v>
      </c>
    </row>
    <row r="5" spans="1:18" x14ac:dyDescent="0.3">
      <c r="A5" s="2">
        <v>43952</v>
      </c>
      <c r="B5" s="3">
        <v>1064.2122191290323</v>
      </c>
      <c r="C5" s="3">
        <v>899.5852258064516</v>
      </c>
      <c r="D5" s="3">
        <v>164.62699332258063</v>
      </c>
      <c r="E5" s="3">
        <v>4441.2903225806449</v>
      </c>
      <c r="F5" s="3">
        <v>0</v>
      </c>
      <c r="G5" s="3">
        <v>27887.142</v>
      </c>
      <c r="H5" s="10">
        <v>3.7330749119999997E-3</v>
      </c>
      <c r="I5" s="3">
        <v>137680</v>
      </c>
      <c r="J5" s="3">
        <v>5103.4367929999999</v>
      </c>
      <c r="K5" s="3">
        <v>15.46937634838603</v>
      </c>
      <c r="L5" s="3">
        <v>31.053008730690291</v>
      </c>
      <c r="N5" s="1">
        <f t="shared" si="0"/>
        <v>90</v>
      </c>
      <c r="O5" s="1">
        <f t="shared" si="1"/>
        <v>0.18300322037303068</v>
      </c>
      <c r="P5" s="1">
        <f t="shared" si="2"/>
        <v>2.0435735525717598</v>
      </c>
      <c r="R5" s="1">
        <f t="shared" si="3"/>
        <v>1.0700928512370809E-2</v>
      </c>
    </row>
    <row r="6" spans="1:18" x14ac:dyDescent="0.3">
      <c r="A6" s="2">
        <v>43983</v>
      </c>
      <c r="B6" s="3">
        <v>1286.8412305999998</v>
      </c>
      <c r="C6" s="3">
        <v>849.55043333333333</v>
      </c>
      <c r="D6" s="3">
        <v>437.29079726666663</v>
      </c>
      <c r="E6" s="3">
        <v>9289.8666666666668</v>
      </c>
      <c r="F6" s="3">
        <v>0</v>
      </c>
      <c r="G6" s="3">
        <v>25486.512999999999</v>
      </c>
      <c r="H6" s="10">
        <v>3.4117179249999996E-3</v>
      </c>
      <c r="I6" s="3">
        <v>278696</v>
      </c>
      <c r="J6" s="3">
        <v>13118.723918</v>
      </c>
      <c r="K6" s="3">
        <v>33.981721044388394</v>
      </c>
      <c r="L6" s="3">
        <v>68.779204938706215</v>
      </c>
      <c r="N6" s="1">
        <f t="shared" si="0"/>
        <v>121</v>
      </c>
      <c r="O6" s="1">
        <f t="shared" si="1"/>
        <v>0.51473200425652577</v>
      </c>
      <c r="P6" s="1">
        <f t="shared" si="2"/>
        <v>2.7644165726223191</v>
      </c>
      <c r="R6" s="1">
        <f t="shared" si="3"/>
        <v>2.4191985419648673E-2</v>
      </c>
    </row>
    <row r="7" spans="1:18" x14ac:dyDescent="0.3">
      <c r="A7" s="2">
        <v>44013</v>
      </c>
      <c r="B7" s="3">
        <v>1370.1013428493031</v>
      </c>
      <c r="C7" s="3">
        <v>611.5181878493031</v>
      </c>
      <c r="D7" s="3">
        <v>758.58315500000003</v>
      </c>
      <c r="E7" s="3">
        <v>9094.2258064516136</v>
      </c>
      <c r="F7" s="3">
        <v>0</v>
      </c>
      <c r="G7" s="3">
        <v>18957.063823328397</v>
      </c>
      <c r="H7" s="10">
        <v>2.5389409139999998E-3</v>
      </c>
      <c r="I7" s="3">
        <v>281921</v>
      </c>
      <c r="J7" s="3">
        <v>23516.077805000001</v>
      </c>
      <c r="K7" s="3">
        <v>55.3669375597011</v>
      </c>
      <c r="L7" s="3">
        <v>93.539100903267652</v>
      </c>
      <c r="N7" s="1">
        <f t="shared" si="0"/>
        <v>151</v>
      </c>
      <c r="O7" s="1">
        <f t="shared" si="1"/>
        <v>1.2404915668459859</v>
      </c>
      <c r="P7" s="1">
        <f t="shared" si="2"/>
        <v>5.6917388737296317</v>
      </c>
      <c r="R7" s="1">
        <f t="shared" si="3"/>
        <v>1.2990964649352834E-2</v>
      </c>
    </row>
    <row r="8" spans="1:18" x14ac:dyDescent="0.3">
      <c r="A8" s="2">
        <v>44044</v>
      </c>
      <c r="B8" s="3">
        <v>1349.9263821612903</v>
      </c>
      <c r="C8" s="3">
        <v>510.71448387096774</v>
      </c>
      <c r="D8" s="3">
        <v>839.21189829032255</v>
      </c>
      <c r="E8" s="3">
        <v>9708.645161290322</v>
      </c>
      <c r="F8" s="3">
        <v>0</v>
      </c>
      <c r="G8" s="3">
        <v>15832.148999999999</v>
      </c>
      <c r="H8" s="10">
        <v>2.11934942E-3</v>
      </c>
      <c r="I8" s="3">
        <v>300968</v>
      </c>
      <c r="J8" s="3">
        <v>26015.568846999999</v>
      </c>
      <c r="K8" s="3">
        <v>62.167234404790882</v>
      </c>
      <c r="L8" s="3">
        <v>119.56864013849288</v>
      </c>
      <c r="N8" s="1">
        <f t="shared" si="0"/>
        <v>182</v>
      </c>
      <c r="O8" s="1">
        <f t="shared" si="1"/>
        <v>1.6432114709759238</v>
      </c>
      <c r="P8" s="1">
        <f t="shared" si="2"/>
        <v>8.6019389798377244</v>
      </c>
      <c r="R8" s="1">
        <f t="shared" si="3"/>
        <v>5.0171240041327669E-2</v>
      </c>
    </row>
    <row r="9" spans="1:18" x14ac:dyDescent="0.3">
      <c r="A9" s="2">
        <v>44075</v>
      </c>
      <c r="B9" s="3">
        <v>1373.1743602333333</v>
      </c>
      <c r="C9" s="3">
        <v>327.06153333333333</v>
      </c>
      <c r="D9" s="3">
        <v>1046.1128268999998</v>
      </c>
      <c r="E9" s="3">
        <v>9674.7999999999993</v>
      </c>
      <c r="F9" s="3">
        <v>0</v>
      </c>
      <c r="G9" s="3">
        <v>9811.8459999999995</v>
      </c>
      <c r="H9" s="10">
        <v>1.3134496209999999E-3</v>
      </c>
      <c r="I9" s="3">
        <v>290244</v>
      </c>
      <c r="J9" s="3">
        <v>31383.384806999999</v>
      </c>
      <c r="K9" s="3">
        <v>76.182082712514514</v>
      </c>
      <c r="L9" s="3">
        <v>186.05843499785871</v>
      </c>
      <c r="N9" s="1">
        <f t="shared" si="0"/>
        <v>213</v>
      </c>
      <c r="O9" s="1">
        <f t="shared" si="1"/>
        <v>3.1985199122570815</v>
      </c>
      <c r="P9" s="1">
        <f t="shared" si="2"/>
        <v>4.3125668658713829</v>
      </c>
      <c r="R9" s="1">
        <f t="shared" si="3"/>
        <v>3.1037431131050428E-2</v>
      </c>
    </row>
    <row r="10" spans="1:18" x14ac:dyDescent="0.3">
      <c r="A10" s="2">
        <v>44105</v>
      </c>
      <c r="B10" s="3">
        <v>1504.1009685161289</v>
      </c>
      <c r="C10" s="3">
        <v>293.21748387096773</v>
      </c>
      <c r="D10" s="3">
        <v>1210.8834846451614</v>
      </c>
      <c r="E10" s="3">
        <v>9960.7741935483864</v>
      </c>
      <c r="F10" s="3">
        <v>0</v>
      </c>
      <c r="G10" s="3">
        <v>9089.7420000000002</v>
      </c>
      <c r="H10" s="10">
        <v>1.216786136E-3</v>
      </c>
      <c r="I10" s="3">
        <v>308784</v>
      </c>
      <c r="J10" s="3">
        <v>37537.388024</v>
      </c>
      <c r="K10" s="3">
        <v>80.505465390382568</v>
      </c>
      <c r="L10" s="3">
        <v>213.66828708669618</v>
      </c>
      <c r="N10" s="1">
        <f t="shared" si="0"/>
        <v>243</v>
      </c>
      <c r="O10" s="1">
        <f t="shared" si="1"/>
        <v>4.1296428461885943</v>
      </c>
      <c r="P10" s="1">
        <f t="shared" si="2"/>
        <v>0.7528337557362631</v>
      </c>
      <c r="R10" s="1">
        <f t="shared" si="3"/>
        <v>4.9979483701536381E-3</v>
      </c>
    </row>
    <row r="11" spans="1:18" x14ac:dyDescent="0.3">
      <c r="A11" s="2">
        <v>44136</v>
      </c>
      <c r="B11" s="3">
        <v>1272.3473589666669</v>
      </c>
      <c r="C11" s="3">
        <v>240.76606666666666</v>
      </c>
      <c r="D11" s="3">
        <v>1031.5812923000001</v>
      </c>
      <c r="E11" s="3">
        <v>10897.766666666666</v>
      </c>
      <c r="F11" s="3">
        <v>0</v>
      </c>
      <c r="G11" s="3">
        <v>7222.982</v>
      </c>
      <c r="H11" s="10">
        <v>9.6689481199999994E-4</v>
      </c>
      <c r="I11" s="3">
        <v>326933</v>
      </c>
      <c r="J11" s="3">
        <v>30947.438769</v>
      </c>
      <c r="K11" s="3">
        <v>81.077017610803679</v>
      </c>
      <c r="L11" s="3">
        <v>284.69449091801698</v>
      </c>
      <c r="N11" s="1">
        <f t="shared" si="0"/>
        <v>274</v>
      </c>
      <c r="O11" s="1">
        <f t="shared" si="1"/>
        <v>4.2845792456633571</v>
      </c>
      <c r="P11" s="1">
        <f t="shared" si="2"/>
        <v>-4.0584093584381904</v>
      </c>
      <c r="R11" s="1">
        <f t="shared" si="3"/>
        <v>4.5576532476718039E-4</v>
      </c>
    </row>
    <row r="12" spans="1:18" x14ac:dyDescent="0.3">
      <c r="A12" s="2">
        <v>44166</v>
      </c>
      <c r="B12" s="3">
        <v>1086.9858333225807</v>
      </c>
      <c r="C12" s="3">
        <v>205.15932258064518</v>
      </c>
      <c r="D12" s="3">
        <v>881.82651074193552</v>
      </c>
      <c r="E12" s="3">
        <v>7396.8387096774195</v>
      </c>
      <c r="F12" s="3">
        <v>0</v>
      </c>
      <c r="G12" s="3">
        <v>6359.9390000000003</v>
      </c>
      <c r="H12" s="10">
        <v>8.5136471400000004E-4</v>
      </c>
      <c r="I12" s="3">
        <v>229302</v>
      </c>
      <c r="J12" s="3">
        <v>27336.621833000001</v>
      </c>
      <c r="K12" s="3">
        <v>81.125851295270664</v>
      </c>
      <c r="L12" s="3">
        <v>226.77320012031558</v>
      </c>
      <c r="N12" s="1">
        <f t="shared" si="0"/>
        <v>304</v>
      </c>
      <c r="O12" s="1">
        <f t="shared" si="1"/>
        <v>4.2982522054063725</v>
      </c>
      <c r="P12" s="1">
        <f t="shared" si="2"/>
        <v>-12.486223460093161</v>
      </c>
      <c r="R12" s="1">
        <f t="shared" si="3"/>
        <v>-2.6755583361461086E-2</v>
      </c>
    </row>
    <row r="13" spans="1:18" x14ac:dyDescent="0.3">
      <c r="A13" s="2">
        <v>44197</v>
      </c>
      <c r="B13" s="3">
        <v>936.82342529032269</v>
      </c>
      <c r="C13" s="3">
        <v>209.63509677419356</v>
      </c>
      <c r="D13" s="3">
        <v>727.18832851612899</v>
      </c>
      <c r="E13" s="3">
        <v>7845.5483870967746</v>
      </c>
      <c r="F13" s="3">
        <v>0</v>
      </c>
      <c r="G13" s="3">
        <v>6498.6880000000001</v>
      </c>
      <c r="H13" s="10">
        <v>8.69938165E-4</v>
      </c>
      <c r="I13" s="3">
        <v>243212</v>
      </c>
      <c r="J13" s="3">
        <v>22542.838184</v>
      </c>
      <c r="K13" s="3">
        <v>77.622773821093617</v>
      </c>
      <c r="L13" s="3">
        <v>235.39441154891571</v>
      </c>
      <c r="N13" s="1">
        <f t="shared" si="0"/>
        <v>335</v>
      </c>
      <c r="O13" s="1">
        <f t="shared" si="1"/>
        <v>3.4688291212010789</v>
      </c>
      <c r="P13" s="1">
        <f t="shared" si="2"/>
        <v>-6.3803998134894062</v>
      </c>
      <c r="R13" s="1">
        <f t="shared" si="3"/>
        <v>-4.8002913301222305E-2</v>
      </c>
    </row>
    <row r="14" spans="1:18" x14ac:dyDescent="0.3">
      <c r="A14" s="2">
        <v>44228</v>
      </c>
      <c r="B14" s="3">
        <v>565.95894557142856</v>
      </c>
      <c r="C14" s="3">
        <v>189.87203571428572</v>
      </c>
      <c r="D14" s="3">
        <v>376.08690985714287</v>
      </c>
      <c r="E14" s="3">
        <v>8735.1428571428569</v>
      </c>
      <c r="F14" s="3">
        <v>0</v>
      </c>
      <c r="G14" s="3">
        <v>5316.4170000000004</v>
      </c>
      <c r="H14" s="10">
        <v>7.1167503999999989E-4</v>
      </c>
      <c r="I14" s="3">
        <v>244584</v>
      </c>
      <c r="J14" s="3">
        <v>10530.433476</v>
      </c>
      <c r="K14" s="3">
        <v>66.45127050291984</v>
      </c>
      <c r="L14" s="3">
        <v>289.36489428876627</v>
      </c>
      <c r="N14" s="1">
        <f t="shared" si="0"/>
        <v>366</v>
      </c>
      <c r="O14" s="1">
        <f t="shared" si="1"/>
        <v>1.9807388088631874</v>
      </c>
      <c r="P14" s="1" t="e">
        <f t="shared" si="2"/>
        <v>#DIV/0!</v>
      </c>
      <c r="R14" s="1">
        <f t="shared" si="3"/>
        <v>1.6180694505922338E-2</v>
      </c>
    </row>
    <row r="15" spans="1:18" x14ac:dyDescent="0.3">
      <c r="A15" s="2">
        <v>44256</v>
      </c>
      <c r="B15" s="3">
        <v>186.48637096774195</v>
      </c>
      <c r="C15" s="3">
        <v>54.309064516129027</v>
      </c>
      <c r="D15" s="3">
        <v>132.17730645161291</v>
      </c>
      <c r="E15" s="3">
        <v>2207.9354838709678</v>
      </c>
      <c r="F15" s="3">
        <v>0</v>
      </c>
      <c r="G15" s="3">
        <v>1683.5809999999999</v>
      </c>
      <c r="H15" s="10">
        <v>2.25370316E-4</v>
      </c>
      <c r="I15" s="3">
        <v>68446</v>
      </c>
      <c r="J15" s="3">
        <v>4097.4965000000002</v>
      </c>
      <c r="K15" s="3">
        <v>70.877729973348394</v>
      </c>
      <c r="L15" s="3">
        <v>255.71187296601707</v>
      </c>
      <c r="N15" s="1">
        <f t="shared" si="0"/>
        <v>394</v>
      </c>
      <c r="O15" s="1">
        <f t="shared" si="1"/>
        <v>2.4337982550290129</v>
      </c>
      <c r="P15" s="1" t="e">
        <f t="shared" si="2"/>
        <v>#DIV/0!</v>
      </c>
      <c r="R15" s="1" t="e">
        <f t="shared" si="3"/>
        <v>#DIV/0!</v>
      </c>
    </row>
    <row r="16" spans="1:18" x14ac:dyDescent="0.3">
      <c r="A16" s="2">
        <v>44287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10">
        <v>0</v>
      </c>
      <c r="I16" s="3">
        <v>0</v>
      </c>
      <c r="J16" s="3">
        <v>0</v>
      </c>
      <c r="K16" s="3">
        <v>0</v>
      </c>
      <c r="L16" s="3" t="e">
        <v>#DIV/0!</v>
      </c>
      <c r="N16" s="1">
        <f t="shared" si="0"/>
        <v>425</v>
      </c>
      <c r="O16" s="1" t="e">
        <f t="shared" si="1"/>
        <v>#DIV/0!</v>
      </c>
    </row>
    <row r="17" spans="1:15" x14ac:dyDescent="0.3">
      <c r="A17" s="2">
        <v>44317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10">
        <v>0</v>
      </c>
      <c r="I17" s="3">
        <v>0</v>
      </c>
      <c r="J17" s="3">
        <v>0</v>
      </c>
      <c r="K17" s="3">
        <v>0</v>
      </c>
      <c r="L17" s="3" t="e">
        <v>#DIV/0!</v>
      </c>
      <c r="N17" s="1">
        <f t="shared" si="0"/>
        <v>455</v>
      </c>
      <c r="O17" s="1" t="e">
        <f t="shared" si="1"/>
        <v>#DIV/0!</v>
      </c>
    </row>
    <row r="18" spans="1:15" x14ac:dyDescent="0.3">
      <c r="A18" s="2">
        <v>44348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10">
        <v>0</v>
      </c>
      <c r="I18" s="3">
        <v>0</v>
      </c>
      <c r="J18" s="3">
        <v>0</v>
      </c>
      <c r="K18" s="3">
        <v>0</v>
      </c>
      <c r="L18" s="3" t="e">
        <v>#DIV/0!</v>
      </c>
      <c r="N18" s="1">
        <f t="shared" si="0"/>
        <v>486</v>
      </c>
      <c r="O18" s="1" t="e">
        <f t="shared" si="1"/>
        <v>#DIV/0!</v>
      </c>
    </row>
    <row r="19" spans="1:15" x14ac:dyDescent="0.3">
      <c r="A19" s="2">
        <v>44378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10">
        <v>0</v>
      </c>
      <c r="I19" s="3">
        <v>0</v>
      </c>
      <c r="J19" s="3">
        <v>0</v>
      </c>
      <c r="K19" s="3">
        <v>0</v>
      </c>
      <c r="L19" s="3" t="e">
        <v>#DIV/0!</v>
      </c>
      <c r="N19" s="1">
        <f t="shared" si="0"/>
        <v>516</v>
      </c>
      <c r="O19" s="1" t="e">
        <f t="shared" si="1"/>
        <v>#DIV/0!</v>
      </c>
    </row>
    <row r="20" spans="1:15" x14ac:dyDescent="0.3">
      <c r="A20" s="2">
        <v>44409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10">
        <v>0</v>
      </c>
      <c r="I20" s="3">
        <v>0</v>
      </c>
      <c r="J20" s="3">
        <v>0</v>
      </c>
      <c r="K20" s="3">
        <v>0</v>
      </c>
      <c r="L20" s="3" t="e">
        <v>#DIV/0!</v>
      </c>
      <c r="N20" s="1">
        <f t="shared" si="0"/>
        <v>547</v>
      </c>
      <c r="O20" s="1" t="e">
        <f t="shared" si="1"/>
        <v>#DIV/0!</v>
      </c>
    </row>
    <row r="21" spans="1:15" x14ac:dyDescent="0.3">
      <c r="A21" s="2">
        <v>44440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10">
        <v>0</v>
      </c>
      <c r="I21" s="3">
        <v>0</v>
      </c>
      <c r="J21" s="3">
        <v>0</v>
      </c>
      <c r="K21" s="3">
        <v>0</v>
      </c>
      <c r="L21" s="3" t="e">
        <v>#DIV/0!</v>
      </c>
      <c r="N21" s="1">
        <f t="shared" si="0"/>
        <v>578</v>
      </c>
      <c r="O21" s="1" t="e">
        <f t="shared" si="1"/>
        <v>#DIV/0!</v>
      </c>
    </row>
    <row r="22" spans="1:15" x14ac:dyDescent="0.3">
      <c r="A22" s="2">
        <v>44470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10">
        <v>0</v>
      </c>
      <c r="I22" s="3">
        <v>0</v>
      </c>
      <c r="J22" s="3">
        <v>0</v>
      </c>
      <c r="K22" s="3">
        <v>0</v>
      </c>
      <c r="L22" s="3" t="e">
        <v>#DIV/0!</v>
      </c>
      <c r="N22" s="1">
        <f t="shared" si="0"/>
        <v>608</v>
      </c>
      <c r="O22" s="1" t="e">
        <f t="shared" si="1"/>
        <v>#DIV/0!</v>
      </c>
    </row>
    <row r="23" spans="1:15" x14ac:dyDescent="0.3">
      <c r="A23" s="2">
        <v>44501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10">
        <v>0</v>
      </c>
      <c r="I23" s="3">
        <v>0</v>
      </c>
      <c r="J23" s="3">
        <v>0</v>
      </c>
      <c r="K23" s="3">
        <v>0</v>
      </c>
      <c r="L23" s="3" t="e">
        <v>#DIV/0!</v>
      </c>
      <c r="N23" s="1">
        <f t="shared" si="0"/>
        <v>639</v>
      </c>
      <c r="O23" s="1" t="e">
        <f t="shared" si="1"/>
        <v>#DIV/0!</v>
      </c>
    </row>
    <row r="24" spans="1:15" x14ac:dyDescent="0.3">
      <c r="A24" s="2">
        <v>44531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10">
        <v>0</v>
      </c>
      <c r="I24" s="3">
        <v>0</v>
      </c>
      <c r="J24" s="3">
        <v>0</v>
      </c>
      <c r="K24" s="3">
        <v>0</v>
      </c>
      <c r="L24" s="3" t="e">
        <v>#DIV/0!</v>
      </c>
      <c r="N24" s="1">
        <f t="shared" si="0"/>
        <v>669</v>
      </c>
      <c r="O24" s="1" t="e">
        <f t="shared" si="1"/>
        <v>#DIV/0!</v>
      </c>
    </row>
    <row r="25" spans="1:15" x14ac:dyDescent="0.3">
      <c r="A25" s="2">
        <v>44562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10">
        <v>0</v>
      </c>
      <c r="I25" s="3">
        <v>0</v>
      </c>
      <c r="J25" s="3">
        <v>0</v>
      </c>
      <c r="K25" s="3">
        <v>0</v>
      </c>
      <c r="L25" s="3" t="e">
        <v>#DIV/0!</v>
      </c>
      <c r="N25" s="1">
        <f t="shared" si="0"/>
        <v>700</v>
      </c>
      <c r="O25" s="1" t="e">
        <f t="shared" si="1"/>
        <v>#DIV/0!</v>
      </c>
    </row>
    <row r="26" spans="1:15" x14ac:dyDescent="0.3">
      <c r="A26" s="2">
        <v>44593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10">
        <v>0</v>
      </c>
      <c r="I26" s="3">
        <v>0</v>
      </c>
      <c r="J26" s="3">
        <v>0</v>
      </c>
      <c r="K26" s="3">
        <v>0</v>
      </c>
      <c r="L26" s="3" t="e">
        <v>#DIV/0!</v>
      </c>
      <c r="N26" s="1">
        <f t="shared" si="0"/>
        <v>731</v>
      </c>
      <c r="O26" s="1" t="e">
        <f t="shared" si="1"/>
        <v>#DIV/0!</v>
      </c>
    </row>
    <row r="27" spans="1:15" x14ac:dyDescent="0.3">
      <c r="A27" s="2">
        <v>44621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10">
        <v>0</v>
      </c>
      <c r="I27" s="3">
        <v>0</v>
      </c>
      <c r="J27" s="3">
        <v>0</v>
      </c>
      <c r="K27" s="3">
        <v>0</v>
      </c>
      <c r="L27" s="3" t="e">
        <v>#DIV/0!</v>
      </c>
      <c r="N27" s="1">
        <f t="shared" si="0"/>
        <v>759</v>
      </c>
      <c r="O27" s="1" t="e">
        <f t="shared" si="1"/>
        <v>#DIV/0!</v>
      </c>
    </row>
    <row r="28" spans="1:15" x14ac:dyDescent="0.3">
      <c r="A28" s="2">
        <v>44652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10">
        <v>0</v>
      </c>
      <c r="I28" s="3">
        <v>0</v>
      </c>
      <c r="J28" s="3">
        <v>0</v>
      </c>
      <c r="K28" s="3">
        <v>0</v>
      </c>
      <c r="L28" s="3" t="e">
        <v>#DIV/0!</v>
      </c>
      <c r="N28" s="1">
        <f t="shared" si="0"/>
        <v>790</v>
      </c>
      <c r="O28" s="1" t="e">
        <f t="shared" si="1"/>
        <v>#DIV/0!</v>
      </c>
    </row>
    <row r="29" spans="1:15" x14ac:dyDescent="0.3">
      <c r="A29" s="2">
        <v>44682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10">
        <v>0</v>
      </c>
      <c r="I29" s="3">
        <v>0</v>
      </c>
      <c r="J29" s="3">
        <v>0</v>
      </c>
      <c r="K29" s="3">
        <v>0</v>
      </c>
      <c r="L29" s="3" t="e">
        <v>#DIV/0!</v>
      </c>
      <c r="N29" s="1">
        <f t="shared" si="0"/>
        <v>820</v>
      </c>
      <c r="O29" s="1" t="e">
        <f t="shared" si="1"/>
        <v>#DIV/0!</v>
      </c>
    </row>
    <row r="30" spans="1:15" x14ac:dyDescent="0.3">
      <c r="A30" s="2">
        <v>44713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10">
        <v>0</v>
      </c>
      <c r="I30" s="3">
        <v>0</v>
      </c>
      <c r="J30" s="3">
        <v>0</v>
      </c>
      <c r="K30" s="3">
        <v>0</v>
      </c>
      <c r="L30" s="3" t="e">
        <v>#DIV/0!</v>
      </c>
      <c r="N30" s="1">
        <f t="shared" si="0"/>
        <v>851</v>
      </c>
      <c r="O30" s="1" t="e">
        <f t="shared" si="1"/>
        <v>#DIV/0!</v>
      </c>
    </row>
    <row r="31" spans="1:15" x14ac:dyDescent="0.3">
      <c r="A31" s="2">
        <v>44743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10">
        <v>0</v>
      </c>
      <c r="I31" s="3">
        <v>0</v>
      </c>
      <c r="J31" s="3">
        <v>0</v>
      </c>
      <c r="K31" s="3">
        <v>0</v>
      </c>
      <c r="L31" s="3" t="e">
        <v>#DIV/0!</v>
      </c>
      <c r="N31" s="1">
        <f t="shared" si="0"/>
        <v>881</v>
      </c>
      <c r="O31" s="1" t="e">
        <f t="shared" si="1"/>
        <v>#DIV/0!</v>
      </c>
    </row>
    <row r="32" spans="1:15" x14ac:dyDescent="0.3">
      <c r="A32" s="2">
        <v>44774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10">
        <v>0</v>
      </c>
      <c r="I32" s="3">
        <v>0</v>
      </c>
      <c r="J32" s="3">
        <v>0</v>
      </c>
      <c r="K32" s="3">
        <v>0</v>
      </c>
      <c r="L32" s="3" t="e">
        <v>#DIV/0!</v>
      </c>
      <c r="N32" s="1">
        <f t="shared" si="0"/>
        <v>912</v>
      </c>
      <c r="O32" s="1" t="e">
        <f t="shared" si="1"/>
        <v>#DIV/0!</v>
      </c>
    </row>
    <row r="33" spans="1:15" x14ac:dyDescent="0.3">
      <c r="A33" s="2">
        <v>44805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10">
        <v>0</v>
      </c>
      <c r="I33" s="3">
        <v>0</v>
      </c>
      <c r="J33" s="3">
        <v>0</v>
      </c>
      <c r="K33" s="3">
        <v>0</v>
      </c>
      <c r="L33" s="3" t="e">
        <v>#DIV/0!</v>
      </c>
      <c r="N33" s="1">
        <f t="shared" si="0"/>
        <v>943</v>
      </c>
      <c r="O33" s="1" t="e">
        <f t="shared" si="1"/>
        <v>#DIV/0!</v>
      </c>
    </row>
    <row r="34" spans="1:15" x14ac:dyDescent="0.3">
      <c r="A34" s="2">
        <v>44835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10">
        <v>0</v>
      </c>
      <c r="I34" s="3">
        <v>0</v>
      </c>
      <c r="J34" s="3">
        <v>0</v>
      </c>
      <c r="K34" s="3">
        <v>0</v>
      </c>
      <c r="L34" s="3" t="e">
        <v>#DIV/0!</v>
      </c>
      <c r="N34" s="1">
        <f t="shared" si="0"/>
        <v>973</v>
      </c>
      <c r="O34" s="1" t="e">
        <f t="shared" si="1"/>
        <v>#DIV/0!</v>
      </c>
    </row>
    <row r="35" spans="1:15" x14ac:dyDescent="0.3">
      <c r="A35" s="2">
        <v>44866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10">
        <v>0</v>
      </c>
      <c r="I35" s="3">
        <v>0</v>
      </c>
      <c r="J35" s="3">
        <v>0</v>
      </c>
      <c r="K35" s="3">
        <v>0</v>
      </c>
      <c r="L35" s="3" t="e">
        <v>#DIV/0!</v>
      </c>
      <c r="N35" s="1">
        <f t="shared" si="0"/>
        <v>1004</v>
      </c>
      <c r="O35" s="1" t="e">
        <f t="shared" si="1"/>
        <v>#DIV/0!</v>
      </c>
    </row>
    <row r="36" spans="1:15" x14ac:dyDescent="0.3">
      <c r="A36" s="2">
        <v>44896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10">
        <v>0</v>
      </c>
      <c r="I36" s="3">
        <v>0</v>
      </c>
      <c r="J36" s="3">
        <v>0</v>
      </c>
      <c r="K36" s="3">
        <v>0</v>
      </c>
      <c r="L36" s="3" t="e">
        <v>#DIV/0!</v>
      </c>
      <c r="N36" s="1">
        <f t="shared" si="0"/>
        <v>1034</v>
      </c>
      <c r="O36" s="1" t="e">
        <f t="shared" si="1"/>
        <v>#DIV/0!</v>
      </c>
    </row>
    <row r="37" spans="1:15" x14ac:dyDescent="0.3">
      <c r="A37" s="2">
        <v>44927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10">
        <v>0</v>
      </c>
      <c r="I37" s="3">
        <v>0</v>
      </c>
      <c r="J37" s="3">
        <v>0</v>
      </c>
      <c r="K37" s="3">
        <v>0</v>
      </c>
      <c r="L37" s="3" t="e">
        <v>#DIV/0!</v>
      </c>
      <c r="N37" s="1">
        <f t="shared" si="0"/>
        <v>1065</v>
      </c>
      <c r="O37" s="1" t="e">
        <f t="shared" si="1"/>
        <v>#DIV/0!</v>
      </c>
    </row>
    <row r="38" spans="1:15" x14ac:dyDescent="0.3">
      <c r="A38" s="2">
        <v>44958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10">
        <v>0</v>
      </c>
      <c r="I38" s="3">
        <v>0</v>
      </c>
      <c r="J38" s="3">
        <v>0</v>
      </c>
      <c r="K38" s="3">
        <v>0</v>
      </c>
      <c r="L38" s="3" t="e">
        <v>#DIV/0!</v>
      </c>
      <c r="N38" s="1">
        <f t="shared" si="0"/>
        <v>1096</v>
      </c>
      <c r="O38" s="1" t="e">
        <f t="shared" si="1"/>
        <v>#DIV/0!</v>
      </c>
    </row>
    <row r="39" spans="1:15" x14ac:dyDescent="0.3">
      <c r="A39" s="2">
        <v>44986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10">
        <v>0</v>
      </c>
      <c r="I39" s="3">
        <v>0</v>
      </c>
      <c r="J39" s="3">
        <v>0</v>
      </c>
      <c r="K39" s="3">
        <v>0</v>
      </c>
      <c r="L39" s="3" t="e">
        <v>#DIV/0!</v>
      </c>
      <c r="N39" s="1">
        <f t="shared" si="0"/>
        <v>1124</v>
      </c>
      <c r="O39" s="1" t="e">
        <f t="shared" si="1"/>
        <v>#DIV/0!</v>
      </c>
    </row>
    <row r="40" spans="1:15" x14ac:dyDescent="0.3">
      <c r="A40" s="2">
        <v>45017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10">
        <v>0</v>
      </c>
      <c r="I40" s="3">
        <v>0</v>
      </c>
      <c r="J40" s="3">
        <v>0</v>
      </c>
      <c r="K40" s="3">
        <v>0</v>
      </c>
      <c r="L40" s="3" t="e">
        <v>#DIV/0!</v>
      </c>
      <c r="N40" s="1">
        <f t="shared" si="0"/>
        <v>1155</v>
      </c>
      <c r="O40" s="1" t="e">
        <f t="shared" si="1"/>
        <v>#DIV/0!</v>
      </c>
    </row>
    <row r="41" spans="1:15" x14ac:dyDescent="0.3">
      <c r="A41" s="2">
        <v>45047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10">
        <v>0</v>
      </c>
      <c r="I41" s="3">
        <v>0</v>
      </c>
      <c r="J41" s="3">
        <v>0</v>
      </c>
      <c r="K41" s="3">
        <v>0</v>
      </c>
      <c r="L41" s="3" t="e">
        <v>#DIV/0!</v>
      </c>
      <c r="N41" s="1">
        <f t="shared" si="0"/>
        <v>1185</v>
      </c>
      <c r="O41" s="1" t="e">
        <f t="shared" si="1"/>
        <v>#DIV/0!</v>
      </c>
    </row>
    <row r="42" spans="1:15" x14ac:dyDescent="0.3">
      <c r="A42" s="2">
        <v>45078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10">
        <v>0</v>
      </c>
      <c r="I42" s="3">
        <v>0</v>
      </c>
      <c r="J42" s="3">
        <v>0</v>
      </c>
      <c r="K42" s="3">
        <v>0</v>
      </c>
      <c r="L42" s="3" t="e">
        <v>#DIV/0!</v>
      </c>
      <c r="N42" s="1">
        <f t="shared" si="0"/>
        <v>1216</v>
      </c>
      <c r="O42" s="1" t="e">
        <f t="shared" si="1"/>
        <v>#DIV/0!</v>
      </c>
    </row>
    <row r="43" spans="1:15" x14ac:dyDescent="0.3">
      <c r="A43" s="2">
        <v>45108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0">
        <v>0</v>
      </c>
      <c r="I43" s="1">
        <v>0</v>
      </c>
      <c r="J43" s="1">
        <v>0</v>
      </c>
      <c r="K43" s="3">
        <v>0</v>
      </c>
      <c r="L43" s="3" t="e">
        <v>#DIV/0!</v>
      </c>
      <c r="N43" s="1">
        <f t="shared" si="0"/>
        <v>1246</v>
      </c>
      <c r="O43" s="1" t="e">
        <f t="shared" si="1"/>
        <v>#DIV/0!</v>
      </c>
    </row>
    <row r="44" spans="1:15" x14ac:dyDescent="0.3">
      <c r="A44" s="2">
        <v>45139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0">
        <v>0</v>
      </c>
      <c r="I44" s="1">
        <v>0</v>
      </c>
      <c r="J44" s="1">
        <v>0</v>
      </c>
      <c r="K44" s="1">
        <v>0</v>
      </c>
      <c r="L44" s="1" t="e">
        <v>#DIV/0!</v>
      </c>
      <c r="N44" s="1">
        <f t="shared" si="0"/>
        <v>1277</v>
      </c>
      <c r="O44" s="1" t="e">
        <f t="shared" si="1"/>
        <v>#DIV/0!</v>
      </c>
    </row>
    <row r="45" spans="1:15" x14ac:dyDescent="0.3">
      <c r="A45" s="2">
        <v>45170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0">
        <v>0</v>
      </c>
      <c r="I45" s="1">
        <v>0</v>
      </c>
      <c r="J45" s="1">
        <v>0</v>
      </c>
      <c r="K45" s="1">
        <v>0</v>
      </c>
      <c r="L45" s="1" t="e">
        <v>#DIV/0!</v>
      </c>
      <c r="N45" s="1">
        <f t="shared" si="0"/>
        <v>1308</v>
      </c>
      <c r="O45" s="1" t="e">
        <f t="shared" si="1"/>
        <v>#DIV/0!</v>
      </c>
    </row>
    <row r="46" spans="1:15" x14ac:dyDescent="0.3">
      <c r="A46" s="2">
        <v>45200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0">
        <v>0</v>
      </c>
      <c r="I46" s="1">
        <v>0</v>
      </c>
      <c r="J46" s="1">
        <v>0</v>
      </c>
      <c r="K46" s="1">
        <v>0</v>
      </c>
      <c r="L46" s="1" t="e">
        <v>#DIV/0!</v>
      </c>
      <c r="N46" s="1">
        <f t="shared" si="0"/>
        <v>1338</v>
      </c>
      <c r="O46" s="1" t="e">
        <f t="shared" si="1"/>
        <v>#DIV/0!</v>
      </c>
    </row>
    <row r="47" spans="1:15" x14ac:dyDescent="0.3">
      <c r="A47" s="2">
        <v>45231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0">
        <v>0</v>
      </c>
      <c r="I47" s="1">
        <v>0</v>
      </c>
      <c r="J47" s="1">
        <v>0</v>
      </c>
      <c r="K47" s="1">
        <v>0</v>
      </c>
      <c r="L47" s="1" t="e">
        <v>#DIV/0!</v>
      </c>
      <c r="N47" s="1">
        <f t="shared" si="0"/>
        <v>1369</v>
      </c>
      <c r="O47" s="1" t="e">
        <f t="shared" si="1"/>
        <v>#DIV/0!</v>
      </c>
    </row>
    <row r="48" spans="1:15" x14ac:dyDescent="0.3">
      <c r="A48" s="2">
        <v>45261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0">
        <v>0</v>
      </c>
      <c r="I48" s="1">
        <v>0</v>
      </c>
      <c r="J48" s="1">
        <v>0</v>
      </c>
      <c r="K48" s="1">
        <v>0</v>
      </c>
      <c r="L48" s="1" t="e">
        <v>#DIV/0!</v>
      </c>
      <c r="N48" s="1">
        <f t="shared" si="0"/>
        <v>1399</v>
      </c>
      <c r="O48" s="1" t="e">
        <f t="shared" si="1"/>
        <v>#DIV/0!</v>
      </c>
    </row>
    <row r="49" spans="1:15" x14ac:dyDescent="0.3">
      <c r="A49" s="2">
        <v>45292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0">
        <v>0</v>
      </c>
      <c r="I49" s="1">
        <v>0</v>
      </c>
      <c r="J49" s="1">
        <v>0</v>
      </c>
      <c r="K49" s="1">
        <v>0</v>
      </c>
      <c r="L49" s="1" t="e">
        <v>#DIV/0!</v>
      </c>
      <c r="N49" s="1">
        <f t="shared" si="0"/>
        <v>1430</v>
      </c>
      <c r="O49" s="1" t="e">
        <f t="shared" si="1"/>
        <v>#DIV/0!</v>
      </c>
    </row>
    <row r="50" spans="1:15" x14ac:dyDescent="0.3">
      <c r="A50" s="2">
        <v>45323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0">
        <v>0</v>
      </c>
      <c r="I50" s="1">
        <v>0</v>
      </c>
      <c r="J50" s="1">
        <v>0</v>
      </c>
      <c r="K50" s="1">
        <v>0</v>
      </c>
      <c r="L50" s="1" t="e">
        <v>#DIV/0!</v>
      </c>
      <c r="N50" s="1">
        <f t="shared" si="0"/>
        <v>1461</v>
      </c>
      <c r="O50" s="1" t="e">
        <f t="shared" si="1"/>
        <v>#DIV/0!</v>
      </c>
    </row>
    <row r="51" spans="1:15" x14ac:dyDescent="0.3">
      <c r="A51" s="2">
        <v>45352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0">
        <v>0</v>
      </c>
      <c r="I51" s="1">
        <v>0</v>
      </c>
      <c r="J51" s="1">
        <v>0</v>
      </c>
      <c r="K51" s="1">
        <v>0</v>
      </c>
      <c r="L51" s="1" t="e">
        <v>#DIV/0!</v>
      </c>
      <c r="N51" s="1">
        <f t="shared" si="0"/>
        <v>1490</v>
      </c>
      <c r="O51" s="1" t="e">
        <f t="shared" si="1"/>
        <v>#DIV/0!</v>
      </c>
    </row>
    <row r="52" spans="1:15" x14ac:dyDescent="0.3">
      <c r="A52" s="2">
        <v>45383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0">
        <v>0</v>
      </c>
      <c r="I52" s="1">
        <v>0</v>
      </c>
      <c r="J52" s="1">
        <v>0</v>
      </c>
      <c r="K52" s="1">
        <v>0</v>
      </c>
      <c r="L52" s="1" t="e">
        <v>#DIV/0!</v>
      </c>
      <c r="N52" s="1">
        <f t="shared" si="0"/>
        <v>1521</v>
      </c>
      <c r="O52" s="1" t="e">
        <f t="shared" si="1"/>
        <v>#DIV/0!</v>
      </c>
    </row>
    <row r="53" spans="1:15" x14ac:dyDescent="0.3">
      <c r="A53" s="2">
        <v>45413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0">
        <v>0</v>
      </c>
      <c r="I53" s="1">
        <v>0</v>
      </c>
      <c r="J53" s="1">
        <v>0</v>
      </c>
      <c r="K53" s="1">
        <v>0</v>
      </c>
      <c r="L53" s="1" t="e">
        <v>#DIV/0!</v>
      </c>
      <c r="N53" s="1">
        <f t="shared" si="0"/>
        <v>1551</v>
      </c>
      <c r="O53" s="1" t="e">
        <f t="shared" si="1"/>
        <v>#DIV/0!</v>
      </c>
    </row>
    <row r="54" spans="1:15" x14ac:dyDescent="0.3">
      <c r="A54" s="2">
        <v>45444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0">
        <v>0</v>
      </c>
      <c r="I54" s="1">
        <v>0</v>
      </c>
      <c r="J54" s="1">
        <v>0</v>
      </c>
      <c r="K54" s="1">
        <v>0</v>
      </c>
      <c r="L54" s="1" t="e">
        <v>#DIV/0!</v>
      </c>
      <c r="N54" s="1">
        <f t="shared" si="0"/>
        <v>1582</v>
      </c>
      <c r="O54" s="1" t="e">
        <f t="shared" si="1"/>
        <v>#DIV/0!</v>
      </c>
    </row>
    <row r="55" spans="1:15" x14ac:dyDescent="0.3">
      <c r="A55" s="2">
        <v>45474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0">
        <v>0</v>
      </c>
      <c r="I55" s="1">
        <v>0</v>
      </c>
      <c r="J55" s="1">
        <v>0</v>
      </c>
      <c r="K55" s="1">
        <v>0</v>
      </c>
      <c r="L55" s="1" t="e">
        <v>#DIV/0!</v>
      </c>
      <c r="N55" s="1">
        <f t="shared" si="0"/>
        <v>1612</v>
      </c>
      <c r="O55" s="1" t="e">
        <f t="shared" si="1"/>
        <v>#DIV/0!</v>
      </c>
    </row>
    <row r="56" spans="1:15" x14ac:dyDescent="0.3">
      <c r="A56" s="2">
        <v>45505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0">
        <v>0</v>
      </c>
      <c r="I56" s="1">
        <v>0</v>
      </c>
      <c r="J56" s="1">
        <v>0</v>
      </c>
      <c r="K56" s="1">
        <v>0</v>
      </c>
      <c r="L56" s="1" t="e">
        <v>#DIV/0!</v>
      </c>
      <c r="N56" s="1">
        <f t="shared" si="0"/>
        <v>1643</v>
      </c>
      <c r="O56" s="1" t="e">
        <f t="shared" si="1"/>
        <v>#DIV/0!</v>
      </c>
    </row>
    <row r="57" spans="1:15" x14ac:dyDescent="0.3">
      <c r="A57" s="2">
        <v>45536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0">
        <v>0</v>
      </c>
      <c r="I57" s="1">
        <v>0</v>
      </c>
      <c r="J57" s="1">
        <v>0</v>
      </c>
      <c r="K57" s="1">
        <v>0</v>
      </c>
      <c r="L57" s="1" t="e">
        <v>#DIV/0!</v>
      </c>
      <c r="N57" s="1">
        <f t="shared" si="0"/>
        <v>1674</v>
      </c>
      <c r="O57" s="1" t="e">
        <f t="shared" si="1"/>
        <v>#DIV/0!</v>
      </c>
    </row>
    <row r="58" spans="1:15" x14ac:dyDescent="0.3">
      <c r="A58" s="2">
        <v>45566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0">
        <v>0</v>
      </c>
      <c r="I58" s="1">
        <v>0</v>
      </c>
      <c r="J58" s="1">
        <v>0</v>
      </c>
      <c r="K58" s="1">
        <v>0</v>
      </c>
      <c r="L58" s="1" t="e">
        <v>#DIV/0!</v>
      </c>
      <c r="N58" s="1">
        <f t="shared" si="0"/>
        <v>1704</v>
      </c>
      <c r="O58" s="1" t="e">
        <f t="shared" si="1"/>
        <v>#DIV/0!</v>
      </c>
    </row>
    <row r="59" spans="1:15" x14ac:dyDescent="0.3">
      <c r="A59" s="2">
        <v>45597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0">
        <v>0</v>
      </c>
      <c r="I59" s="1">
        <v>0</v>
      </c>
      <c r="J59" s="1">
        <v>0</v>
      </c>
      <c r="K59" s="1">
        <v>0</v>
      </c>
      <c r="L59" s="1" t="e">
        <v>#DIV/0!</v>
      </c>
      <c r="N59" s="1">
        <f t="shared" si="0"/>
        <v>1735</v>
      </c>
      <c r="O59" s="1" t="e">
        <f t="shared" si="1"/>
        <v>#DIV/0!</v>
      </c>
    </row>
    <row r="60" spans="1:15" x14ac:dyDescent="0.3">
      <c r="A60" s="2">
        <v>45627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0">
        <v>0</v>
      </c>
      <c r="I60" s="1">
        <v>0</v>
      </c>
      <c r="J60" s="1">
        <v>0</v>
      </c>
      <c r="K60" s="1">
        <v>0</v>
      </c>
      <c r="L60" s="1" t="e">
        <v>#DIV/0!</v>
      </c>
      <c r="N60" s="1">
        <f t="shared" si="0"/>
        <v>1765</v>
      </c>
      <c r="O60" s="1" t="e">
        <f t="shared" si="1"/>
        <v>#DIV/0!</v>
      </c>
    </row>
    <row r="61" spans="1:15" x14ac:dyDescent="0.3">
      <c r="A61" s="2">
        <v>45658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0">
        <v>0</v>
      </c>
      <c r="I61" s="1">
        <v>0</v>
      </c>
      <c r="J61" s="1">
        <v>0</v>
      </c>
      <c r="K61" s="1">
        <v>0</v>
      </c>
      <c r="L61" s="1" t="e">
        <v>#DIV/0!</v>
      </c>
      <c r="N61" s="1">
        <f t="shared" si="0"/>
        <v>1796</v>
      </c>
      <c r="O61" s="1" t="e">
        <f t="shared" si="1"/>
        <v>#DIV/0!</v>
      </c>
    </row>
    <row r="62" spans="1:15" x14ac:dyDescent="0.3">
      <c r="A62" s="2">
        <v>45689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0">
        <v>0</v>
      </c>
      <c r="I62" s="1">
        <v>0</v>
      </c>
      <c r="J62" s="1">
        <v>0</v>
      </c>
      <c r="K62" s="1">
        <v>0</v>
      </c>
      <c r="L62" s="1" t="e">
        <v>#DIV/0!</v>
      </c>
      <c r="N62" s="1">
        <f t="shared" si="0"/>
        <v>1827</v>
      </c>
      <c r="O62" s="1" t="e">
        <f t="shared" si="1"/>
        <v>#DIV/0!</v>
      </c>
    </row>
    <row r="63" spans="1:15" x14ac:dyDescent="0.3">
      <c r="A63" s="2">
        <v>45717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0">
        <v>0</v>
      </c>
      <c r="I63" s="1">
        <v>0</v>
      </c>
      <c r="J63" s="1">
        <v>0</v>
      </c>
      <c r="K63" s="1">
        <v>0</v>
      </c>
      <c r="L63" s="1" t="e">
        <v>#DIV/0!</v>
      </c>
      <c r="N63" s="1">
        <f t="shared" si="0"/>
        <v>1855</v>
      </c>
      <c r="O63" s="1" t="e">
        <f t="shared" si="1"/>
        <v>#DIV/0!</v>
      </c>
    </row>
    <row r="64" spans="1:15" x14ac:dyDescent="0.3">
      <c r="A64" s="2">
        <v>45748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0">
        <v>0</v>
      </c>
      <c r="I64" s="1">
        <v>0</v>
      </c>
      <c r="J64" s="1">
        <v>0</v>
      </c>
      <c r="K64" s="1">
        <v>0</v>
      </c>
      <c r="L64" s="1" t="e">
        <v>#DIV/0!</v>
      </c>
      <c r="N64" s="1">
        <f t="shared" si="0"/>
        <v>1886</v>
      </c>
      <c r="O64" s="1" t="e">
        <f t="shared" si="1"/>
        <v>#DIV/0!</v>
      </c>
    </row>
    <row r="65" spans="1:15" x14ac:dyDescent="0.3">
      <c r="A65" s="2">
        <v>45778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0">
        <v>0</v>
      </c>
      <c r="I65" s="1">
        <v>0</v>
      </c>
      <c r="J65" s="1">
        <v>0</v>
      </c>
      <c r="K65" s="1">
        <v>0</v>
      </c>
      <c r="L65" s="1" t="e">
        <v>#DIV/0!</v>
      </c>
      <c r="N65" s="1">
        <f t="shared" si="0"/>
        <v>1916</v>
      </c>
      <c r="O65" s="1" t="e">
        <f t="shared" si="1"/>
        <v>#DIV/0!</v>
      </c>
    </row>
    <row r="66" spans="1:15" x14ac:dyDescent="0.3">
      <c r="A66" s="2">
        <v>45809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0">
        <v>0</v>
      </c>
      <c r="I66" s="1">
        <v>0</v>
      </c>
      <c r="J66" s="1">
        <v>0</v>
      </c>
      <c r="K66" s="1">
        <v>0</v>
      </c>
      <c r="L66" s="1" t="e">
        <v>#DIV/0!</v>
      </c>
      <c r="N66" s="1">
        <f t="shared" si="0"/>
        <v>1947</v>
      </c>
      <c r="O66" s="1" t="e">
        <f t="shared" si="1"/>
        <v>#DIV/0!</v>
      </c>
    </row>
    <row r="67" spans="1:15" x14ac:dyDescent="0.3">
      <c r="A67" s="2">
        <v>45839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0">
        <v>0</v>
      </c>
      <c r="I67" s="1">
        <v>0</v>
      </c>
      <c r="J67" s="1">
        <v>0</v>
      </c>
      <c r="K67" s="1">
        <v>0</v>
      </c>
      <c r="L67" s="1" t="e">
        <v>#DIV/0!</v>
      </c>
      <c r="N67" s="1">
        <f t="shared" ref="N67" si="4">A67 -$A$2</f>
        <v>1977</v>
      </c>
      <c r="O67" s="1" t="e">
        <f t="shared" ref="O67" si="5">D67/C67</f>
        <v>#DIV/0!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2D8F-FC67-47AD-AAD2-D43E5079F032}">
  <dimension ref="A1:R70"/>
  <sheetViews>
    <sheetView zoomScale="58" workbookViewId="0">
      <selection activeCell="J2" sqref="J2:J69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9" width="11.33203125" style="1" bestFit="1" customWidth="1"/>
    <col min="10" max="10" width="10.33203125" style="1" bestFit="1" customWidth="1"/>
    <col min="11" max="12" width="8.77734375" style="1" bestFit="1" customWidth="1"/>
    <col min="13" max="16384" width="8.77734375" style="1"/>
  </cols>
  <sheetData>
    <row r="1" spans="1:1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</row>
    <row r="2" spans="1:18" x14ac:dyDescent="0.3">
      <c r="A2" s="4">
        <v>43800</v>
      </c>
      <c r="B2" s="5">
        <v>550.12727477419344</v>
      </c>
      <c r="C2" s="5">
        <v>540.55967741935478</v>
      </c>
      <c r="D2" s="5">
        <v>9.5675973548387105</v>
      </c>
      <c r="E2" s="5">
        <v>918.61290322580646</v>
      </c>
      <c r="F2" s="5">
        <v>0</v>
      </c>
      <c r="G2" s="5">
        <v>16757.349999999999</v>
      </c>
      <c r="H2" s="9">
        <v>2.2432002139999999E-3</v>
      </c>
      <c r="I2" s="5">
        <v>28477</v>
      </c>
      <c r="J2" s="5">
        <v>296.59551800000003</v>
      </c>
      <c r="K2" s="5">
        <v>1.7391606985430508</v>
      </c>
      <c r="L2" s="5">
        <v>10.688720746418737</v>
      </c>
      <c r="N2" s="1">
        <f>A2 -$A$2</f>
        <v>0</v>
      </c>
      <c r="O2" s="1">
        <f>D2/C2</f>
        <v>1.7699428489588154E-2</v>
      </c>
      <c r="P2" s="1" t="str">
        <f>IF(OR(N4&lt;=0, N2&lt;=0)," ", (O4 - O2) / (LN(N4) - LN(N2)))</f>
        <v xml:space="preserve"> </v>
      </c>
      <c r="R2" s="1">
        <f>(O3-O2) / (N3-N2)</f>
        <v>-3.9911197776424805E-4</v>
      </c>
    </row>
    <row r="3" spans="1:18" x14ac:dyDescent="0.3">
      <c r="A3" s="2">
        <v>43831</v>
      </c>
      <c r="B3" s="3">
        <v>1125.5809248064518</v>
      </c>
      <c r="C3" s="3">
        <v>1119.6167741935485</v>
      </c>
      <c r="D3" s="3">
        <v>5.964150612903226</v>
      </c>
      <c r="E3" s="3">
        <v>968.09677419354841</v>
      </c>
      <c r="F3" s="3">
        <v>0</v>
      </c>
      <c r="G3" s="3">
        <v>34708.120000000003</v>
      </c>
      <c r="H3" s="10">
        <v>4.6461559939999994E-3</v>
      </c>
      <c r="I3" s="3">
        <v>30011</v>
      </c>
      <c r="J3" s="3">
        <v>184.88866899999999</v>
      </c>
      <c r="K3" s="3">
        <v>0.52987310654085451</v>
      </c>
      <c r="L3" s="3">
        <v>5.4385886587922361</v>
      </c>
      <c r="N3" s="1">
        <f t="shared" ref="N3:N66" si="0">A3 -$A$2</f>
        <v>31</v>
      </c>
      <c r="O3" s="1">
        <f t="shared" ref="O3:O66" si="1">D3/C3</f>
        <v>5.3269571788964656E-3</v>
      </c>
      <c r="P3" s="1">
        <f t="shared" ref="P3:P66" si="2">IF(OR(N5&lt;=0, N3&lt;=0)," ", (O5 - O3) / (LN(N5) - LN(N3)))</f>
        <v>1.1962573385597605E-2</v>
      </c>
      <c r="R3" s="1">
        <f t="shared" ref="R3:R66" si="3">(O4-O3) / (N4-N3)</f>
        <v>2.1654912530177944E-4</v>
      </c>
    </row>
    <row r="4" spans="1:18" x14ac:dyDescent="0.3">
      <c r="A4" s="2">
        <v>43862</v>
      </c>
      <c r="B4" s="3">
        <v>1049.5592684482758</v>
      </c>
      <c r="C4" s="3">
        <v>1037.0729310344827</v>
      </c>
      <c r="D4" s="3">
        <v>12.486337413793104</v>
      </c>
      <c r="E4" s="3">
        <v>9194.9655172413786</v>
      </c>
      <c r="F4" s="3">
        <v>0</v>
      </c>
      <c r="G4" s="3">
        <v>30075.115000000002</v>
      </c>
      <c r="H4" s="10">
        <v>4.0259649860000003E-3</v>
      </c>
      <c r="I4" s="3">
        <v>266654</v>
      </c>
      <c r="J4" s="3">
        <v>362.10378500000002</v>
      </c>
      <c r="K4" s="3">
        <v>1.1896743508590581</v>
      </c>
      <c r="L4" s="3">
        <v>55.767046250695962</v>
      </c>
      <c r="N4" s="1">
        <f t="shared" si="0"/>
        <v>62</v>
      </c>
      <c r="O4" s="1">
        <f t="shared" si="1"/>
        <v>1.2039980063251628E-2</v>
      </c>
      <c r="P4" s="1">
        <f t="shared" si="2"/>
        <v>1.189522261691657E-2</v>
      </c>
      <c r="R4" s="1">
        <f t="shared" si="3"/>
        <v>2.1272900191781095E-4</v>
      </c>
    </row>
    <row r="5" spans="1:18" x14ac:dyDescent="0.3">
      <c r="A5" s="2">
        <v>43891</v>
      </c>
      <c r="B5" s="3">
        <v>1144.4646544193549</v>
      </c>
      <c r="C5" s="3">
        <v>1123.9976451612904</v>
      </c>
      <c r="D5" s="3">
        <v>20.467009258064518</v>
      </c>
      <c r="E5" s="3">
        <v>12144.645161290322</v>
      </c>
      <c r="F5" s="3">
        <v>0</v>
      </c>
      <c r="G5" s="3">
        <v>34843.927000000003</v>
      </c>
      <c r="H5" s="10">
        <v>4.6643356190000001E-3</v>
      </c>
      <c r="I5" s="3">
        <v>376484</v>
      </c>
      <c r="J5" s="3">
        <v>634.47728700000005</v>
      </c>
      <c r="K5" s="3">
        <v>1.7883478689386409</v>
      </c>
      <c r="L5" s="3">
        <v>67.960452999456678</v>
      </c>
      <c r="N5" s="1">
        <f t="shared" si="0"/>
        <v>91</v>
      </c>
      <c r="O5" s="1">
        <f t="shared" si="1"/>
        <v>1.8209121118868146E-2</v>
      </c>
      <c r="P5" s="1">
        <f t="shared" si="2"/>
        <v>3.9709910940359952E-3</v>
      </c>
      <c r="R5" s="1">
        <f t="shared" si="3"/>
        <v>6.0728272509524276E-5</v>
      </c>
    </row>
    <row r="6" spans="1:18" x14ac:dyDescent="0.3">
      <c r="A6" s="2">
        <v>43922</v>
      </c>
      <c r="B6" s="3">
        <v>1142.2845716666666</v>
      </c>
      <c r="C6" s="3">
        <v>1119.7861666666665</v>
      </c>
      <c r="D6" s="3">
        <v>22.498404999999998</v>
      </c>
      <c r="E6" s="3">
        <v>12057.7</v>
      </c>
      <c r="F6" s="3">
        <v>0</v>
      </c>
      <c r="G6" s="3">
        <v>33593.584999999999</v>
      </c>
      <c r="H6" s="10">
        <v>4.4969602590000006E-3</v>
      </c>
      <c r="I6" s="3">
        <v>361731</v>
      </c>
      <c r="J6" s="3">
        <v>674.95214999999996</v>
      </c>
      <c r="K6" s="3">
        <v>1.9695972052895174</v>
      </c>
      <c r="L6" s="3">
        <v>67.727682050010429</v>
      </c>
      <c r="N6" s="1">
        <f t="shared" si="0"/>
        <v>122</v>
      </c>
      <c r="O6" s="1">
        <f t="shared" si="1"/>
        <v>2.0091697566663399E-2</v>
      </c>
      <c r="P6" s="1">
        <f t="shared" si="2"/>
        <v>1.030449537986023E-2</v>
      </c>
      <c r="R6" s="1">
        <f t="shared" si="3"/>
        <v>5.154181038673789E-6</v>
      </c>
    </row>
    <row r="7" spans="1:18" x14ac:dyDescent="0.3">
      <c r="A7" s="2">
        <v>43952</v>
      </c>
      <c r="B7" s="3">
        <v>1166.5222307096776</v>
      </c>
      <c r="C7" s="3">
        <v>1143.3731290322582</v>
      </c>
      <c r="D7" s="3">
        <v>23.149101677419356</v>
      </c>
      <c r="E7" s="3">
        <v>11446.903225806451</v>
      </c>
      <c r="F7" s="3">
        <v>0</v>
      </c>
      <c r="G7" s="3">
        <v>35444.567000000003</v>
      </c>
      <c r="H7" s="10">
        <v>4.7447394869999998E-3</v>
      </c>
      <c r="I7" s="3">
        <v>354854</v>
      </c>
      <c r="J7" s="3">
        <v>717.62215200000003</v>
      </c>
      <c r="K7" s="3">
        <v>1.9844543951242255</v>
      </c>
      <c r="L7" s="3">
        <v>62.970460020008133</v>
      </c>
      <c r="N7" s="1">
        <f t="shared" si="0"/>
        <v>152</v>
      </c>
      <c r="O7" s="1">
        <f t="shared" si="1"/>
        <v>2.0246322997823613E-2</v>
      </c>
      <c r="P7" s="1">
        <f t="shared" si="2"/>
        <v>5.6030777117438701E-3</v>
      </c>
      <c r="R7" s="1">
        <f t="shared" si="3"/>
        <v>1.2978993232370636E-4</v>
      </c>
    </row>
    <row r="8" spans="1:18" x14ac:dyDescent="0.3">
      <c r="A8" s="2">
        <v>43983</v>
      </c>
      <c r="B8" s="3">
        <v>1213.8644404333334</v>
      </c>
      <c r="C8" s="3">
        <v>1185.1022333333335</v>
      </c>
      <c r="D8" s="3">
        <v>28.762207100000001</v>
      </c>
      <c r="E8" s="3">
        <v>10563.033333333333</v>
      </c>
      <c r="F8" s="3">
        <v>0</v>
      </c>
      <c r="G8" s="3">
        <v>35553.067000000003</v>
      </c>
      <c r="H8" s="10">
        <v>4.7592636959999995E-3</v>
      </c>
      <c r="I8" s="3">
        <v>316891</v>
      </c>
      <c r="J8" s="3">
        <v>862.86621300000002</v>
      </c>
      <c r="K8" s="3">
        <v>2.3694743944992962</v>
      </c>
      <c r="L8" s="3">
        <v>56.062139781077114</v>
      </c>
      <c r="N8" s="1">
        <f t="shared" si="0"/>
        <v>183</v>
      </c>
      <c r="O8" s="1">
        <f t="shared" si="1"/>
        <v>2.426981089985851E-2</v>
      </c>
      <c r="P8" s="1">
        <f t="shared" si="2"/>
        <v>3.2749242502139093E-3</v>
      </c>
      <c r="R8" s="1">
        <f t="shared" si="3"/>
        <v>-7.1098141167311635E-5</v>
      </c>
    </row>
    <row r="9" spans="1:18" x14ac:dyDescent="0.3">
      <c r="A9" s="2">
        <v>44013</v>
      </c>
      <c r="B9" s="3">
        <v>1158.4096482810644</v>
      </c>
      <c r="C9" s="3">
        <v>1133.3214621842903</v>
      </c>
      <c r="D9" s="3">
        <v>25.088186096774194</v>
      </c>
      <c r="E9" s="3">
        <v>9129.0967741935492</v>
      </c>
      <c r="F9" s="3">
        <v>0</v>
      </c>
      <c r="G9" s="3">
        <v>35132.965327712998</v>
      </c>
      <c r="H9" s="10">
        <v>4.7053976249999997E-3</v>
      </c>
      <c r="I9" s="3">
        <v>283002</v>
      </c>
      <c r="J9" s="3">
        <v>777.73376900000005</v>
      </c>
      <c r="K9" s="3">
        <v>2.165743882917579</v>
      </c>
      <c r="L9" s="3">
        <v>50.665406776692137</v>
      </c>
      <c r="N9" s="1">
        <f t="shared" si="0"/>
        <v>213</v>
      </c>
      <c r="O9" s="1">
        <f t="shared" si="1"/>
        <v>2.2136866664839161E-2</v>
      </c>
      <c r="P9" s="1">
        <f t="shared" si="2"/>
        <v>2.4087182358941361E-2</v>
      </c>
      <c r="R9" s="1">
        <f t="shared" si="3"/>
        <v>9.9196168723983248E-5</v>
      </c>
    </row>
    <row r="10" spans="1:18" x14ac:dyDescent="0.3">
      <c r="A10" s="2">
        <v>44044</v>
      </c>
      <c r="B10" s="3">
        <v>1206.3692802258065</v>
      </c>
      <c r="C10" s="3">
        <v>1176.7023225806452</v>
      </c>
      <c r="D10" s="3">
        <v>29.666957645161293</v>
      </c>
      <c r="E10" s="3">
        <v>9626.7419354838712</v>
      </c>
      <c r="F10" s="3">
        <v>0</v>
      </c>
      <c r="G10" s="3">
        <v>36477.771999999997</v>
      </c>
      <c r="H10" s="10">
        <v>4.8830480889999993E-3</v>
      </c>
      <c r="I10" s="3">
        <v>298429</v>
      </c>
      <c r="J10" s="3">
        <v>919.67568700000004</v>
      </c>
      <c r="K10" s="3">
        <v>2.4591937254576206</v>
      </c>
      <c r="L10" s="3">
        <v>51.45760339200541</v>
      </c>
      <c r="N10" s="1">
        <f t="shared" si="0"/>
        <v>244</v>
      </c>
      <c r="O10" s="1">
        <f t="shared" si="1"/>
        <v>2.5211947895282642E-2</v>
      </c>
      <c r="P10" s="1">
        <f t="shared" si="2"/>
        <v>5.0702939115068534E-2</v>
      </c>
      <c r="R10" s="1">
        <f t="shared" si="3"/>
        <v>9.9312464273415218E-5</v>
      </c>
    </row>
    <row r="11" spans="1:18" x14ac:dyDescent="0.3">
      <c r="A11" s="2">
        <v>44075</v>
      </c>
      <c r="B11" s="3">
        <v>1107.6074896</v>
      </c>
      <c r="C11" s="3">
        <v>1077.1346666666666</v>
      </c>
      <c r="D11" s="3">
        <v>30.472822933333337</v>
      </c>
      <c r="E11" s="3">
        <v>9592.7666666666664</v>
      </c>
      <c r="F11" s="3">
        <v>0</v>
      </c>
      <c r="G11" s="3">
        <v>32314.04</v>
      </c>
      <c r="H11" s="10">
        <v>4.3256756820000001E-3</v>
      </c>
      <c r="I11" s="3">
        <v>287783</v>
      </c>
      <c r="J11" s="3">
        <v>914.18468800000005</v>
      </c>
      <c r="K11" s="3">
        <v>2.751229403869258</v>
      </c>
      <c r="L11" s="3">
        <v>56.015822020397323</v>
      </c>
      <c r="N11" s="1">
        <f t="shared" si="0"/>
        <v>275</v>
      </c>
      <c r="O11" s="1">
        <f t="shared" si="1"/>
        <v>2.8290634287758513E-2</v>
      </c>
      <c r="P11" s="1">
        <f t="shared" si="2"/>
        <v>5.8805763173067627E-2</v>
      </c>
      <c r="R11" s="1">
        <f t="shared" si="3"/>
        <v>2.7451158345762245E-4</v>
      </c>
    </row>
    <row r="12" spans="1:18" x14ac:dyDescent="0.3">
      <c r="A12" s="2">
        <v>44105</v>
      </c>
      <c r="B12" s="3">
        <v>1000.9459903225805</v>
      </c>
      <c r="C12" s="3">
        <v>965.6738064516129</v>
      </c>
      <c r="D12" s="3">
        <v>35.272183870967737</v>
      </c>
      <c r="E12" s="3">
        <v>9876.354838709678</v>
      </c>
      <c r="F12" s="3">
        <v>0</v>
      </c>
      <c r="G12" s="3">
        <v>29935.887999999999</v>
      </c>
      <c r="H12" s="10">
        <v>4.0073275520000002E-3</v>
      </c>
      <c r="I12" s="3">
        <v>306167</v>
      </c>
      <c r="J12" s="3">
        <v>1093.4376999999999</v>
      </c>
      <c r="K12" s="3">
        <v>3.5238848261533442</v>
      </c>
      <c r="L12" s="3">
        <v>64.328447400658362</v>
      </c>
      <c r="N12" s="1">
        <f t="shared" si="0"/>
        <v>305</v>
      </c>
      <c r="O12" s="1">
        <f t="shared" si="1"/>
        <v>3.6525981791487187E-2</v>
      </c>
      <c r="P12" s="1">
        <f t="shared" si="2"/>
        <v>5.3075973556793513E-4</v>
      </c>
      <c r="R12" s="1">
        <f t="shared" si="3"/>
        <v>1.1438073399241004E-4</v>
      </c>
    </row>
    <row r="13" spans="1:18" x14ac:dyDescent="0.3">
      <c r="A13" s="2">
        <v>44136</v>
      </c>
      <c r="B13" s="3">
        <v>1075.9468419333332</v>
      </c>
      <c r="C13" s="3">
        <v>1034.4928666666667</v>
      </c>
      <c r="D13" s="3">
        <v>41.453975266666667</v>
      </c>
      <c r="E13" s="3">
        <v>10806.066666666668</v>
      </c>
      <c r="F13" s="3">
        <v>0</v>
      </c>
      <c r="G13" s="3">
        <v>31034.786</v>
      </c>
      <c r="H13" s="10">
        <v>4.1544300559999995E-3</v>
      </c>
      <c r="I13" s="3">
        <v>324182</v>
      </c>
      <c r="J13" s="3">
        <v>1243.6192579999999</v>
      </c>
      <c r="K13" s="3">
        <v>3.8527902728149086</v>
      </c>
      <c r="L13" s="3">
        <v>65.701756203506605</v>
      </c>
      <c r="N13" s="1">
        <f t="shared" si="0"/>
        <v>336</v>
      </c>
      <c r="O13" s="1">
        <f t="shared" si="1"/>
        <v>4.0071784545251898E-2</v>
      </c>
      <c r="P13" s="1">
        <f t="shared" si="2"/>
        <v>-9.2723604197449169E-2</v>
      </c>
      <c r="R13" s="1">
        <f t="shared" si="3"/>
        <v>-1.1496779374974726E-4</v>
      </c>
    </row>
    <row r="14" spans="1:18" x14ac:dyDescent="0.3">
      <c r="A14" s="2">
        <v>44166</v>
      </c>
      <c r="B14" s="3">
        <v>1034.1450551612902</v>
      </c>
      <c r="C14" s="3">
        <v>997.60983870967743</v>
      </c>
      <c r="D14" s="3">
        <v>36.535216451612904</v>
      </c>
      <c r="E14" s="3">
        <v>7506.4193548387093</v>
      </c>
      <c r="F14" s="3">
        <v>0</v>
      </c>
      <c r="G14" s="3">
        <v>30925.904999999999</v>
      </c>
      <c r="H14" s="10">
        <v>4.1398548489999997E-3</v>
      </c>
      <c r="I14" s="3">
        <v>232699</v>
      </c>
      <c r="J14" s="3">
        <v>1132.5917099999999</v>
      </c>
      <c r="K14" s="3">
        <v>3.5328908908155725</v>
      </c>
      <c r="L14" s="3">
        <v>47.326995610961106</v>
      </c>
      <c r="N14" s="1">
        <f t="shared" si="0"/>
        <v>366</v>
      </c>
      <c r="O14" s="1">
        <f t="shared" si="1"/>
        <v>3.6622750732759481E-2</v>
      </c>
      <c r="P14" s="1">
        <f t="shared" si="2"/>
        <v>-0.12095230407013818</v>
      </c>
      <c r="R14" s="1">
        <f t="shared" si="3"/>
        <v>-3.8772879521645768E-4</v>
      </c>
    </row>
    <row r="15" spans="1:18" x14ac:dyDescent="0.3">
      <c r="A15" s="2">
        <v>44197</v>
      </c>
      <c r="B15" s="3">
        <v>1178.6788825806452</v>
      </c>
      <c r="C15" s="3">
        <v>1150.376</v>
      </c>
      <c r="D15" s="3">
        <v>28.302882580645161</v>
      </c>
      <c r="E15" s="3">
        <v>8816.7741935483864</v>
      </c>
      <c r="F15" s="3">
        <v>0</v>
      </c>
      <c r="G15" s="3">
        <v>35661.656000000003</v>
      </c>
      <c r="H15" s="10">
        <v>4.7737998150000002E-3</v>
      </c>
      <c r="I15" s="3">
        <v>273320</v>
      </c>
      <c r="J15" s="3">
        <v>877.38936000000001</v>
      </c>
      <c r="K15" s="3">
        <v>2.4012377755235361</v>
      </c>
      <c r="L15" s="3">
        <v>48.206626635622293</v>
      </c>
      <c r="N15" s="1">
        <f t="shared" si="0"/>
        <v>397</v>
      </c>
      <c r="O15" s="1">
        <f t="shared" si="1"/>
        <v>2.4603158081049292E-2</v>
      </c>
      <c r="P15" s="1">
        <f t="shared" si="2"/>
        <v>0.16902428041265974</v>
      </c>
      <c r="R15" s="1">
        <f t="shared" si="3"/>
        <v>-2.2284570137520273E-4</v>
      </c>
    </row>
    <row r="16" spans="1:18" x14ac:dyDescent="0.3">
      <c r="A16" s="2">
        <v>44228</v>
      </c>
      <c r="B16" s="3">
        <v>1068.5886659285713</v>
      </c>
      <c r="C16" s="3">
        <v>1050.0088214285713</v>
      </c>
      <c r="D16" s="3">
        <v>18.5798445</v>
      </c>
      <c r="E16" s="3">
        <v>9817.0714285714294</v>
      </c>
      <c r="F16" s="3">
        <v>0</v>
      </c>
      <c r="G16" s="3">
        <v>29400.246999999999</v>
      </c>
      <c r="H16" s="10">
        <v>3.9356246849999998E-3</v>
      </c>
      <c r="I16" s="3">
        <v>274878</v>
      </c>
      <c r="J16" s="3">
        <v>520.23564599999997</v>
      </c>
      <c r="K16" s="3">
        <v>1.7387274535477757</v>
      </c>
      <c r="L16" s="3">
        <v>58.806568679508025</v>
      </c>
      <c r="N16" s="1">
        <f t="shared" si="0"/>
        <v>428</v>
      </c>
      <c r="O16" s="1">
        <f t="shared" si="1"/>
        <v>1.7694941338418008E-2</v>
      </c>
      <c r="P16" s="1">
        <f t="shared" si="2"/>
        <v>0.46327050470517533</v>
      </c>
      <c r="R16" s="1">
        <f t="shared" si="3"/>
        <v>1.0831297972901423E-3</v>
      </c>
    </row>
    <row r="17" spans="1:18" x14ac:dyDescent="0.3">
      <c r="A17" s="2">
        <v>44256</v>
      </c>
      <c r="B17" s="3">
        <v>1000.002755967742</v>
      </c>
      <c r="C17" s="3">
        <v>954.18054838709679</v>
      </c>
      <c r="D17" s="3">
        <v>45.822207580645163</v>
      </c>
      <c r="E17" s="3">
        <v>8344.7096774193542</v>
      </c>
      <c r="F17" s="3">
        <v>0</v>
      </c>
      <c r="G17" s="3">
        <v>29579.597000000002</v>
      </c>
      <c r="H17" s="10">
        <v>3.9596331309999996E-3</v>
      </c>
      <c r="I17" s="3">
        <v>258686</v>
      </c>
      <c r="J17" s="3">
        <v>1420.488435</v>
      </c>
      <c r="K17" s="3">
        <v>4.5822081296467241</v>
      </c>
      <c r="L17" s="3">
        <v>55.006942887017694</v>
      </c>
      <c r="N17" s="1">
        <f t="shared" si="0"/>
        <v>456</v>
      </c>
      <c r="O17" s="1">
        <f t="shared" si="1"/>
        <v>4.8022575662541991E-2</v>
      </c>
      <c r="P17" s="1">
        <f t="shared" si="2"/>
        <v>1.688535646549217E-2</v>
      </c>
      <c r="R17" s="1">
        <f t="shared" si="3"/>
        <v>9.5159833346009309E-4</v>
      </c>
    </row>
    <row r="18" spans="1:18" x14ac:dyDescent="0.3">
      <c r="A18" s="2">
        <v>44287</v>
      </c>
      <c r="B18" s="3">
        <v>1115.4891548000001</v>
      </c>
      <c r="C18" s="3">
        <v>1035.2355</v>
      </c>
      <c r="D18" s="3">
        <v>80.253654800000007</v>
      </c>
      <c r="E18" s="3">
        <v>9129.8333333333339</v>
      </c>
      <c r="F18" s="3">
        <v>0</v>
      </c>
      <c r="G18" s="3">
        <v>31057.064999999999</v>
      </c>
      <c r="H18" s="10">
        <v>4.1568166299999999E-3</v>
      </c>
      <c r="I18" s="3">
        <v>273895</v>
      </c>
      <c r="J18" s="3">
        <v>2407.6096440000001</v>
      </c>
      <c r="K18" s="3">
        <v>7.1944809552531215</v>
      </c>
      <c r="L18" s="3">
        <v>55.470301878171682</v>
      </c>
      <c r="N18" s="1">
        <f t="shared" si="0"/>
        <v>487</v>
      </c>
      <c r="O18" s="1">
        <f t="shared" si="1"/>
        <v>7.7522123999804876E-2</v>
      </c>
      <c r="P18" s="1">
        <f t="shared" si="2"/>
        <v>0.19114234496701796</v>
      </c>
      <c r="R18" s="1">
        <f t="shared" si="3"/>
        <v>-9.1265302451909219E-4</v>
      </c>
    </row>
    <row r="19" spans="1:18" x14ac:dyDescent="0.3">
      <c r="A19" s="2">
        <v>44317</v>
      </c>
      <c r="B19" s="3">
        <v>889.14846741935492</v>
      </c>
      <c r="C19" s="3">
        <v>846.69312903225807</v>
      </c>
      <c r="D19" s="3">
        <v>42.455338387096774</v>
      </c>
      <c r="E19" s="3">
        <v>7968.0322580645161</v>
      </c>
      <c r="F19" s="3">
        <v>0</v>
      </c>
      <c r="G19" s="3">
        <v>26247.487000000001</v>
      </c>
      <c r="H19" s="10">
        <v>3.5119163249999999E-3</v>
      </c>
      <c r="I19" s="3">
        <v>247009</v>
      </c>
      <c r="J19" s="3">
        <v>1316.1154899999999</v>
      </c>
      <c r="K19" s="3">
        <v>4.774831194425631</v>
      </c>
      <c r="L19" s="3">
        <v>59.191845992723032</v>
      </c>
      <c r="N19" s="1">
        <f t="shared" si="0"/>
        <v>517</v>
      </c>
      <c r="O19" s="1">
        <f t="shared" si="1"/>
        <v>5.0142533264232111E-2</v>
      </c>
      <c r="P19" s="1">
        <f t="shared" si="2"/>
        <v>1.0251808869171717</v>
      </c>
      <c r="R19" s="1">
        <f t="shared" si="3"/>
        <v>1.6108555267450755E-3</v>
      </c>
    </row>
    <row r="20" spans="1:18" x14ac:dyDescent="0.3">
      <c r="A20" s="2">
        <v>44348</v>
      </c>
      <c r="B20" s="3">
        <v>957.0628003999999</v>
      </c>
      <c r="C20" s="3">
        <v>869.99456666666663</v>
      </c>
      <c r="D20" s="3">
        <v>87.068233733333329</v>
      </c>
      <c r="E20" s="3">
        <v>8490.2999999999993</v>
      </c>
      <c r="F20" s="3">
        <v>0</v>
      </c>
      <c r="G20" s="3">
        <v>26099.837</v>
      </c>
      <c r="H20" s="10">
        <v>3.4921607319999995E-3</v>
      </c>
      <c r="I20" s="3">
        <v>254709</v>
      </c>
      <c r="J20" s="3">
        <v>2612.047012</v>
      </c>
      <c r="K20" s="3">
        <v>9.0974420588642211</v>
      </c>
      <c r="L20" s="3">
        <v>61.382324655897271</v>
      </c>
      <c r="N20" s="1">
        <f t="shared" si="0"/>
        <v>548</v>
      </c>
      <c r="O20" s="1">
        <f t="shared" si="1"/>
        <v>0.10007905459332946</v>
      </c>
      <c r="P20" s="1">
        <f t="shared" si="2"/>
        <v>0.34019360906375823</v>
      </c>
      <c r="R20" s="1">
        <f t="shared" si="3"/>
        <v>2.1467640728884468E-3</v>
      </c>
    </row>
    <row r="21" spans="1:18" x14ac:dyDescent="0.3">
      <c r="A21" s="2">
        <v>44378</v>
      </c>
      <c r="B21" s="3">
        <v>971.88278074193545</v>
      </c>
      <c r="C21" s="3">
        <v>834.60525806451608</v>
      </c>
      <c r="D21" s="3">
        <v>137.27752267741934</v>
      </c>
      <c r="E21" s="3">
        <v>8430.8709677419356</v>
      </c>
      <c r="F21" s="3">
        <v>0</v>
      </c>
      <c r="G21" s="3">
        <v>25872.762999999999</v>
      </c>
      <c r="H21" s="10">
        <v>3.461778213E-3</v>
      </c>
      <c r="I21" s="3">
        <v>261357</v>
      </c>
      <c r="J21" s="3">
        <v>4255.6032029999997</v>
      </c>
      <c r="K21" s="3">
        <v>14.124905327844338</v>
      </c>
      <c r="L21" s="3">
        <v>63.537213192112489</v>
      </c>
      <c r="N21" s="1">
        <f t="shared" si="0"/>
        <v>578</v>
      </c>
      <c r="O21" s="1">
        <f t="shared" si="1"/>
        <v>0.16448197677998286</v>
      </c>
      <c r="P21" s="1">
        <f t="shared" si="2"/>
        <v>0.15323730469142743</v>
      </c>
      <c r="R21" s="1">
        <f t="shared" si="3"/>
        <v>-9.1928627902974859E-4</v>
      </c>
    </row>
    <row r="22" spans="1:18" x14ac:dyDescent="0.3">
      <c r="A22" s="2">
        <v>44409</v>
      </c>
      <c r="B22" s="3">
        <v>987.14086903225802</v>
      </c>
      <c r="C22" s="3">
        <v>868.97419354838712</v>
      </c>
      <c r="D22" s="3">
        <v>118.16667548387097</v>
      </c>
      <c r="E22" s="3">
        <v>8689.1612903225814</v>
      </c>
      <c r="F22" s="3">
        <v>0</v>
      </c>
      <c r="G22" s="3">
        <v>26938.2</v>
      </c>
      <c r="H22" s="10">
        <v>3.6043337899999998E-3</v>
      </c>
      <c r="I22" s="3">
        <v>269364</v>
      </c>
      <c r="J22" s="3">
        <v>3663.1669400000001</v>
      </c>
      <c r="K22" s="3">
        <v>11.97059904932469</v>
      </c>
      <c r="L22" s="3">
        <v>62.893797180212481</v>
      </c>
      <c r="N22" s="1">
        <f t="shared" si="0"/>
        <v>609</v>
      </c>
      <c r="O22" s="1">
        <f t="shared" si="1"/>
        <v>0.13598410213006065</v>
      </c>
      <c r="P22" s="1">
        <f t="shared" si="2"/>
        <v>3.3977233605266015</v>
      </c>
      <c r="R22" s="1">
        <f t="shared" si="3"/>
        <v>1.4229639910454744E-3</v>
      </c>
    </row>
    <row r="23" spans="1:18" x14ac:dyDescent="0.3">
      <c r="A23" s="2">
        <v>44440</v>
      </c>
      <c r="B23" s="3">
        <v>1009.1262756333333</v>
      </c>
      <c r="C23" s="3">
        <v>855.12220000000002</v>
      </c>
      <c r="D23" s="3">
        <v>154.00407563333334</v>
      </c>
      <c r="E23" s="3">
        <v>8671.9666666666672</v>
      </c>
      <c r="F23" s="3">
        <v>0</v>
      </c>
      <c r="G23" s="3">
        <v>25653.666000000001</v>
      </c>
      <c r="H23" s="10">
        <v>3.4324630139999997E-3</v>
      </c>
      <c r="I23" s="3">
        <v>260159</v>
      </c>
      <c r="J23" s="3">
        <v>4620.1222690000004</v>
      </c>
      <c r="K23" s="3">
        <v>15.261130281904464</v>
      </c>
      <c r="L23" s="3">
        <v>63.786130146077362</v>
      </c>
      <c r="N23" s="1">
        <f t="shared" si="0"/>
        <v>640</v>
      </c>
      <c r="O23" s="1">
        <f t="shared" si="1"/>
        <v>0.18009598585247036</v>
      </c>
      <c r="P23" s="1">
        <f t="shared" si="2"/>
        <v>4.02115645988221</v>
      </c>
      <c r="R23" s="1">
        <f t="shared" si="3"/>
        <v>9.3410967144374468E-3</v>
      </c>
    </row>
    <row r="24" spans="1:18" x14ac:dyDescent="0.3">
      <c r="A24" s="2">
        <v>44470</v>
      </c>
      <c r="B24" s="3">
        <v>1201.9034816129033</v>
      </c>
      <c r="C24" s="3">
        <v>823.03616129032253</v>
      </c>
      <c r="D24" s="3">
        <v>378.86732032258067</v>
      </c>
      <c r="E24" s="3">
        <v>9072.5806451612898</v>
      </c>
      <c r="F24" s="3">
        <v>0</v>
      </c>
      <c r="G24" s="3">
        <v>25514.120999999999</v>
      </c>
      <c r="H24" s="10">
        <v>3.4137918800000002E-3</v>
      </c>
      <c r="I24" s="3">
        <v>281250</v>
      </c>
      <c r="J24" s="3">
        <v>11744.886930000001</v>
      </c>
      <c r="K24" s="3">
        <v>31.522274967883185</v>
      </c>
      <c r="L24" s="3">
        <v>69.334399174480666</v>
      </c>
      <c r="N24" s="1">
        <f t="shared" si="0"/>
        <v>670</v>
      </c>
      <c r="O24" s="1">
        <f t="shared" si="1"/>
        <v>0.46032888728559379</v>
      </c>
      <c r="P24" s="1">
        <f t="shared" si="2"/>
        <v>1.1745297286156429</v>
      </c>
      <c r="R24" s="1">
        <f t="shared" si="3"/>
        <v>2.7694199766798433E-3</v>
      </c>
    </row>
    <row r="25" spans="1:18" x14ac:dyDescent="0.3">
      <c r="A25" s="2">
        <v>44501</v>
      </c>
      <c r="B25" s="3">
        <v>1304.3179605333332</v>
      </c>
      <c r="C25" s="3">
        <v>843.57396666666671</v>
      </c>
      <c r="D25" s="3">
        <v>460.74399386666664</v>
      </c>
      <c r="E25" s="3">
        <v>7611.8</v>
      </c>
      <c r="F25" s="3">
        <v>0</v>
      </c>
      <c r="G25" s="3">
        <v>25307.219000000001</v>
      </c>
      <c r="H25" s="10">
        <v>3.3861083689999999E-3</v>
      </c>
      <c r="I25" s="3">
        <v>228354</v>
      </c>
      <c r="J25" s="3">
        <v>13822.319815999999</v>
      </c>
      <c r="K25" s="3">
        <v>35.324515019195871</v>
      </c>
      <c r="L25" s="3">
        <v>56.754595959358468</v>
      </c>
      <c r="N25" s="1">
        <f t="shared" si="0"/>
        <v>701</v>
      </c>
      <c r="O25" s="1">
        <f t="shared" si="1"/>
        <v>0.54618090656266893</v>
      </c>
      <c r="P25" s="1">
        <f t="shared" si="2"/>
        <v>3.4895402663673543</v>
      </c>
      <c r="R25" s="1">
        <f t="shared" si="3"/>
        <v>5.4971688093284155E-4</v>
      </c>
    </row>
    <row r="26" spans="1:18" x14ac:dyDescent="0.3">
      <c r="A26" s="2">
        <v>44531</v>
      </c>
      <c r="B26" s="3">
        <v>1281.2841591612903</v>
      </c>
      <c r="C26" s="3">
        <v>819.93138709677419</v>
      </c>
      <c r="D26" s="3">
        <v>461.3527720645161</v>
      </c>
      <c r="E26" s="3">
        <v>7512.5161290322585</v>
      </c>
      <c r="F26" s="3">
        <v>0</v>
      </c>
      <c r="G26" s="3">
        <v>25417.873</v>
      </c>
      <c r="H26" s="10">
        <v>3.4009138870000001E-3</v>
      </c>
      <c r="I26" s="3">
        <v>232888</v>
      </c>
      <c r="J26" s="3">
        <v>14301.935933999999</v>
      </c>
      <c r="K26" s="3">
        <v>36.007061256927642</v>
      </c>
      <c r="L26" s="3">
        <v>57.629485456945986</v>
      </c>
      <c r="N26" s="1">
        <f t="shared" si="0"/>
        <v>731</v>
      </c>
      <c r="O26" s="1">
        <f t="shared" si="1"/>
        <v>0.56267241299065418</v>
      </c>
      <c r="P26" s="1">
        <f t="shared" si="2"/>
        <v>3.366726346905041</v>
      </c>
      <c r="R26" s="1">
        <f t="shared" si="3"/>
        <v>8.8603576646919171E-3</v>
      </c>
    </row>
    <row r="27" spans="1:18" x14ac:dyDescent="0.3">
      <c r="A27" s="2">
        <v>44562</v>
      </c>
      <c r="B27" s="3">
        <v>1344.3105678387096</v>
      </c>
      <c r="C27" s="3">
        <v>731.65990322580637</v>
      </c>
      <c r="D27" s="3">
        <v>612.65066461290314</v>
      </c>
      <c r="E27" s="3">
        <v>7208.9032258064517</v>
      </c>
      <c r="F27" s="3">
        <v>0</v>
      </c>
      <c r="G27" s="3">
        <v>22681.456999999999</v>
      </c>
      <c r="H27" s="10">
        <v>3.0347811590000001E-3</v>
      </c>
      <c r="I27" s="3">
        <v>223476</v>
      </c>
      <c r="J27" s="3">
        <v>18992.170602999999</v>
      </c>
      <c r="K27" s="3">
        <v>45.573595809626113</v>
      </c>
      <c r="L27" s="3">
        <v>61.972180393878574</v>
      </c>
      <c r="N27" s="1">
        <f t="shared" si="0"/>
        <v>762</v>
      </c>
      <c r="O27" s="1">
        <f t="shared" si="1"/>
        <v>0.83734350059610363</v>
      </c>
      <c r="P27" s="1">
        <f t="shared" si="2"/>
        <v>0.94506761110756232</v>
      </c>
      <c r="R27" s="1">
        <f t="shared" si="3"/>
        <v>-1.8925721668387517E-5</v>
      </c>
    </row>
    <row r="28" spans="1:18" x14ac:dyDescent="0.3">
      <c r="A28" s="2">
        <v>44593</v>
      </c>
      <c r="B28" s="3">
        <v>1094.7942350714286</v>
      </c>
      <c r="C28" s="3">
        <v>596.04746428571434</v>
      </c>
      <c r="D28" s="3">
        <v>498.74677078571432</v>
      </c>
      <c r="E28" s="3">
        <v>6281.9642857142853</v>
      </c>
      <c r="F28" s="3">
        <v>0</v>
      </c>
      <c r="G28" s="3">
        <v>16689.329000000002</v>
      </c>
      <c r="H28" s="10">
        <v>2.2330338470000002E-3</v>
      </c>
      <c r="I28" s="3">
        <v>175895</v>
      </c>
      <c r="J28" s="3">
        <v>13964.909582</v>
      </c>
      <c r="K28" s="3">
        <v>45.556210912379726</v>
      </c>
      <c r="L28" s="3">
        <v>66.29052438237629</v>
      </c>
      <c r="N28" s="1">
        <f t="shared" si="0"/>
        <v>793</v>
      </c>
      <c r="O28" s="1">
        <f t="shared" si="1"/>
        <v>0.83675680322438362</v>
      </c>
      <c r="P28" s="1">
        <f t="shared" si="2"/>
        <v>-1.3201038719145028</v>
      </c>
      <c r="R28" s="1">
        <f t="shared" si="3"/>
        <v>2.5380922458493405E-3</v>
      </c>
    </row>
    <row r="29" spans="1:18" x14ac:dyDescent="0.3">
      <c r="A29" s="2">
        <v>44621</v>
      </c>
      <c r="B29" s="3">
        <v>1006.6717487419354</v>
      </c>
      <c r="C29" s="3">
        <v>527.65458064516122</v>
      </c>
      <c r="D29" s="3">
        <v>479.01716809677418</v>
      </c>
      <c r="E29" s="3">
        <v>6757.677419354839</v>
      </c>
      <c r="F29" s="3">
        <v>0</v>
      </c>
      <c r="G29" s="3">
        <v>16357.291999999999</v>
      </c>
      <c r="H29" s="10">
        <v>2.1886072650000002E-3</v>
      </c>
      <c r="I29" s="3">
        <v>209488</v>
      </c>
      <c r="J29" s="3">
        <v>14849.532211</v>
      </c>
      <c r="K29" s="3">
        <v>47.584246671808835</v>
      </c>
      <c r="L29" s="3">
        <v>80.55353064553718</v>
      </c>
      <c r="N29" s="1">
        <f t="shared" si="0"/>
        <v>821</v>
      </c>
      <c r="O29" s="1">
        <f t="shared" si="1"/>
        <v>0.90782338610816515</v>
      </c>
      <c r="P29" s="1">
        <f t="shared" si="2"/>
        <v>-2.8220690007172653</v>
      </c>
      <c r="R29" s="1">
        <f t="shared" si="3"/>
        <v>-5.3484387074961464E-3</v>
      </c>
    </row>
    <row r="30" spans="1:18" x14ac:dyDescent="0.3">
      <c r="A30" s="2">
        <v>44652</v>
      </c>
      <c r="B30" s="3">
        <v>924.66766099999995</v>
      </c>
      <c r="C30" s="3">
        <v>530.80143333333331</v>
      </c>
      <c r="D30" s="3">
        <v>393.86622766666665</v>
      </c>
      <c r="E30" s="3">
        <v>7128.0666666666666</v>
      </c>
      <c r="F30" s="3">
        <v>0</v>
      </c>
      <c r="G30" s="3">
        <v>15924.043</v>
      </c>
      <c r="H30" s="10">
        <v>2.1306385069999999E-3</v>
      </c>
      <c r="I30" s="3">
        <v>213842</v>
      </c>
      <c r="J30" s="3">
        <v>11815.98683</v>
      </c>
      <c r="K30" s="3">
        <v>42.595436639442141</v>
      </c>
      <c r="L30" s="3">
        <v>84.4649447128471</v>
      </c>
      <c r="N30" s="1">
        <f t="shared" si="0"/>
        <v>852</v>
      </c>
      <c r="O30" s="1">
        <f t="shared" si="1"/>
        <v>0.74202178617578463</v>
      </c>
      <c r="P30" s="1">
        <f t="shared" si="2"/>
        <v>0.10294015155662886</v>
      </c>
      <c r="R30" s="1">
        <f t="shared" si="3"/>
        <v>-1.2151037484250504E-3</v>
      </c>
    </row>
    <row r="31" spans="1:18" x14ac:dyDescent="0.3">
      <c r="A31" s="2">
        <v>44682</v>
      </c>
      <c r="B31" s="3">
        <v>980.14789764516127</v>
      </c>
      <c r="C31" s="3">
        <v>574.67512903225804</v>
      </c>
      <c r="D31" s="3">
        <v>405.47276861290322</v>
      </c>
      <c r="E31" s="3">
        <v>7737.8064516129034</v>
      </c>
      <c r="F31" s="3">
        <v>0</v>
      </c>
      <c r="G31" s="3">
        <v>17814.929</v>
      </c>
      <c r="H31" s="10">
        <v>2.3836392350000003E-3</v>
      </c>
      <c r="I31" s="3">
        <v>239872</v>
      </c>
      <c r="J31" s="3">
        <v>12569.655827</v>
      </c>
      <c r="K31" s="3">
        <v>41.368529135966661</v>
      </c>
      <c r="L31" s="3">
        <v>84.690031916489801</v>
      </c>
      <c r="N31" s="1">
        <f t="shared" si="0"/>
        <v>882</v>
      </c>
      <c r="O31" s="1">
        <f t="shared" si="1"/>
        <v>0.70556867372303311</v>
      </c>
      <c r="P31" s="1">
        <f t="shared" si="2"/>
        <v>0.38582101535947816</v>
      </c>
      <c r="R31" s="1">
        <f t="shared" si="3"/>
        <v>1.4055276583687336E-3</v>
      </c>
    </row>
    <row r="32" spans="1:18" x14ac:dyDescent="0.3">
      <c r="A32" s="2">
        <v>44713</v>
      </c>
      <c r="B32" s="3">
        <v>714.50807706666671</v>
      </c>
      <c r="C32" s="3">
        <v>408.49106666666665</v>
      </c>
      <c r="D32" s="3">
        <v>306.0170104</v>
      </c>
      <c r="E32" s="3">
        <v>5538.5</v>
      </c>
      <c r="F32" s="3">
        <v>0</v>
      </c>
      <c r="G32" s="3">
        <v>12254.732</v>
      </c>
      <c r="H32" s="10">
        <v>1.6396843339999999E-3</v>
      </c>
      <c r="I32" s="3">
        <v>166155</v>
      </c>
      <c r="J32" s="3">
        <v>9180.5103120000003</v>
      </c>
      <c r="K32" s="3">
        <v>42.829048435158178</v>
      </c>
      <c r="L32" s="3">
        <v>85.279850999597542</v>
      </c>
      <c r="N32" s="1">
        <f t="shared" si="0"/>
        <v>913</v>
      </c>
      <c r="O32" s="1">
        <f t="shared" si="1"/>
        <v>0.74914003113246386</v>
      </c>
      <c r="P32" s="1">
        <f t="shared" si="2"/>
        <v>1.652301581266993</v>
      </c>
      <c r="R32" s="1">
        <f t="shared" si="3"/>
        <v>-5.9232917969835131E-4</v>
      </c>
    </row>
    <row r="33" spans="1:18" x14ac:dyDescent="0.3">
      <c r="A33" s="2">
        <v>44743</v>
      </c>
      <c r="B33" s="3">
        <v>337.30251780645159</v>
      </c>
      <c r="C33" s="3">
        <v>194.81825806451613</v>
      </c>
      <c r="D33" s="3">
        <v>142.48425974193549</v>
      </c>
      <c r="E33" s="3">
        <v>2524.516129032258</v>
      </c>
      <c r="F33" s="3">
        <v>0</v>
      </c>
      <c r="G33" s="3">
        <v>6039.366</v>
      </c>
      <c r="H33" s="10">
        <v>8.0806775500000001E-4</v>
      </c>
      <c r="I33" s="3">
        <v>78260</v>
      </c>
      <c r="J33" s="3">
        <v>4417.012052</v>
      </c>
      <c r="K33" s="3">
        <v>42.242275767326092</v>
      </c>
      <c r="L33" s="3">
        <v>81.505202367268353</v>
      </c>
      <c r="N33" s="1">
        <f t="shared" si="0"/>
        <v>943</v>
      </c>
      <c r="O33" s="1">
        <f t="shared" si="1"/>
        <v>0.73137015574151332</v>
      </c>
      <c r="P33" s="1">
        <f t="shared" si="2"/>
        <v>-0.62540573877482253</v>
      </c>
      <c r="R33" s="1">
        <f t="shared" si="3"/>
        <v>4.0204251342437821E-3</v>
      </c>
    </row>
    <row r="34" spans="1:18" x14ac:dyDescent="0.3">
      <c r="A34" s="2">
        <v>44774</v>
      </c>
      <c r="B34" s="3">
        <v>390.81598790322499</v>
      </c>
      <c r="C34" s="3">
        <v>210.56858064516101</v>
      </c>
      <c r="D34" s="3">
        <v>180.24740725806399</v>
      </c>
      <c r="E34" s="3">
        <v>2693.1290322580599</v>
      </c>
      <c r="F34" s="3">
        <v>0</v>
      </c>
      <c r="G34" s="3">
        <v>6527.6260000000002</v>
      </c>
      <c r="H34" s="10">
        <v>8.7339699900000004E-4</v>
      </c>
      <c r="I34" s="3">
        <v>83487</v>
      </c>
      <c r="J34" s="3">
        <v>5587.6696250000005</v>
      </c>
      <c r="K34" s="3">
        <v>46.120786466570436</v>
      </c>
      <c r="L34" s="3">
        <v>80.445254155185964</v>
      </c>
      <c r="N34" s="1">
        <f t="shared" si="0"/>
        <v>974</v>
      </c>
      <c r="O34" s="1">
        <f t="shared" si="1"/>
        <v>0.85600333490307057</v>
      </c>
      <c r="P34" s="1">
        <f t="shared" si="2"/>
        <v>-4.0407594420035489</v>
      </c>
      <c r="R34" s="1">
        <f t="shared" si="3"/>
        <v>-5.3050597214302428E-3</v>
      </c>
    </row>
    <row r="35" spans="1:18" x14ac:dyDescent="0.3">
      <c r="A35" s="2">
        <v>44805</v>
      </c>
      <c r="B35" s="3">
        <v>401.30716769999998</v>
      </c>
      <c r="C35" s="3">
        <v>237.242766666666</v>
      </c>
      <c r="D35" s="3">
        <v>164.06440103333301</v>
      </c>
      <c r="E35" s="3">
        <v>2921.2</v>
      </c>
      <c r="F35" s="3">
        <v>0</v>
      </c>
      <c r="G35" s="3">
        <v>7117.2830000000004</v>
      </c>
      <c r="H35" s="10">
        <v>9.52293162E-4</v>
      </c>
      <c r="I35" s="3">
        <v>87636</v>
      </c>
      <c r="J35" s="3">
        <v>4921.9320310000003</v>
      </c>
      <c r="K35" s="3">
        <v>40.882499551062303</v>
      </c>
      <c r="L35" s="3">
        <v>77.447097832136208</v>
      </c>
      <c r="N35" s="1">
        <f t="shared" si="0"/>
        <v>1005</v>
      </c>
      <c r="O35" s="1">
        <f t="shared" si="1"/>
        <v>0.69154648353873305</v>
      </c>
      <c r="P35" s="1">
        <f t="shared" si="2"/>
        <v>-2.8386968528529191</v>
      </c>
      <c r="R35" s="1">
        <f t="shared" si="3"/>
        <v>-2.7000235185173768E-3</v>
      </c>
    </row>
    <row r="36" spans="1:18" x14ac:dyDescent="0.3">
      <c r="A36" s="2">
        <v>44835</v>
      </c>
      <c r="B36" s="3">
        <v>554.12204248387104</v>
      </c>
      <c r="C36" s="3">
        <v>344.05854838709598</v>
      </c>
      <c r="D36" s="3">
        <v>210.06349409677401</v>
      </c>
      <c r="E36" s="3">
        <v>3472.6129032258</v>
      </c>
      <c r="F36" s="3">
        <v>0</v>
      </c>
      <c r="G36" s="3">
        <v>10665.815000000001</v>
      </c>
      <c r="H36" s="10">
        <v>1.4270870909999999E-3</v>
      </c>
      <c r="I36" s="3">
        <v>107651</v>
      </c>
      <c r="J36" s="3">
        <v>6511.9683169999998</v>
      </c>
      <c r="K36" s="3">
        <v>37.909247059575065</v>
      </c>
      <c r="L36" s="3">
        <v>63.483499366902571</v>
      </c>
      <c r="N36" s="1">
        <f t="shared" si="0"/>
        <v>1035</v>
      </c>
      <c r="O36" s="1">
        <f t="shared" si="1"/>
        <v>0.61054577798321175</v>
      </c>
      <c r="P36" s="1">
        <f t="shared" si="2"/>
        <v>1.8979837763708645</v>
      </c>
      <c r="R36" s="1">
        <f t="shared" si="3"/>
        <v>-2.7829591192738245E-3</v>
      </c>
    </row>
    <row r="37" spans="1:18" x14ac:dyDescent="0.3">
      <c r="A37" s="2">
        <v>44866</v>
      </c>
      <c r="B37" s="3">
        <v>480.26740243333336</v>
      </c>
      <c r="C37" s="3">
        <v>315.07943333333333</v>
      </c>
      <c r="D37" s="3">
        <v>165.1879691</v>
      </c>
      <c r="E37" s="3">
        <v>3382.5333333333333</v>
      </c>
      <c r="F37" s="3">
        <v>0</v>
      </c>
      <c r="G37" s="3">
        <v>9452.3829999999998</v>
      </c>
      <c r="H37" s="10">
        <v>1.26472977E-3</v>
      </c>
      <c r="I37" s="3">
        <v>101476</v>
      </c>
      <c r="J37" s="3">
        <v>4955.6390730000003</v>
      </c>
      <c r="K37" s="3">
        <v>34.394999174013272</v>
      </c>
      <c r="L37" s="3">
        <v>67.524109507623635</v>
      </c>
      <c r="N37" s="1">
        <f t="shared" si="0"/>
        <v>1066</v>
      </c>
      <c r="O37" s="1">
        <f t="shared" si="1"/>
        <v>0.52427404528572319</v>
      </c>
      <c r="P37" s="1">
        <f t="shared" si="2"/>
        <v>3.9871738679412863</v>
      </c>
      <c r="R37" s="1">
        <f t="shared" si="3"/>
        <v>6.4987073183841526E-3</v>
      </c>
    </row>
    <row r="38" spans="1:18" x14ac:dyDescent="0.3">
      <c r="A38" s="2">
        <v>44896</v>
      </c>
      <c r="B38" s="3">
        <v>543.26458980645157</v>
      </c>
      <c r="C38" s="3">
        <v>315.99200000000002</v>
      </c>
      <c r="D38" s="3">
        <v>227.27258980645161</v>
      </c>
      <c r="E38" s="3">
        <v>3148.5806451612902</v>
      </c>
      <c r="F38" s="3">
        <v>0</v>
      </c>
      <c r="G38" s="3">
        <v>9795.7520000000004</v>
      </c>
      <c r="H38" s="10">
        <v>1.310672574E-3</v>
      </c>
      <c r="I38" s="3">
        <v>97606</v>
      </c>
      <c r="J38" s="3">
        <v>7045.4502839999996</v>
      </c>
      <c r="K38" s="3">
        <v>41.83460399791965</v>
      </c>
      <c r="L38" s="3">
        <v>62.672290886906893</v>
      </c>
      <c r="N38" s="1">
        <f t="shared" si="0"/>
        <v>1096</v>
      </c>
      <c r="O38" s="1">
        <f t="shared" si="1"/>
        <v>0.71923526483724776</v>
      </c>
      <c r="P38" s="1">
        <f t="shared" si="2"/>
        <v>2.6278223420430775</v>
      </c>
      <c r="R38" s="1">
        <f t="shared" si="3"/>
        <v>8.6802244913015481E-4</v>
      </c>
    </row>
    <row r="39" spans="1:18" x14ac:dyDescent="0.3">
      <c r="A39" s="2">
        <v>44927</v>
      </c>
      <c r="B39" s="3">
        <v>590.64198177419303</v>
      </c>
      <c r="C39" s="3">
        <v>338.25503225806398</v>
      </c>
      <c r="D39" s="3">
        <v>252.38694951612899</v>
      </c>
      <c r="E39" s="3">
        <v>3243.77419354838</v>
      </c>
      <c r="F39" s="3">
        <v>0</v>
      </c>
      <c r="G39" s="3">
        <v>10485.906000000001</v>
      </c>
      <c r="H39" s="10">
        <v>1.403015245E-3</v>
      </c>
      <c r="I39" s="3">
        <v>100557</v>
      </c>
      <c r="J39" s="3">
        <v>7823.9954349999998</v>
      </c>
      <c r="K39" s="3">
        <v>42.73095331930169</v>
      </c>
      <c r="L39" s="3">
        <v>60.317479347993384</v>
      </c>
      <c r="N39" s="1">
        <f t="shared" si="0"/>
        <v>1127</v>
      </c>
      <c r="O39" s="1">
        <f t="shared" si="1"/>
        <v>0.74614396076028255</v>
      </c>
      <c r="P39" s="1">
        <f t="shared" si="2"/>
        <v>2.4912816077239563</v>
      </c>
      <c r="R39" s="1">
        <f t="shared" si="3"/>
        <v>3.796547903908E-3</v>
      </c>
    </row>
    <row r="40" spans="1:18" x14ac:dyDescent="0.3">
      <c r="A40" s="2">
        <v>44958</v>
      </c>
      <c r="B40" s="3">
        <v>594.64592796428497</v>
      </c>
      <c r="C40" s="3">
        <v>319.04396428571403</v>
      </c>
      <c r="D40" s="3">
        <v>275.601963678571</v>
      </c>
      <c r="E40" s="3">
        <v>3180.8214285714198</v>
      </c>
      <c r="F40" s="3">
        <v>0</v>
      </c>
      <c r="G40" s="3">
        <v>8933.2309999999998</v>
      </c>
      <c r="H40" s="10">
        <v>1.195267178E-3</v>
      </c>
      <c r="I40" s="3">
        <v>89063</v>
      </c>
      <c r="J40" s="3">
        <v>7716.8549830000002</v>
      </c>
      <c r="K40" s="3">
        <v>46.347238031557495</v>
      </c>
      <c r="L40" s="3">
        <v>62.708381480340094</v>
      </c>
      <c r="N40" s="1">
        <f t="shared" si="0"/>
        <v>1158</v>
      </c>
      <c r="O40" s="1">
        <f t="shared" si="1"/>
        <v>0.86383694578143055</v>
      </c>
      <c r="P40" s="1">
        <f t="shared" si="2"/>
        <v>-4.494432160435661</v>
      </c>
      <c r="R40" s="1">
        <f t="shared" si="3"/>
        <v>3.3677874284671853E-4</v>
      </c>
    </row>
    <row r="41" spans="1:18" x14ac:dyDescent="0.3">
      <c r="A41" s="2">
        <v>44986</v>
      </c>
      <c r="B41" s="3">
        <v>635.66835677419294</v>
      </c>
      <c r="C41" s="3">
        <v>339.33680645161201</v>
      </c>
      <c r="D41" s="3">
        <v>296.33155032257997</v>
      </c>
      <c r="E41" s="3">
        <v>3246.5483870967701</v>
      </c>
      <c r="F41" s="3">
        <v>0</v>
      </c>
      <c r="G41" s="3">
        <v>10519.441000000001</v>
      </c>
      <c r="H41" s="10">
        <v>1.4075022309999899E-3</v>
      </c>
      <c r="I41" s="3">
        <v>100643</v>
      </c>
      <c r="J41" s="3">
        <v>9186.2780600000006</v>
      </c>
      <c r="K41" s="3">
        <v>46.617319733573829</v>
      </c>
      <c r="L41" s="3">
        <v>60.176614080539061</v>
      </c>
      <c r="N41" s="1">
        <f t="shared" si="0"/>
        <v>1186</v>
      </c>
      <c r="O41" s="1">
        <f t="shared" si="1"/>
        <v>0.87326675058113867</v>
      </c>
      <c r="P41" s="1">
        <f t="shared" si="2"/>
        <v>-4.6191711910468811</v>
      </c>
      <c r="R41" s="1">
        <f t="shared" si="3"/>
        <v>-7.508970032414109E-3</v>
      </c>
    </row>
    <row r="42" spans="1:18" x14ac:dyDescent="0.3">
      <c r="A42" s="2">
        <v>45017</v>
      </c>
      <c r="B42" s="3">
        <v>598.13524180000002</v>
      </c>
      <c r="C42" s="3">
        <v>364.60796666666602</v>
      </c>
      <c r="D42" s="3">
        <v>233.52727513333301</v>
      </c>
      <c r="E42" s="3">
        <v>3563.4</v>
      </c>
      <c r="F42" s="3">
        <v>0</v>
      </c>
      <c r="G42" s="3">
        <v>10938.239</v>
      </c>
      <c r="H42" s="10">
        <v>1.463537443E-3</v>
      </c>
      <c r="I42" s="3">
        <v>106902</v>
      </c>
      <c r="J42" s="3">
        <v>7005.8182539999998</v>
      </c>
      <c r="K42" s="3">
        <v>39.042554060276963</v>
      </c>
      <c r="L42" s="3">
        <v>61.471704869494985</v>
      </c>
      <c r="N42" s="1">
        <f t="shared" si="0"/>
        <v>1217</v>
      </c>
      <c r="O42" s="1">
        <f t="shared" si="1"/>
        <v>0.64048867957630129</v>
      </c>
      <c r="P42" s="1">
        <f t="shared" si="2"/>
        <v>4.7243533332012886</v>
      </c>
      <c r="R42" s="1">
        <f t="shared" si="3"/>
        <v>3.6882263572990402E-5</v>
      </c>
    </row>
    <row r="43" spans="1:18" x14ac:dyDescent="0.3">
      <c r="A43" s="2">
        <v>45047</v>
      </c>
      <c r="B43" s="3">
        <v>714.75100380645154</v>
      </c>
      <c r="C43" s="3">
        <v>435.40029032258064</v>
      </c>
      <c r="D43" s="3">
        <v>279.35071348387095</v>
      </c>
      <c r="E43" s="3">
        <v>4250.1290322580644</v>
      </c>
      <c r="F43" s="1">
        <v>0</v>
      </c>
      <c r="G43" s="3">
        <v>13497.409</v>
      </c>
      <c r="H43" s="10">
        <v>1.8059546430000001E-3</v>
      </c>
      <c r="I43" s="3">
        <v>131754</v>
      </c>
      <c r="J43" s="3">
        <v>8659.8721179999993</v>
      </c>
      <c r="K43" s="3">
        <v>39.08364059597973</v>
      </c>
      <c r="L43" s="3">
        <v>61.397436293143372</v>
      </c>
      <c r="N43" s="1">
        <f t="shared" si="0"/>
        <v>1247</v>
      </c>
      <c r="O43" s="1">
        <f t="shared" si="1"/>
        <v>0.641595147483491</v>
      </c>
      <c r="P43" s="1">
        <f t="shared" si="2"/>
        <v>0.4881582003159225</v>
      </c>
      <c r="R43" s="1">
        <f t="shared" si="3"/>
        <v>7.4177432555726898E-3</v>
      </c>
    </row>
    <row r="44" spans="1:18" x14ac:dyDescent="0.3">
      <c r="A44" s="2">
        <v>45078</v>
      </c>
      <c r="B44" s="3">
        <v>937.94683063333332</v>
      </c>
      <c r="C44" s="3">
        <v>501.16173333333336</v>
      </c>
      <c r="D44" s="3">
        <v>436.78509730000002</v>
      </c>
      <c r="E44" s="3">
        <v>4630.2</v>
      </c>
      <c r="F44" s="1">
        <v>0</v>
      </c>
      <c r="G44" s="3">
        <v>15034.852000000001</v>
      </c>
      <c r="H44" s="10">
        <v>2.0116646650000002E-3</v>
      </c>
      <c r="I44" s="3">
        <v>138906</v>
      </c>
      <c r="J44" s="3">
        <v>13103.552919</v>
      </c>
      <c r="K44" s="3">
        <v>46.568215066633144</v>
      </c>
      <c r="L44" s="3">
        <v>58.111044844338998</v>
      </c>
      <c r="N44" s="1">
        <f t="shared" si="0"/>
        <v>1278</v>
      </c>
      <c r="O44" s="1">
        <f t="shared" si="1"/>
        <v>0.8715451884062444</v>
      </c>
      <c r="P44" s="1">
        <f t="shared" si="2"/>
        <v>-3.7404854682099011</v>
      </c>
      <c r="R44" s="1">
        <f t="shared" si="3"/>
        <v>-6.8878765122266095E-3</v>
      </c>
    </row>
    <row r="45" spans="1:18" x14ac:dyDescent="0.3">
      <c r="A45" s="2">
        <v>45108</v>
      </c>
      <c r="B45" s="3">
        <v>918.0822146774193</v>
      </c>
      <c r="C45" s="3">
        <v>551.43090322580645</v>
      </c>
      <c r="D45" s="3">
        <v>366.65131145161291</v>
      </c>
      <c r="E45" s="3">
        <v>4856.322580645161</v>
      </c>
      <c r="F45" s="1">
        <v>0</v>
      </c>
      <c r="G45" s="3">
        <v>17094.358</v>
      </c>
      <c r="H45" s="10">
        <v>2.2872267679999998E-3</v>
      </c>
      <c r="I45" s="3">
        <v>150546</v>
      </c>
      <c r="J45" s="3">
        <v>11366.190655</v>
      </c>
      <c r="K45" s="3">
        <v>39.936653339967037</v>
      </c>
      <c r="L45" s="3">
        <v>55.392792803333123</v>
      </c>
      <c r="N45" s="1">
        <f t="shared" si="0"/>
        <v>1308</v>
      </c>
      <c r="O45" s="1">
        <f t="shared" si="1"/>
        <v>0.66490889303944611</v>
      </c>
      <c r="P45" s="1">
        <f t="shared" si="2"/>
        <v>1.4503174947535775</v>
      </c>
      <c r="R45" s="1">
        <f t="shared" si="3"/>
        <v>1.0396697213608504E-3</v>
      </c>
    </row>
    <row r="46" spans="1:18" x14ac:dyDescent="0.3">
      <c r="A46" s="2">
        <v>45139</v>
      </c>
      <c r="B46" s="3">
        <v>1105.0723998387098</v>
      </c>
      <c r="C46" s="3">
        <v>651.13854838709676</v>
      </c>
      <c r="D46" s="3">
        <v>453.9338514516129</v>
      </c>
      <c r="E46" s="3">
        <v>4778.5161290322585</v>
      </c>
      <c r="F46" s="1">
        <v>0</v>
      </c>
      <c r="G46" s="3">
        <v>20185.294999999998</v>
      </c>
      <c r="H46" s="10">
        <v>2.7007944429999998E-3</v>
      </c>
      <c r="I46" s="3">
        <v>148134</v>
      </c>
      <c r="J46" s="3">
        <v>14071.949395</v>
      </c>
      <c r="K46" s="3">
        <v>41.077295163454139</v>
      </c>
      <c r="L46" s="3">
        <v>46.159009972358596</v>
      </c>
      <c r="N46" s="1">
        <f t="shared" si="0"/>
        <v>1339</v>
      </c>
      <c r="O46" s="1">
        <f t="shared" si="1"/>
        <v>0.69713865440163247</v>
      </c>
      <c r="P46" s="1">
        <f t="shared" si="2"/>
        <v>0.91653524813554343</v>
      </c>
      <c r="R46" s="1">
        <f t="shared" si="3"/>
        <v>1.1269870373933344E-3</v>
      </c>
    </row>
    <row r="47" spans="1:18" x14ac:dyDescent="0.3">
      <c r="A47" s="2">
        <v>45170</v>
      </c>
      <c r="B47" s="3">
        <v>1115.6164486666667</v>
      </c>
      <c r="C47" s="3">
        <v>644.09236666666663</v>
      </c>
      <c r="D47" s="3">
        <v>471.52408200000002</v>
      </c>
      <c r="E47" s="3">
        <v>4246.6333333333332</v>
      </c>
      <c r="F47" s="1">
        <v>0</v>
      </c>
      <c r="G47" s="3">
        <v>19322.771000000001</v>
      </c>
      <c r="H47" s="10">
        <v>2.5853886440000001E-3</v>
      </c>
      <c r="I47" s="3">
        <v>127399</v>
      </c>
      <c r="J47" s="3">
        <v>14145.722460000001</v>
      </c>
      <c r="K47" s="3">
        <v>42.26578790260254</v>
      </c>
      <c r="L47" s="3">
        <v>41.469943943340212</v>
      </c>
      <c r="N47" s="1">
        <f t="shared" si="0"/>
        <v>1370</v>
      </c>
      <c r="O47" s="1">
        <f t="shared" si="1"/>
        <v>0.73207525256082584</v>
      </c>
      <c r="P47" s="1">
        <f t="shared" si="2"/>
        <v>1.1495075285155287</v>
      </c>
      <c r="R47" s="1">
        <f t="shared" si="3"/>
        <v>1.9647621134989414E-4</v>
      </c>
    </row>
    <row r="48" spans="1:18" x14ac:dyDescent="0.3">
      <c r="A48" s="2">
        <v>45200</v>
      </c>
      <c r="B48" s="3">
        <v>1090.51971</v>
      </c>
      <c r="C48" s="3">
        <v>627.4676774193548</v>
      </c>
      <c r="D48" s="3">
        <v>463.05203258064512</v>
      </c>
      <c r="E48" s="3">
        <v>4974</v>
      </c>
      <c r="F48" s="1">
        <v>0</v>
      </c>
      <c r="G48" s="3">
        <v>19451.498</v>
      </c>
      <c r="H48" s="10">
        <v>2.6026123299999998E-3</v>
      </c>
      <c r="I48" s="3">
        <v>154194</v>
      </c>
      <c r="J48" s="3">
        <v>14354.613009999999</v>
      </c>
      <c r="K48" s="3">
        <v>42.461592242165445</v>
      </c>
      <c r="L48" s="3">
        <v>49.859883346773593</v>
      </c>
      <c r="N48" s="1">
        <f t="shared" si="0"/>
        <v>1400</v>
      </c>
      <c r="O48" s="1">
        <f t="shared" si="1"/>
        <v>0.73796953890132266</v>
      </c>
      <c r="P48" s="1">
        <f t="shared" si="2"/>
        <v>5.6689579532093486</v>
      </c>
      <c r="R48" s="1">
        <f t="shared" si="3"/>
        <v>1.4252075834347844E-3</v>
      </c>
    </row>
    <row r="49" spans="1:18" x14ac:dyDescent="0.3">
      <c r="A49" s="2">
        <v>45231</v>
      </c>
      <c r="B49" s="3">
        <v>1078.7302222666665</v>
      </c>
      <c r="C49" s="3">
        <v>605.2967666666666</v>
      </c>
      <c r="D49" s="3">
        <v>473.4334556</v>
      </c>
      <c r="E49" s="3">
        <v>5300.4666666666662</v>
      </c>
      <c r="F49" s="1">
        <v>0</v>
      </c>
      <c r="G49" s="3">
        <v>18158.902999999998</v>
      </c>
      <c r="H49" s="10">
        <v>2.4296629969999999E-3</v>
      </c>
      <c r="I49" s="3">
        <v>159014</v>
      </c>
      <c r="J49" s="3">
        <v>14203.003667999999</v>
      </c>
      <c r="K49" s="3">
        <v>43.888031115435396</v>
      </c>
      <c r="L49" s="3">
        <v>55.078561584915121</v>
      </c>
      <c r="N49" s="1">
        <f t="shared" si="0"/>
        <v>1431</v>
      </c>
      <c r="O49" s="1">
        <f t="shared" si="1"/>
        <v>0.78215097398780098</v>
      </c>
      <c r="P49" s="1">
        <f t="shared" si="2"/>
        <v>6.1306331315787777</v>
      </c>
      <c r="R49" s="1">
        <f t="shared" si="3"/>
        <v>6.5864454641213488E-3</v>
      </c>
    </row>
    <row r="50" spans="1:18" x14ac:dyDescent="0.3">
      <c r="A50" s="2">
        <v>45261</v>
      </c>
      <c r="B50" s="3">
        <v>1161.4751947741936</v>
      </c>
      <c r="C50" s="3">
        <v>586.67938709677424</v>
      </c>
      <c r="D50" s="3">
        <v>574.79580767741936</v>
      </c>
      <c r="E50" s="3">
        <v>6737.0322580645161</v>
      </c>
      <c r="F50" s="1">
        <v>0</v>
      </c>
      <c r="G50" s="3">
        <v>18187.061000000002</v>
      </c>
      <c r="H50" s="10">
        <v>2.4334305330000004E-3</v>
      </c>
      <c r="I50" s="3">
        <v>208848</v>
      </c>
      <c r="J50" s="3">
        <v>17818.670038</v>
      </c>
      <c r="K50" s="3">
        <v>49.488427326178709</v>
      </c>
      <c r="L50" s="3">
        <v>72.227841012904719</v>
      </c>
      <c r="N50" s="1">
        <f t="shared" si="0"/>
        <v>1461</v>
      </c>
      <c r="O50" s="1">
        <f t="shared" si="1"/>
        <v>0.97974433791144144</v>
      </c>
      <c r="P50" s="1">
        <f t="shared" si="2"/>
        <v>-1.5667874555287786</v>
      </c>
      <c r="R50" s="1">
        <f t="shared" si="3"/>
        <v>1.8814126749104089E-3</v>
      </c>
    </row>
    <row r="51" spans="1:18" x14ac:dyDescent="0.3">
      <c r="A51" s="2">
        <v>45292</v>
      </c>
      <c r="B51" s="3">
        <v>1171.6208076774194</v>
      </c>
      <c r="C51" s="3">
        <v>574.86832258064521</v>
      </c>
      <c r="D51" s="3">
        <v>596.75248509677419</v>
      </c>
      <c r="E51" s="3">
        <v>6969.9354838709678</v>
      </c>
      <c r="F51" s="1">
        <v>0</v>
      </c>
      <c r="G51" s="3">
        <v>17820.918000000001</v>
      </c>
      <c r="H51" s="10">
        <v>2.3844405660000002E-3</v>
      </c>
      <c r="I51" s="3">
        <v>216068</v>
      </c>
      <c r="J51" s="3">
        <v>18499.327037999999</v>
      </c>
      <c r="K51" s="3">
        <v>50.933926846157306</v>
      </c>
      <c r="L51" s="3">
        <v>76.260072932269807</v>
      </c>
      <c r="N51" s="1">
        <f t="shared" si="0"/>
        <v>1492</v>
      </c>
      <c r="O51" s="1">
        <f t="shared" si="1"/>
        <v>1.0380681308336641</v>
      </c>
      <c r="P51" s="1">
        <f t="shared" si="2"/>
        <v>-1.590100024174891</v>
      </c>
      <c r="R51" s="1">
        <f t="shared" si="3"/>
        <v>-3.9819662628172983E-3</v>
      </c>
    </row>
    <row r="52" spans="1:18" x14ac:dyDescent="0.3">
      <c r="A52" s="2">
        <v>45323</v>
      </c>
      <c r="B52" s="3">
        <v>1170.5968497931035</v>
      </c>
      <c r="C52" s="3">
        <v>611.39675862068975</v>
      </c>
      <c r="D52" s="3">
        <v>559.20009117241375</v>
      </c>
      <c r="E52" s="3">
        <v>6847.5172413793107</v>
      </c>
      <c r="F52" s="1">
        <v>0</v>
      </c>
      <c r="G52" s="3">
        <v>17730.506000000001</v>
      </c>
      <c r="H52" s="10">
        <v>2.3723434390000003E-3</v>
      </c>
      <c r="I52" s="3">
        <v>198578</v>
      </c>
      <c r="J52" s="3">
        <v>16216.802643999999</v>
      </c>
      <c r="K52" s="3">
        <v>47.770510511048208</v>
      </c>
      <c r="L52" s="3">
        <v>70.444459080863226</v>
      </c>
      <c r="N52" s="1">
        <f t="shared" si="0"/>
        <v>1523</v>
      </c>
      <c r="O52" s="1">
        <f t="shared" si="1"/>
        <v>0.91462717668632787</v>
      </c>
      <c r="P52" s="1">
        <f t="shared" si="2"/>
        <v>1.7571361845904361</v>
      </c>
      <c r="R52" s="1">
        <f t="shared" si="3"/>
        <v>2.0947657839606093E-3</v>
      </c>
    </row>
    <row r="53" spans="1:18" x14ac:dyDescent="0.3">
      <c r="A53" s="2">
        <v>45352</v>
      </c>
      <c r="B53" s="3">
        <v>1189.3304430322582</v>
      </c>
      <c r="C53" s="3">
        <v>602.07819354838705</v>
      </c>
      <c r="D53" s="3">
        <v>587.25224948387097</v>
      </c>
      <c r="E53" s="3">
        <v>5821.3548387096771</v>
      </c>
      <c r="F53" s="1">
        <v>0</v>
      </c>
      <c r="G53" s="3">
        <v>18664.423999999999</v>
      </c>
      <c r="H53" s="10">
        <v>2.497301751E-3</v>
      </c>
      <c r="I53" s="3">
        <v>180462</v>
      </c>
      <c r="J53" s="3">
        <v>18204.819734000001</v>
      </c>
      <c r="K53" s="3">
        <v>49.376710478094019</v>
      </c>
      <c r="L53" s="3">
        <v>60.814621849567928</v>
      </c>
      <c r="N53" s="1">
        <f t="shared" si="0"/>
        <v>1552</v>
      </c>
      <c r="O53" s="1">
        <f t="shared" si="1"/>
        <v>0.97537538442118554</v>
      </c>
      <c r="P53" s="1">
        <f t="shared" si="2"/>
        <v>-3.3959840864806066</v>
      </c>
      <c r="R53" s="1">
        <f t="shared" si="3"/>
        <v>2.3054901845004897E-4</v>
      </c>
    </row>
    <row r="54" spans="1:18" x14ac:dyDescent="0.3">
      <c r="A54" s="2">
        <v>45383</v>
      </c>
      <c r="B54" s="3">
        <v>1204.2016204666666</v>
      </c>
      <c r="C54" s="3">
        <v>607.40883333333329</v>
      </c>
      <c r="D54" s="3">
        <v>596.79278713333338</v>
      </c>
      <c r="E54" s="3">
        <v>5841.9666666666662</v>
      </c>
      <c r="F54" s="1">
        <v>0</v>
      </c>
      <c r="G54" s="3">
        <v>18222.264999999999</v>
      </c>
      <c r="H54" s="10">
        <v>2.4381408360000002E-3</v>
      </c>
      <c r="I54" s="3">
        <v>175259</v>
      </c>
      <c r="J54" s="3">
        <v>17903.783614</v>
      </c>
      <c r="K54" s="3">
        <v>49.559208108527294</v>
      </c>
      <c r="L54" s="3">
        <v>60.494348984607562</v>
      </c>
      <c r="N54" s="1">
        <f t="shared" si="0"/>
        <v>1583</v>
      </c>
      <c r="O54" s="1">
        <f t="shared" si="1"/>
        <v>0.98252240399313706</v>
      </c>
      <c r="P54" s="1">
        <f t="shared" si="2"/>
        <v>1.7209530728685363</v>
      </c>
      <c r="R54" s="1">
        <f t="shared" si="3"/>
        <v>-4.6022294557761263E-3</v>
      </c>
    </row>
    <row r="55" spans="1:18" x14ac:dyDescent="0.3">
      <c r="A55" s="2">
        <v>45413</v>
      </c>
      <c r="B55" s="3">
        <v>1095.4242159677422</v>
      </c>
      <c r="C55" s="3">
        <v>593.90112903225815</v>
      </c>
      <c r="D55" s="3">
        <v>501.52308693548389</v>
      </c>
      <c r="E55" s="3">
        <v>5933.3548387096771</v>
      </c>
      <c r="F55" s="1">
        <v>0</v>
      </c>
      <c r="G55" s="3">
        <v>18410.935000000001</v>
      </c>
      <c r="H55" s="10">
        <v>2.4633848979999998E-3</v>
      </c>
      <c r="I55" s="3">
        <v>183934</v>
      </c>
      <c r="J55" s="3">
        <v>15547.215695000001</v>
      </c>
      <c r="K55" s="3">
        <v>45.783458100058347</v>
      </c>
      <c r="L55" s="3">
        <v>62.838094491127144</v>
      </c>
      <c r="N55" s="1">
        <f t="shared" si="0"/>
        <v>1613</v>
      </c>
      <c r="O55" s="1">
        <f t="shared" si="1"/>
        <v>0.84445552031985327</v>
      </c>
      <c r="P55" s="1">
        <f t="shared" si="2"/>
        <v>6.6046103865134622</v>
      </c>
      <c r="R55" s="1">
        <f t="shared" si="3"/>
        <v>6.5528066746571032E-3</v>
      </c>
    </row>
    <row r="56" spans="1:18" x14ac:dyDescent="0.3">
      <c r="A56" s="2">
        <v>45444</v>
      </c>
      <c r="B56" s="3">
        <v>1187.8217344</v>
      </c>
      <c r="C56" s="3">
        <v>580.10649999999998</v>
      </c>
      <c r="D56" s="3">
        <v>607.71523439999999</v>
      </c>
      <c r="E56" s="3">
        <v>6214.8</v>
      </c>
      <c r="F56" s="1">
        <v>0</v>
      </c>
      <c r="G56" s="3">
        <v>17403.195</v>
      </c>
      <c r="H56" s="10">
        <v>2.3285491879999998E-3</v>
      </c>
      <c r="I56" s="3">
        <v>186444</v>
      </c>
      <c r="J56" s="3">
        <v>18231.457031999998</v>
      </c>
      <c r="K56" s="3">
        <v>51.162158158940649</v>
      </c>
      <c r="L56" s="3">
        <v>67.383918366713687</v>
      </c>
      <c r="N56" s="1">
        <f t="shared" si="0"/>
        <v>1644</v>
      </c>
      <c r="O56" s="1">
        <f t="shared" si="1"/>
        <v>1.0475925272342235</v>
      </c>
      <c r="P56" s="1">
        <f t="shared" si="2"/>
        <v>-0.87815919676401499</v>
      </c>
      <c r="R56" s="1">
        <f t="shared" si="3"/>
        <v>1.4009090910017971E-3</v>
      </c>
    </row>
    <row r="57" spans="1:18" x14ac:dyDescent="0.3">
      <c r="A57" s="2">
        <v>45474</v>
      </c>
      <c r="B57" s="3">
        <v>1218.9743177419357</v>
      </c>
      <c r="C57" s="3">
        <v>583.34741935483873</v>
      </c>
      <c r="D57" s="3">
        <v>635.62689838709684</v>
      </c>
      <c r="E57" s="3">
        <v>4610.7741935483873</v>
      </c>
      <c r="F57" s="1">
        <v>0</v>
      </c>
      <c r="G57" s="3">
        <v>18083.77</v>
      </c>
      <c r="H57" s="10">
        <v>2.4196101870000001E-3</v>
      </c>
      <c r="I57" s="3">
        <v>142934</v>
      </c>
      <c r="J57" s="3">
        <v>19704.433850000001</v>
      </c>
      <c r="K57" s="3">
        <v>52.144404450173411</v>
      </c>
      <c r="L57" s="3">
        <v>49.714538130046996</v>
      </c>
      <c r="N57" s="1">
        <f t="shared" si="0"/>
        <v>1674</v>
      </c>
      <c r="O57" s="1">
        <f t="shared" si="1"/>
        <v>1.0896197999642774</v>
      </c>
      <c r="P57" s="1">
        <f t="shared" si="2"/>
        <v>-2.6457801095181179</v>
      </c>
      <c r="R57" s="1">
        <f t="shared" si="3"/>
        <v>-2.3877768870088131E-3</v>
      </c>
    </row>
    <row r="58" spans="1:18" x14ac:dyDescent="0.3">
      <c r="A58" s="2">
        <v>45505</v>
      </c>
      <c r="B58" s="3">
        <v>1185.7475312258061</v>
      </c>
      <c r="C58" s="3">
        <v>588.2855161290322</v>
      </c>
      <c r="D58" s="3">
        <v>597.46201509677417</v>
      </c>
      <c r="E58" s="3">
        <v>3845.5806451612902</v>
      </c>
      <c r="F58" s="1">
        <v>0</v>
      </c>
      <c r="G58" s="3">
        <v>18236.850999999999</v>
      </c>
      <c r="H58" s="10">
        <v>2.44009244E-3</v>
      </c>
      <c r="I58" s="3">
        <v>119213</v>
      </c>
      <c r="J58" s="3">
        <v>18521.322467999998</v>
      </c>
      <c r="K58" s="3">
        <v>50.386949950393557</v>
      </c>
      <c r="L58" s="3">
        <v>41.115975965368143</v>
      </c>
      <c r="N58" s="1">
        <f t="shared" si="0"/>
        <v>1705</v>
      </c>
      <c r="O58" s="1">
        <f t="shared" si="1"/>
        <v>1.0155987164670042</v>
      </c>
      <c r="P58" s="1">
        <f t="shared" si="2"/>
        <v>0.40978355901996999</v>
      </c>
      <c r="R58" s="1">
        <f t="shared" si="3"/>
        <v>-7.1611955096970072E-4</v>
      </c>
    </row>
    <row r="59" spans="1:18" x14ac:dyDescent="0.3">
      <c r="A59" s="2">
        <v>45536</v>
      </c>
      <c r="B59" s="3">
        <v>1141.3952229666668</v>
      </c>
      <c r="C59" s="3">
        <v>572.58743333333337</v>
      </c>
      <c r="D59" s="3">
        <v>568.8077896333333</v>
      </c>
      <c r="E59" s="3">
        <v>3691.6333333333332</v>
      </c>
      <c r="F59" s="1">
        <v>0</v>
      </c>
      <c r="G59" s="3">
        <v>17177.623</v>
      </c>
      <c r="H59" s="10">
        <v>2.298367633E-3</v>
      </c>
      <c r="I59" s="3">
        <v>110749</v>
      </c>
      <c r="J59" s="3">
        <v>17064.233689000001</v>
      </c>
      <c r="K59" s="3">
        <v>49.834428792763994</v>
      </c>
      <c r="L59" s="3">
        <v>40.552121804047047</v>
      </c>
      <c r="N59" s="1">
        <f t="shared" si="0"/>
        <v>1736</v>
      </c>
      <c r="O59" s="1">
        <f t="shared" si="1"/>
        <v>0.99339901038694345</v>
      </c>
      <c r="P59" s="1">
        <f t="shared" si="2"/>
        <v>0.98962736941736873</v>
      </c>
      <c r="R59" s="1">
        <f t="shared" si="3"/>
        <v>1.2201471413853342E-3</v>
      </c>
    </row>
    <row r="60" spans="1:18" x14ac:dyDescent="0.3">
      <c r="A60" s="2">
        <v>45566</v>
      </c>
      <c r="B60" s="3">
        <v>1120.1174506129032</v>
      </c>
      <c r="C60" s="3">
        <v>551.78106451612905</v>
      </c>
      <c r="D60" s="3">
        <v>568.33638609677416</v>
      </c>
      <c r="E60" s="3">
        <v>4040.3870967741937</v>
      </c>
      <c r="F60" s="1">
        <v>0</v>
      </c>
      <c r="G60" s="3">
        <v>17105.213</v>
      </c>
      <c r="H60" s="10">
        <v>2.2886791699999998E-3</v>
      </c>
      <c r="I60" s="3">
        <v>125252</v>
      </c>
      <c r="J60" s="3">
        <v>17618.427969</v>
      </c>
      <c r="K60" s="3">
        <v>50.738999359914736</v>
      </c>
      <c r="L60" s="3">
        <v>46.056721398324591</v>
      </c>
      <c r="N60" s="1">
        <f t="shared" si="0"/>
        <v>1766</v>
      </c>
      <c r="O60" s="1">
        <f t="shared" si="1"/>
        <v>1.0300034246285035</v>
      </c>
      <c r="P60" s="1">
        <f t="shared" si="2"/>
        <v>-3.129819099041534</v>
      </c>
      <c r="R60" s="1">
        <f t="shared" si="3"/>
        <v>-7.831101251473235E-5</v>
      </c>
    </row>
    <row r="61" spans="1:18" x14ac:dyDescent="0.3">
      <c r="A61" s="2">
        <v>45597</v>
      </c>
      <c r="B61" s="3">
        <v>1116.0063674999999</v>
      </c>
      <c r="C61" s="3">
        <v>550.41413333333333</v>
      </c>
      <c r="D61" s="3">
        <v>565.59223416666669</v>
      </c>
      <c r="E61" s="3">
        <v>3856.1666666666665</v>
      </c>
      <c r="F61" s="1">
        <v>0</v>
      </c>
      <c r="G61" s="3">
        <v>16512.423999999999</v>
      </c>
      <c r="H61" s="10">
        <v>2.2093639409999999E-3</v>
      </c>
      <c r="I61" s="3">
        <v>115685</v>
      </c>
      <c r="J61" s="3">
        <v>16967.767025000001</v>
      </c>
      <c r="K61" s="3">
        <v>50.680018558824813</v>
      </c>
      <c r="L61" s="3">
        <v>44.065941681245583</v>
      </c>
      <c r="N61" s="1">
        <f t="shared" si="0"/>
        <v>1797</v>
      </c>
      <c r="O61" s="1">
        <f t="shared" si="1"/>
        <v>1.0275757832405468</v>
      </c>
      <c r="P61" s="1">
        <f t="shared" si="2"/>
        <v>-2.8276131266852289</v>
      </c>
      <c r="R61" s="1">
        <f t="shared" si="3"/>
        <v>-3.4618434655245317E-3</v>
      </c>
    </row>
    <row r="62" spans="1:18" x14ac:dyDescent="0.3">
      <c r="A62" s="2">
        <v>45627</v>
      </c>
      <c r="B62" s="3">
        <v>1031.5401258387096</v>
      </c>
      <c r="C62" s="3">
        <v>536.22141935483876</v>
      </c>
      <c r="D62" s="3">
        <v>495.31870648387098</v>
      </c>
      <c r="E62" s="3">
        <v>3144.7096774193546</v>
      </c>
      <c r="F62" s="1">
        <v>0</v>
      </c>
      <c r="G62" s="3">
        <v>16622.864000000001</v>
      </c>
      <c r="H62" s="10">
        <v>2.224140829E-3</v>
      </c>
      <c r="I62" s="3">
        <v>97486</v>
      </c>
      <c r="J62" s="3">
        <v>15354.879901</v>
      </c>
      <c r="K62" s="3">
        <v>48.017395938053731</v>
      </c>
      <c r="L62" s="3">
        <v>36.886991483537365</v>
      </c>
      <c r="N62" s="1">
        <f t="shared" si="0"/>
        <v>1827</v>
      </c>
      <c r="O62" s="1">
        <f t="shared" si="1"/>
        <v>0.92372047927481082</v>
      </c>
      <c r="P62" s="1">
        <f t="shared" si="2"/>
        <v>5.6868452603965611</v>
      </c>
      <c r="R62" s="1">
        <f t="shared" si="3"/>
        <v>3.0528485219946937E-4</v>
      </c>
    </row>
    <row r="63" spans="1:18" x14ac:dyDescent="0.3">
      <c r="A63" s="2">
        <v>45658</v>
      </c>
      <c r="B63" s="3">
        <v>1064.8716282258063</v>
      </c>
      <c r="C63" s="3">
        <v>550.83812903225805</v>
      </c>
      <c r="D63" s="3">
        <v>514.03349919354832</v>
      </c>
      <c r="E63" s="3">
        <v>3460.1290322580644</v>
      </c>
      <c r="F63" s="1">
        <v>0</v>
      </c>
      <c r="G63" s="3">
        <v>17075.982</v>
      </c>
      <c r="H63" s="10">
        <v>2.2847680529999997E-3</v>
      </c>
      <c r="I63" s="3">
        <v>107264</v>
      </c>
      <c r="J63" s="3">
        <v>15935.038474999999</v>
      </c>
      <c r="K63" s="3">
        <v>48.271874803349291</v>
      </c>
      <c r="L63" s="3">
        <v>39.509827733479689</v>
      </c>
      <c r="N63" s="1">
        <f t="shared" si="0"/>
        <v>1858</v>
      </c>
      <c r="O63" s="1">
        <f t="shared" si="1"/>
        <v>0.93318430969299437</v>
      </c>
      <c r="P63" s="1">
        <f t="shared" si="2"/>
        <v>17.339837344627345</v>
      </c>
      <c r="R63" s="1">
        <f t="shared" si="3"/>
        <v>5.8167528684834983E-3</v>
      </c>
    </row>
    <row r="64" spans="1:18" x14ac:dyDescent="0.3">
      <c r="A64" s="2">
        <v>45689</v>
      </c>
      <c r="B64" s="3">
        <v>1107.279507</v>
      </c>
      <c r="C64" s="3">
        <v>523.90707142857138</v>
      </c>
      <c r="D64" s="3">
        <v>583.37243557142858</v>
      </c>
      <c r="E64" s="3">
        <v>3313.2142857142858</v>
      </c>
      <c r="F64" s="1">
        <v>0</v>
      </c>
      <c r="G64" s="3">
        <v>14669.397999999999</v>
      </c>
      <c r="H64" s="10">
        <v>1.9627668880000003E-3</v>
      </c>
      <c r="I64" s="3">
        <v>92770</v>
      </c>
      <c r="J64" s="3">
        <v>16334.428196000001</v>
      </c>
      <c r="K64" s="3">
        <v>52.685201151422426</v>
      </c>
      <c r="L64" s="3">
        <v>39.777006936480966</v>
      </c>
      <c r="N64" s="1">
        <f t="shared" si="0"/>
        <v>1889</v>
      </c>
      <c r="O64" s="1">
        <f t="shared" si="1"/>
        <v>1.1135036486159828</v>
      </c>
      <c r="P64" s="1">
        <f t="shared" si="2"/>
        <v>11.580730422524955</v>
      </c>
      <c r="R64" s="1">
        <f t="shared" si="3"/>
        <v>1.2919223528791339E-2</v>
      </c>
    </row>
    <row r="65" spans="1:18" x14ac:dyDescent="0.3">
      <c r="A65" s="2">
        <v>45717</v>
      </c>
      <c r="B65" s="3">
        <v>1213.9710552903225</v>
      </c>
      <c r="C65" s="3">
        <v>490.44541935483875</v>
      </c>
      <c r="D65" s="3">
        <v>723.52563593548382</v>
      </c>
      <c r="E65" s="3">
        <v>2873.7419354838707</v>
      </c>
      <c r="F65" s="1">
        <v>0</v>
      </c>
      <c r="G65" s="3">
        <v>15203.808000000001</v>
      </c>
      <c r="H65" s="10">
        <v>2.0342709950000003E-3</v>
      </c>
      <c r="I65" s="3">
        <v>89086</v>
      </c>
      <c r="J65" s="3">
        <v>22429.294714</v>
      </c>
      <c r="K65" s="3">
        <v>59.599908315973138</v>
      </c>
      <c r="L65" s="3">
        <v>36.854788142549545</v>
      </c>
      <c r="N65" s="1">
        <f t="shared" si="0"/>
        <v>1917</v>
      </c>
      <c r="O65" s="1">
        <f t="shared" si="1"/>
        <v>1.4752419074221403</v>
      </c>
      <c r="P65" s="1">
        <f t="shared" si="2"/>
        <v>-2.3723413357654977</v>
      </c>
      <c r="R65" s="1">
        <f t="shared" si="3"/>
        <v>-1.795404133452572E-4</v>
      </c>
    </row>
    <row r="66" spans="1:18" x14ac:dyDescent="0.3">
      <c r="A66" s="2">
        <v>45748</v>
      </c>
      <c r="B66" s="3">
        <v>1097.7244561666666</v>
      </c>
      <c r="C66" s="3">
        <v>444.48113333333333</v>
      </c>
      <c r="D66" s="3">
        <v>653.24332283333342</v>
      </c>
      <c r="E66" s="3">
        <v>2959.1</v>
      </c>
      <c r="F66" s="1">
        <v>0</v>
      </c>
      <c r="G66" s="3">
        <v>13334.433999999999</v>
      </c>
      <c r="H66" s="10">
        <v>1.7841485680000001E-3</v>
      </c>
      <c r="I66" s="3">
        <v>88773</v>
      </c>
      <c r="J66" s="3">
        <v>19597.299685000002</v>
      </c>
      <c r="K66" s="3">
        <v>59.508861186759596</v>
      </c>
      <c r="L66" s="3">
        <v>41.873874466662777</v>
      </c>
      <c r="N66" s="1">
        <f t="shared" si="0"/>
        <v>1948</v>
      </c>
      <c r="O66" s="1">
        <f t="shared" si="1"/>
        <v>1.4696761546084374</v>
      </c>
      <c r="P66" s="1">
        <f t="shared" si="2"/>
        <v>1.482991083878088</v>
      </c>
      <c r="R66" s="1">
        <f t="shared" si="3"/>
        <v>-2.2915763947780978E-3</v>
      </c>
    </row>
    <row r="67" spans="1:18" x14ac:dyDescent="0.3">
      <c r="A67" s="2">
        <v>45778</v>
      </c>
      <c r="B67" s="3">
        <v>1134.9150460645162</v>
      </c>
      <c r="C67" s="3">
        <v>472.69832258064514</v>
      </c>
      <c r="D67" s="3">
        <v>662.21672348387096</v>
      </c>
      <c r="E67" s="3">
        <v>2720.7741935483873</v>
      </c>
      <c r="F67" s="1">
        <v>0</v>
      </c>
      <c r="G67" s="3">
        <v>14653.647999999999</v>
      </c>
      <c r="H67" s="10">
        <v>1.9606595310000001E-3</v>
      </c>
      <c r="I67" s="3">
        <v>84344</v>
      </c>
      <c r="J67" s="3">
        <v>20528.718428</v>
      </c>
      <c r="K67" s="3">
        <v>58.349453184201252</v>
      </c>
      <c r="L67" s="3">
        <v>36.203059552133368</v>
      </c>
      <c r="N67" s="1">
        <f t="shared" ref="N67:N69" si="4">A67 -$A$2</f>
        <v>1978</v>
      </c>
      <c r="O67" s="1">
        <f t="shared" ref="O67:O69" si="5">D67/C67</f>
        <v>1.4009288627650944</v>
      </c>
      <c r="P67" s="1">
        <f t="shared" ref="P67:P69" si="6">IF(OR(N69&lt;=0, N67&lt;=0)," ", (O69 - O67) / (LN(N69) - LN(N67)))</f>
        <v>5.502098014444635</v>
      </c>
      <c r="R67" s="1">
        <f t="shared" ref="R67:R69" si="7">(O68-O67) / (N68-N67)</f>
        <v>3.6926987700959435E-3</v>
      </c>
    </row>
    <row r="68" spans="1:18" x14ac:dyDescent="0.3">
      <c r="A68" s="2">
        <v>45809</v>
      </c>
      <c r="B68" s="3">
        <v>1194.8928351333334</v>
      </c>
      <c r="C68" s="3">
        <v>475.03046666666671</v>
      </c>
      <c r="D68" s="3">
        <v>719.86236846666668</v>
      </c>
      <c r="E68" s="3">
        <v>2231.0333333333333</v>
      </c>
      <c r="F68" s="1">
        <v>0</v>
      </c>
      <c r="G68" s="3">
        <v>14250.914000000001</v>
      </c>
      <c r="H68" s="10">
        <v>1.9067736829999999E-3</v>
      </c>
      <c r="I68" s="3">
        <v>66931</v>
      </c>
      <c r="J68" s="3">
        <v>21595.871053999999</v>
      </c>
      <c r="K68" s="3">
        <v>60.244931369626975</v>
      </c>
      <c r="L68" s="3">
        <v>29.540744109465539</v>
      </c>
      <c r="N68" s="1">
        <f t="shared" si="4"/>
        <v>2009</v>
      </c>
      <c r="O68" s="1">
        <f t="shared" si="5"/>
        <v>1.5154025246380687</v>
      </c>
      <c r="P68" s="1" t="str">
        <f t="shared" si="6"/>
        <v xml:space="preserve"> </v>
      </c>
      <c r="R68" s="1">
        <f t="shared" si="7"/>
        <v>1.7547660938916612E-3</v>
      </c>
    </row>
    <row r="69" spans="1:18" x14ac:dyDescent="0.3">
      <c r="A69" s="2">
        <v>45839</v>
      </c>
      <c r="B69" s="3">
        <v>1218.5414039354839</v>
      </c>
      <c r="C69" s="3">
        <v>474.50148387096777</v>
      </c>
      <c r="D69" s="3">
        <v>744.03992006451608</v>
      </c>
      <c r="E69" s="3">
        <v>2634.1935483870966</v>
      </c>
      <c r="F69" s="1">
        <v>0</v>
      </c>
      <c r="G69" s="3">
        <v>14709.546</v>
      </c>
      <c r="H69" s="10">
        <v>1.9681386900000002E-3</v>
      </c>
      <c r="I69" s="3">
        <v>81660</v>
      </c>
      <c r="J69" s="3">
        <v>23065.237521999999</v>
      </c>
      <c r="K69" s="3">
        <v>61.059880087907928</v>
      </c>
      <c r="L69" s="3">
        <v>34.917805620921264</v>
      </c>
      <c r="N69" s="1">
        <f t="shared" si="4"/>
        <v>2039</v>
      </c>
      <c r="O69" s="1">
        <f t="shared" si="5"/>
        <v>1.5680455074548185</v>
      </c>
      <c r="P69" s="1" t="str">
        <f t="shared" si="6"/>
        <v xml:space="preserve"> </v>
      </c>
      <c r="R69" s="1">
        <f t="shared" si="7"/>
        <v>7.6902673244473693E-4</v>
      </c>
    </row>
    <row r="70" spans="1:18" x14ac:dyDescent="0.3">
      <c r="A70" s="2">
        <v>45870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F0D7-C655-4DCF-96B6-A2BDB86D8922}">
  <dimension ref="A1:R44"/>
  <sheetViews>
    <sheetView zoomScale="57" workbookViewId="0">
      <selection activeCell="J2" sqref="J2:J43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16384" width="8.77734375" style="1"/>
  </cols>
  <sheetData>
    <row r="1" spans="1:1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</row>
    <row r="2" spans="1:18" x14ac:dyDescent="0.3">
      <c r="A2" s="4">
        <v>44593</v>
      </c>
      <c r="B2" s="5">
        <v>525.98238000000003</v>
      </c>
      <c r="C2" s="5">
        <v>465.97903571428571</v>
      </c>
      <c r="D2" s="5">
        <v>60.003344285714284</v>
      </c>
      <c r="E2" s="5">
        <v>3484.1071428571427</v>
      </c>
      <c r="F2" s="5">
        <v>0</v>
      </c>
      <c r="G2" s="5">
        <v>13047.413</v>
      </c>
      <c r="H2" s="9">
        <v>1.7457451320000001E-3</v>
      </c>
      <c r="I2" s="5">
        <v>97555</v>
      </c>
      <c r="J2" s="5">
        <v>1680.0936400000001</v>
      </c>
      <c r="K2" s="5">
        <v>11.407862043917572</v>
      </c>
      <c r="L2" s="5">
        <v>47.028590188721701</v>
      </c>
      <c r="N2" s="1">
        <f>A2 -$A$2</f>
        <v>0</v>
      </c>
      <c r="O2" s="1">
        <f>D2/C2</f>
        <v>0.1287683343816893</v>
      </c>
      <c r="P2" s="1" t="str">
        <f>IF(OR(N4&lt;=0, N2&lt;=0)," ", (O4 - O2) / (LN(N4) - LN(N2)))</f>
        <v xml:space="preserve"> </v>
      </c>
      <c r="R2" s="1">
        <f>(O3-O2) / (N3-N2)</f>
        <v>-2.6525619543587725E-3</v>
      </c>
    </row>
    <row r="3" spans="1:18" x14ac:dyDescent="0.3">
      <c r="A3" s="2">
        <v>44621</v>
      </c>
      <c r="B3" s="3">
        <v>654.38269590322591</v>
      </c>
      <c r="C3" s="3">
        <v>620.56406451612906</v>
      </c>
      <c r="D3" s="3">
        <v>33.818631387096772</v>
      </c>
      <c r="E3" s="3">
        <v>4010.0322580645161</v>
      </c>
      <c r="F3" s="3">
        <v>0</v>
      </c>
      <c r="G3" s="3">
        <v>19237.486000000001</v>
      </c>
      <c r="H3" s="10">
        <v>2.5739775049999996E-3</v>
      </c>
      <c r="I3" s="3">
        <v>124311</v>
      </c>
      <c r="J3" s="3">
        <v>1048.377573</v>
      </c>
      <c r="K3" s="3">
        <v>5.1680204257873719</v>
      </c>
      <c r="L3" s="3">
        <v>40.644153180930189</v>
      </c>
      <c r="N3" s="1">
        <f t="shared" ref="N3:N43" si="0">A3 -$A$2</f>
        <v>28</v>
      </c>
      <c r="O3" s="1">
        <f t="shared" ref="O3:O43" si="1">D3/C3</f>
        <v>5.4496599659643673E-2</v>
      </c>
      <c r="P3" s="1">
        <f t="shared" ref="P3:P43" si="2">IF(OR(N5&lt;=0, N3&lt;=0)," ", (O5 - O3) / (LN(N5) - LN(N3)))</f>
        <v>-3.2869750083231862E-2</v>
      </c>
      <c r="R3" s="1">
        <f t="shared" ref="R3:R43" si="3">(O4-O3) / (N4-N3)</f>
        <v>-1.1792898558289338E-3</v>
      </c>
    </row>
    <row r="4" spans="1:18" x14ac:dyDescent="0.3">
      <c r="A4" s="2">
        <v>44652</v>
      </c>
      <c r="B4" s="3">
        <v>751.61170386666663</v>
      </c>
      <c r="C4" s="3">
        <v>738.36643333333325</v>
      </c>
      <c r="D4" s="3">
        <v>13.245270533333333</v>
      </c>
      <c r="E4" s="3">
        <v>4291.4333333333334</v>
      </c>
      <c r="F4" s="3">
        <v>0</v>
      </c>
      <c r="G4" s="3">
        <v>22150.992999999999</v>
      </c>
      <c r="H4" s="10">
        <v>2.9638050259999998E-3</v>
      </c>
      <c r="I4" s="3">
        <v>128743</v>
      </c>
      <c r="J4" s="3">
        <v>397.358116</v>
      </c>
      <c r="K4" s="3">
        <v>1.7622491061798313</v>
      </c>
      <c r="L4" s="3">
        <v>36.556723276468915</v>
      </c>
      <c r="N4" s="1">
        <f t="shared" si="0"/>
        <v>59</v>
      </c>
      <c r="O4" s="1">
        <f t="shared" si="1"/>
        <v>1.7938614128946727E-2</v>
      </c>
      <c r="P4" s="1">
        <f t="shared" si="2"/>
        <v>-2.6212159520469524E-4</v>
      </c>
      <c r="R4" s="1">
        <f t="shared" si="3"/>
        <v>-4.8454689374220761E-5</v>
      </c>
    </row>
    <row r="5" spans="1:18" x14ac:dyDescent="0.3">
      <c r="A5" s="2">
        <v>44682</v>
      </c>
      <c r="B5" s="3">
        <v>897.55554296774187</v>
      </c>
      <c r="C5" s="3">
        <v>882.99932258064518</v>
      </c>
      <c r="D5" s="3">
        <v>14.556220387096776</v>
      </c>
      <c r="E5" s="3">
        <v>5149.2580645161288</v>
      </c>
      <c r="F5" s="3">
        <v>0</v>
      </c>
      <c r="G5" s="3">
        <v>27372.978999999999</v>
      </c>
      <c r="H5" s="10">
        <v>3.66250726E-3</v>
      </c>
      <c r="I5" s="3">
        <v>159627</v>
      </c>
      <c r="J5" s="3">
        <v>451.24283200000002</v>
      </c>
      <c r="K5" s="3">
        <v>1.6217626308637174</v>
      </c>
      <c r="L5" s="3">
        <v>36.679307159078299</v>
      </c>
      <c r="N5" s="1">
        <f t="shared" si="0"/>
        <v>89</v>
      </c>
      <c r="O5" s="1">
        <f t="shared" si="1"/>
        <v>1.6484973447720104E-2</v>
      </c>
      <c r="P5" s="1">
        <f t="shared" si="2"/>
        <v>4.916845505855639E-3</v>
      </c>
      <c r="R5" s="1">
        <f t="shared" si="3"/>
        <v>4.0888591222023526E-5</v>
      </c>
    </row>
    <row r="6" spans="1:18" x14ac:dyDescent="0.3">
      <c r="A6" s="2">
        <v>44713</v>
      </c>
      <c r="B6" s="3">
        <v>902.25535160000004</v>
      </c>
      <c r="C6" s="3">
        <v>886.51743333333332</v>
      </c>
      <c r="D6" s="3">
        <v>15.737918266666666</v>
      </c>
      <c r="E6" s="3">
        <v>5170.5</v>
      </c>
      <c r="F6" s="3">
        <v>0</v>
      </c>
      <c r="G6" s="3">
        <v>26595.523000000001</v>
      </c>
      <c r="H6" s="10">
        <v>3.5584835720000002E-3</v>
      </c>
      <c r="I6" s="3">
        <v>155115</v>
      </c>
      <c r="J6" s="3">
        <v>472.13754799999998</v>
      </c>
      <c r="K6" s="3">
        <v>1.7442864970274858</v>
      </c>
      <c r="L6" s="3">
        <v>36.684457267488213</v>
      </c>
      <c r="N6" s="1">
        <f t="shared" si="0"/>
        <v>120</v>
      </c>
      <c r="O6" s="1">
        <f t="shared" si="1"/>
        <v>1.7752519775602833E-2</v>
      </c>
      <c r="P6" s="1">
        <f t="shared" si="2"/>
        <v>1.023852964412527E-2</v>
      </c>
      <c r="R6" s="1">
        <f t="shared" si="3"/>
        <v>4.3301391247948377E-5</v>
      </c>
    </row>
    <row r="7" spans="1:18" x14ac:dyDescent="0.3">
      <c r="A7" s="2">
        <v>44743</v>
      </c>
      <c r="B7" s="3">
        <v>950.03004870967732</v>
      </c>
      <c r="C7" s="3">
        <v>932.26887096774192</v>
      </c>
      <c r="D7" s="3">
        <v>17.761177741935484</v>
      </c>
      <c r="E7" s="3">
        <v>5237.6451612903229</v>
      </c>
      <c r="F7" s="3">
        <v>0</v>
      </c>
      <c r="G7" s="3">
        <v>28900.334999999999</v>
      </c>
      <c r="H7" s="10">
        <v>3.866867644E-3</v>
      </c>
      <c r="I7" s="3">
        <v>162367</v>
      </c>
      <c r="J7" s="3">
        <v>550.59650999999997</v>
      </c>
      <c r="K7" s="3">
        <v>1.8695385231297224</v>
      </c>
      <c r="L7" s="3">
        <v>35.337166735264489</v>
      </c>
      <c r="N7" s="1">
        <f t="shared" si="0"/>
        <v>150</v>
      </c>
      <c r="O7" s="1">
        <f t="shared" si="1"/>
        <v>1.9051561513041285E-2</v>
      </c>
      <c r="P7" s="1">
        <f t="shared" si="2"/>
        <v>-5.3225779993869779E-3</v>
      </c>
      <c r="R7" s="1">
        <f t="shared" si="3"/>
        <v>9.3840261051451339E-5</v>
      </c>
    </row>
    <row r="8" spans="1:18" x14ac:dyDescent="0.3">
      <c r="A8" s="2">
        <v>44774</v>
      </c>
      <c r="B8" s="3">
        <v>957.18475722580604</v>
      </c>
      <c r="C8" s="3">
        <v>936.61609677419301</v>
      </c>
      <c r="D8" s="3">
        <v>20.568660451612899</v>
      </c>
      <c r="E8" s="3">
        <v>5186.7419354838703</v>
      </c>
      <c r="F8" s="3">
        <v>0</v>
      </c>
      <c r="G8" s="3">
        <v>29035.098999999998</v>
      </c>
      <c r="H8" s="10">
        <v>3.8848990789999999E-3</v>
      </c>
      <c r="I8" s="3">
        <v>160789</v>
      </c>
      <c r="J8" s="3">
        <v>637.62847399999998</v>
      </c>
      <c r="K8" s="3">
        <v>2.1488704553995119</v>
      </c>
      <c r="L8" s="3">
        <v>34.831314065779488</v>
      </c>
      <c r="N8" s="1">
        <f t="shared" si="0"/>
        <v>181</v>
      </c>
      <c r="O8" s="1">
        <f t="shared" si="1"/>
        <v>2.1960609605636276E-2</v>
      </c>
      <c r="P8" s="1">
        <f t="shared" si="2"/>
        <v>-2.1151917372311965E-2</v>
      </c>
      <c r="R8" s="1">
        <f t="shared" si="3"/>
        <v>-1.5323868292496342E-4</v>
      </c>
    </row>
    <row r="9" spans="1:18" x14ac:dyDescent="0.3">
      <c r="A9" s="2">
        <v>44805</v>
      </c>
      <c r="B9" s="3">
        <v>988.54407386666605</v>
      </c>
      <c r="C9" s="3">
        <v>971.81886666666605</v>
      </c>
      <c r="D9" s="3">
        <v>16.7252072</v>
      </c>
      <c r="E9" s="3">
        <v>5444.8333333333303</v>
      </c>
      <c r="F9" s="3">
        <v>0</v>
      </c>
      <c r="G9" s="3">
        <v>29154.565999999999</v>
      </c>
      <c r="H9" s="10">
        <v>3.9008837739999999E-3</v>
      </c>
      <c r="I9" s="3">
        <v>163345</v>
      </c>
      <c r="J9" s="3">
        <v>501.75621599999999</v>
      </c>
      <c r="K9" s="3">
        <v>1.6919030362075562</v>
      </c>
      <c r="L9" s="3">
        <v>35.240016297961695</v>
      </c>
      <c r="N9" s="1">
        <f t="shared" si="0"/>
        <v>212</v>
      </c>
      <c r="O9" s="1">
        <f t="shared" si="1"/>
        <v>1.721021043496241E-2</v>
      </c>
      <c r="P9" s="1">
        <f t="shared" si="2"/>
        <v>3.852595534862583E-2</v>
      </c>
      <c r="R9" s="1">
        <f t="shared" si="3"/>
        <v>-4.6432613640482942E-5</v>
      </c>
    </row>
    <row r="10" spans="1:18" x14ac:dyDescent="0.3">
      <c r="A10" s="2">
        <v>44835</v>
      </c>
      <c r="B10" s="3">
        <v>1016.23368432258</v>
      </c>
      <c r="C10" s="3">
        <v>1000.40996774193</v>
      </c>
      <c r="D10" s="3">
        <v>15.823716580645099</v>
      </c>
      <c r="E10" s="3">
        <v>5486.3548387096698</v>
      </c>
      <c r="F10" s="3">
        <v>0</v>
      </c>
      <c r="G10" s="3">
        <v>31012.708999999999</v>
      </c>
      <c r="H10" s="10">
        <v>4.1495034900000003E-3</v>
      </c>
      <c r="I10" s="3">
        <v>170077</v>
      </c>
      <c r="J10" s="3">
        <v>490.535214</v>
      </c>
      <c r="K10" s="3">
        <v>1.5570942810455275</v>
      </c>
      <c r="L10" s="3">
        <v>34.493933264585174</v>
      </c>
      <c r="N10" s="1">
        <f t="shared" si="0"/>
        <v>242</v>
      </c>
      <c r="O10" s="1">
        <f t="shared" si="1"/>
        <v>1.5817232025747922E-2</v>
      </c>
      <c r="P10" s="1">
        <f t="shared" si="2"/>
        <v>0.2163661445527526</v>
      </c>
      <c r="R10" s="1">
        <f t="shared" si="3"/>
        <v>3.5921402196162263E-4</v>
      </c>
    </row>
    <row r="11" spans="1:18" x14ac:dyDescent="0.3">
      <c r="A11" s="2">
        <v>44866</v>
      </c>
      <c r="B11" s="3">
        <v>926.36964553333337</v>
      </c>
      <c r="C11" s="3">
        <v>902.05663333333337</v>
      </c>
      <c r="D11" s="3">
        <v>24.313012199999999</v>
      </c>
      <c r="E11" s="3">
        <v>5077.166666666667</v>
      </c>
      <c r="F11" s="3">
        <v>0</v>
      </c>
      <c r="G11" s="3">
        <v>27061.699000000001</v>
      </c>
      <c r="H11" s="10">
        <v>3.6208579669999999E-3</v>
      </c>
      <c r="I11" s="3">
        <v>152315</v>
      </c>
      <c r="J11" s="3">
        <v>729.39036599999997</v>
      </c>
      <c r="K11" s="3">
        <v>2.6245475893159704</v>
      </c>
      <c r="L11" s="3">
        <v>35.401727252971064</v>
      </c>
      <c r="N11" s="1">
        <f t="shared" si="0"/>
        <v>273</v>
      </c>
      <c r="O11" s="1">
        <f t="shared" si="1"/>
        <v>2.6952866706558224E-2</v>
      </c>
      <c r="P11" s="1">
        <f t="shared" si="2"/>
        <v>0.3029596645208299</v>
      </c>
      <c r="R11" s="1">
        <f t="shared" si="3"/>
        <v>1.2500803317719864E-3</v>
      </c>
    </row>
    <row r="12" spans="1:18" x14ac:dyDescent="0.3">
      <c r="A12" s="2">
        <v>44896</v>
      </c>
      <c r="B12" s="3">
        <v>968.05971764516141</v>
      </c>
      <c r="C12" s="3">
        <v>909.44141935483879</v>
      </c>
      <c r="D12" s="3">
        <v>58.618298290322585</v>
      </c>
      <c r="E12" s="3">
        <v>4807.677419354839</v>
      </c>
      <c r="F12" s="3">
        <v>0</v>
      </c>
      <c r="G12" s="3">
        <v>28192.684000000001</v>
      </c>
      <c r="H12" s="10">
        <v>3.7721838710000001E-3</v>
      </c>
      <c r="I12" s="3">
        <v>149038</v>
      </c>
      <c r="J12" s="3">
        <v>1817.1672470000001</v>
      </c>
      <c r="K12" s="3">
        <v>6.0552357692264707</v>
      </c>
      <c r="L12" s="3">
        <v>33.250442292049947</v>
      </c>
      <c r="N12" s="1">
        <f t="shared" si="0"/>
        <v>303</v>
      </c>
      <c r="O12" s="1">
        <f t="shared" si="1"/>
        <v>6.4455276659717814E-2</v>
      </c>
      <c r="P12" s="1">
        <f t="shared" si="2"/>
        <v>0.15962117251284508</v>
      </c>
      <c r="R12" s="1">
        <f t="shared" si="3"/>
        <v>7.6113621141971511E-4</v>
      </c>
    </row>
    <row r="13" spans="1:18" x14ac:dyDescent="0.3">
      <c r="A13" s="2">
        <v>44927</v>
      </c>
      <c r="B13" s="3">
        <v>1047.4110409032201</v>
      </c>
      <c r="C13" s="3">
        <v>962.64929032257999</v>
      </c>
      <c r="D13" s="3">
        <v>84.761750580645099</v>
      </c>
      <c r="E13" s="3">
        <v>5008.4193548387002</v>
      </c>
      <c r="F13" s="3">
        <v>0</v>
      </c>
      <c r="G13" s="3">
        <v>29842.128000000001</v>
      </c>
      <c r="H13" s="10">
        <v>3.9928796440000004E-3</v>
      </c>
      <c r="I13" s="3">
        <v>155261</v>
      </c>
      <c r="J13" s="3">
        <v>2627.6142679999998</v>
      </c>
      <c r="K13" s="3">
        <v>8.092501154804669</v>
      </c>
      <c r="L13" s="3">
        <v>32.724229243973483</v>
      </c>
      <c r="N13" s="1">
        <f t="shared" si="0"/>
        <v>334</v>
      </c>
      <c r="O13" s="1">
        <f t="shared" si="1"/>
        <v>8.8050499213728983E-2</v>
      </c>
      <c r="P13" s="1">
        <f t="shared" si="2"/>
        <v>0.14770435778692564</v>
      </c>
      <c r="R13" s="1">
        <f t="shared" si="3"/>
        <v>1.9743809321756724E-4</v>
      </c>
    </row>
    <row r="14" spans="1:18" x14ac:dyDescent="0.3">
      <c r="A14" s="2">
        <v>44958</v>
      </c>
      <c r="B14" s="3">
        <v>1024.0554249642801</v>
      </c>
      <c r="C14" s="3">
        <v>935.91892857142795</v>
      </c>
      <c r="D14" s="3">
        <v>88.136496392857097</v>
      </c>
      <c r="E14" s="3">
        <v>5065.4642857142799</v>
      </c>
      <c r="F14" s="3">
        <v>0</v>
      </c>
      <c r="G14" s="3">
        <v>26205.73</v>
      </c>
      <c r="H14" s="10">
        <v>3.5063292349999998E-3</v>
      </c>
      <c r="I14" s="3">
        <v>141833</v>
      </c>
      <c r="J14" s="3">
        <v>2467.821899</v>
      </c>
      <c r="K14" s="3">
        <v>8.6066138847837195</v>
      </c>
      <c r="L14" s="3">
        <v>34.042219140623061</v>
      </c>
      <c r="N14" s="1">
        <f t="shared" si="0"/>
        <v>365</v>
      </c>
      <c r="O14" s="1">
        <f t="shared" si="1"/>
        <v>9.4171080103473567E-2</v>
      </c>
      <c r="P14" s="1">
        <f t="shared" si="2"/>
        <v>0.28279554367602089</v>
      </c>
      <c r="R14" s="1">
        <f t="shared" si="3"/>
        <v>6.3951010699525731E-4</v>
      </c>
    </row>
    <row r="15" spans="1:18" x14ac:dyDescent="0.3">
      <c r="A15" s="2">
        <v>44986</v>
      </c>
      <c r="B15" s="3">
        <v>1065.51927570967</v>
      </c>
      <c r="C15" s="3">
        <v>958.13412903225799</v>
      </c>
      <c r="D15" s="3">
        <v>107.385146677419</v>
      </c>
      <c r="E15" s="3">
        <v>4968.3870967741896</v>
      </c>
      <c r="F15" s="3">
        <v>0</v>
      </c>
      <c r="G15" s="3">
        <v>29702.157999999999</v>
      </c>
      <c r="H15" s="10">
        <v>3.9741516379999996E-3</v>
      </c>
      <c r="I15" s="3">
        <v>154020</v>
      </c>
      <c r="J15" s="3">
        <v>3328.9395469999999</v>
      </c>
      <c r="K15" s="3">
        <v>10.07819840761648</v>
      </c>
      <c r="L15" s="3">
        <v>32.615643482874205</v>
      </c>
      <c r="N15" s="1">
        <f t="shared" si="0"/>
        <v>393</v>
      </c>
      <c r="O15" s="1">
        <f t="shared" si="1"/>
        <v>0.11207736309934077</v>
      </c>
      <c r="P15" s="1">
        <f t="shared" si="2"/>
        <v>0.16738126695123337</v>
      </c>
      <c r="R15" s="1">
        <f t="shared" si="3"/>
        <v>7.8924834943190766E-4</v>
      </c>
    </row>
    <row r="16" spans="1:18" x14ac:dyDescent="0.3">
      <c r="A16" s="2">
        <v>45017</v>
      </c>
      <c r="B16" s="3">
        <v>1075.98395563333</v>
      </c>
      <c r="C16" s="3">
        <v>946.71556666666595</v>
      </c>
      <c r="D16" s="3">
        <v>129.26838896666601</v>
      </c>
      <c r="E16" s="3">
        <v>5021.9666666666599</v>
      </c>
      <c r="F16" s="3">
        <v>0</v>
      </c>
      <c r="G16" s="3">
        <v>28401.467000000001</v>
      </c>
      <c r="H16" s="10">
        <v>3.800119056E-3</v>
      </c>
      <c r="I16" s="3">
        <v>150659</v>
      </c>
      <c r="J16" s="3">
        <v>3878.0516689999999</v>
      </c>
      <c r="K16" s="3">
        <v>12.013969937923301</v>
      </c>
      <c r="L16" s="3">
        <v>33.365001117723949</v>
      </c>
      <c r="N16" s="1">
        <f t="shared" si="0"/>
        <v>424</v>
      </c>
      <c r="O16" s="1">
        <f t="shared" si="1"/>
        <v>0.13654406193172991</v>
      </c>
      <c r="P16" s="1">
        <f t="shared" si="2"/>
        <v>0.55794326160544616</v>
      </c>
      <c r="R16" s="1">
        <f t="shared" si="3"/>
        <v>-1.0521995118997763E-5</v>
      </c>
    </row>
    <row r="17" spans="1:18" x14ac:dyDescent="0.3">
      <c r="A17" s="2">
        <v>45047</v>
      </c>
      <c r="B17" s="3">
        <v>953.44267929032253</v>
      </c>
      <c r="C17" s="3">
        <v>839.12941935483866</v>
      </c>
      <c r="D17" s="3">
        <v>114.31325993548387</v>
      </c>
      <c r="E17" s="3">
        <v>4447.677419354839</v>
      </c>
      <c r="F17" s="3">
        <v>0</v>
      </c>
      <c r="G17" s="3">
        <v>26013.011999999999</v>
      </c>
      <c r="H17" s="10">
        <v>3.480543541E-3</v>
      </c>
      <c r="I17" s="3">
        <v>137878</v>
      </c>
      <c r="J17" s="3">
        <v>3543.7110579999999</v>
      </c>
      <c r="K17" s="3">
        <v>11.989526210487119</v>
      </c>
      <c r="L17" s="3">
        <v>33.338124950697747</v>
      </c>
      <c r="N17" s="1">
        <f t="shared" si="0"/>
        <v>454</v>
      </c>
      <c r="O17" s="1">
        <f t="shared" si="1"/>
        <v>0.13622840207815998</v>
      </c>
      <c r="P17" s="1">
        <f t="shared" si="2"/>
        <v>0.70796311934723666</v>
      </c>
      <c r="R17" s="1">
        <f t="shared" si="3"/>
        <v>2.4294144019750981E-3</v>
      </c>
    </row>
    <row r="18" spans="1:18" x14ac:dyDescent="0.3">
      <c r="A18" s="2">
        <v>45078</v>
      </c>
      <c r="B18" s="3">
        <v>1096.4822096</v>
      </c>
      <c r="C18" s="3">
        <v>905.03160000000003</v>
      </c>
      <c r="D18" s="3">
        <v>191.45060960000001</v>
      </c>
      <c r="E18" s="3">
        <v>4539.2333333333336</v>
      </c>
      <c r="F18" s="3">
        <v>0</v>
      </c>
      <c r="G18" s="3">
        <v>27150.948</v>
      </c>
      <c r="H18" s="10">
        <v>3.6327994880000001E-3</v>
      </c>
      <c r="I18" s="3">
        <v>136177</v>
      </c>
      <c r="J18" s="3">
        <v>5743.5182880000002</v>
      </c>
      <c r="K18" s="3">
        <v>17.460439204922597</v>
      </c>
      <c r="L18" s="3">
        <v>31.546820928683591</v>
      </c>
      <c r="N18" s="1">
        <f t="shared" si="0"/>
        <v>485</v>
      </c>
      <c r="O18" s="1">
        <f t="shared" si="1"/>
        <v>0.21154024853938802</v>
      </c>
      <c r="P18" s="1">
        <f t="shared" si="2"/>
        <v>0.45967665931951091</v>
      </c>
      <c r="R18" s="1">
        <f t="shared" si="3"/>
        <v>4.6469511541654313E-4</v>
      </c>
    </row>
    <row r="19" spans="1:18" x14ac:dyDescent="0.3">
      <c r="A19" s="2">
        <v>45108</v>
      </c>
      <c r="B19" s="3">
        <v>1090.1274653870967</v>
      </c>
      <c r="C19" s="3">
        <v>889.55061290322578</v>
      </c>
      <c r="D19" s="3">
        <v>200.57685248387097</v>
      </c>
      <c r="E19" s="3">
        <v>4081.483870967742</v>
      </c>
      <c r="F19" s="3">
        <v>0</v>
      </c>
      <c r="G19" s="3">
        <v>27576.069</v>
      </c>
      <c r="H19" s="10">
        <v>3.689680721E-3</v>
      </c>
      <c r="I19" s="3">
        <v>126526</v>
      </c>
      <c r="J19" s="3">
        <v>6217.8824269999996</v>
      </c>
      <c r="K19" s="3">
        <v>18.399394460963101</v>
      </c>
      <c r="L19" s="3">
        <v>28.859197980683902</v>
      </c>
      <c r="N19" s="1">
        <f t="shared" si="0"/>
        <v>515</v>
      </c>
      <c r="O19" s="1">
        <f t="shared" si="1"/>
        <v>0.22548110200188431</v>
      </c>
      <c r="P19" s="1">
        <f t="shared" si="2"/>
        <v>0.69396596188116333</v>
      </c>
      <c r="R19" s="1">
        <f t="shared" si="3"/>
        <v>1.30700255971221E-3</v>
      </c>
    </row>
    <row r="20" spans="1:18" x14ac:dyDescent="0.3">
      <c r="A20" s="2">
        <v>45139</v>
      </c>
      <c r="B20" s="3">
        <v>1077.5053048387097</v>
      </c>
      <c r="C20" s="3">
        <v>851.11125806451616</v>
      </c>
      <c r="D20" s="3">
        <v>226.39404677419353</v>
      </c>
      <c r="E20" s="3">
        <v>3058.8709677419356</v>
      </c>
      <c r="F20" s="3">
        <v>0</v>
      </c>
      <c r="G20" s="3">
        <v>26384.449000000001</v>
      </c>
      <c r="H20" s="10">
        <v>3.530241849E-3</v>
      </c>
      <c r="I20" s="3">
        <v>94825</v>
      </c>
      <c r="J20" s="3">
        <v>7018.2154499999997</v>
      </c>
      <c r="K20" s="3">
        <v>21.010944981665975</v>
      </c>
      <c r="L20" s="3">
        <v>22.605372012885315</v>
      </c>
      <c r="N20" s="1">
        <f t="shared" si="0"/>
        <v>546</v>
      </c>
      <c r="O20" s="1">
        <f t="shared" si="1"/>
        <v>0.26599818135296283</v>
      </c>
      <c r="P20" s="1">
        <f t="shared" si="2"/>
        <v>0.48770174561082763</v>
      </c>
      <c r="R20" s="1">
        <f t="shared" si="3"/>
        <v>1.2377340402999456E-3</v>
      </c>
    </row>
    <row r="21" spans="1:18" x14ac:dyDescent="0.3">
      <c r="A21" s="2">
        <v>45170</v>
      </c>
      <c r="B21" s="3">
        <v>1100.4265313999999</v>
      </c>
      <c r="C21" s="3">
        <v>843.64733333333322</v>
      </c>
      <c r="D21" s="3">
        <v>256.77919806666665</v>
      </c>
      <c r="E21" s="3">
        <v>2726.2666666666669</v>
      </c>
      <c r="F21" s="3">
        <v>0</v>
      </c>
      <c r="G21" s="3">
        <v>25309.42</v>
      </c>
      <c r="H21" s="10">
        <v>3.3864028640000002E-3</v>
      </c>
      <c r="I21" s="3">
        <v>81788</v>
      </c>
      <c r="J21" s="3">
        <v>7703.3759419999997</v>
      </c>
      <c r="K21" s="3">
        <v>23.334515366508246</v>
      </c>
      <c r="L21" s="3">
        <v>20.325640113443928</v>
      </c>
      <c r="N21" s="1">
        <f t="shared" si="0"/>
        <v>577</v>
      </c>
      <c r="O21" s="1">
        <f t="shared" si="1"/>
        <v>0.30436793660226114</v>
      </c>
      <c r="P21" s="1">
        <f t="shared" si="2"/>
        <v>0.5761573367723879</v>
      </c>
      <c r="R21" s="1">
        <f t="shared" si="3"/>
        <v>4.4275488523163876E-4</v>
      </c>
    </row>
    <row r="22" spans="1:18" x14ac:dyDescent="0.3">
      <c r="A22" s="2">
        <v>45200</v>
      </c>
      <c r="B22" s="3">
        <v>1111.180347419355</v>
      </c>
      <c r="C22" s="3">
        <v>843.30425806451615</v>
      </c>
      <c r="D22" s="3">
        <v>267.87608935483871</v>
      </c>
      <c r="E22" s="3">
        <v>3271.516129032258</v>
      </c>
      <c r="F22" s="3">
        <v>0</v>
      </c>
      <c r="G22" s="3">
        <v>26142.432000000001</v>
      </c>
      <c r="H22" s="10">
        <v>3.497859952E-3</v>
      </c>
      <c r="I22" s="3">
        <v>101417</v>
      </c>
      <c r="J22" s="3">
        <v>8304.15877</v>
      </c>
      <c r="K22" s="3">
        <v>24.107345848670178</v>
      </c>
      <c r="L22" s="3">
        <v>24.400661981257137</v>
      </c>
      <c r="N22" s="1">
        <f t="shared" si="0"/>
        <v>607</v>
      </c>
      <c r="O22" s="1">
        <f t="shared" si="1"/>
        <v>0.3176505831592103</v>
      </c>
      <c r="P22" s="1">
        <f t="shared" si="2"/>
        <v>1.9982118827460227</v>
      </c>
      <c r="R22" s="1">
        <f t="shared" si="3"/>
        <v>1.4393184148358443E-3</v>
      </c>
    </row>
    <row r="23" spans="1:18" x14ac:dyDescent="0.3">
      <c r="A23" s="2">
        <v>45231</v>
      </c>
      <c r="B23" s="3">
        <v>1099.0082029</v>
      </c>
      <c r="C23" s="3">
        <v>806.7480333333333</v>
      </c>
      <c r="D23" s="3">
        <v>292.26016956666666</v>
      </c>
      <c r="E23" s="3">
        <v>4733.2666666666664</v>
      </c>
      <c r="F23" s="3">
        <v>0</v>
      </c>
      <c r="G23" s="3">
        <v>24202.440999999999</v>
      </c>
      <c r="H23" s="10">
        <v>3.2382889690000002E-3</v>
      </c>
      <c r="I23" s="3">
        <v>141998</v>
      </c>
      <c r="J23" s="3">
        <v>8767.8050870000006</v>
      </c>
      <c r="K23" s="3">
        <v>26.593083545279033</v>
      </c>
      <c r="L23" s="3">
        <v>36.902848782897557</v>
      </c>
      <c r="N23" s="1">
        <f t="shared" si="0"/>
        <v>638</v>
      </c>
      <c r="O23" s="1">
        <f t="shared" si="1"/>
        <v>0.36226945401912147</v>
      </c>
      <c r="P23" s="1">
        <f t="shared" si="2"/>
        <v>2.5404609209831737</v>
      </c>
      <c r="R23" s="1">
        <f t="shared" si="3"/>
        <v>4.8909555030115072E-3</v>
      </c>
    </row>
    <row r="24" spans="1:18" x14ac:dyDescent="0.3">
      <c r="A24" s="2">
        <v>45261</v>
      </c>
      <c r="B24" s="3">
        <v>1162.0098915806452</v>
      </c>
      <c r="C24" s="3">
        <v>770.05390322580638</v>
      </c>
      <c r="D24" s="3">
        <v>391.95598835483872</v>
      </c>
      <c r="E24" s="3">
        <v>8381.5806451612898</v>
      </c>
      <c r="F24" s="3">
        <v>0</v>
      </c>
      <c r="G24" s="3">
        <v>23871.670999999998</v>
      </c>
      <c r="H24" s="10">
        <v>3.1940319110000002E-3</v>
      </c>
      <c r="I24" s="3">
        <v>259829</v>
      </c>
      <c r="J24" s="3">
        <v>12150.635639</v>
      </c>
      <c r="K24" s="3">
        <v>33.730865046395898</v>
      </c>
      <c r="L24" s="3">
        <v>68.460747645189983</v>
      </c>
      <c r="N24" s="1">
        <f t="shared" si="0"/>
        <v>668</v>
      </c>
      <c r="O24" s="1">
        <f t="shared" si="1"/>
        <v>0.50899811910946668</v>
      </c>
      <c r="P24" s="1">
        <f t="shared" si="2"/>
        <v>0.65868357841011504</v>
      </c>
      <c r="R24" s="1">
        <f t="shared" si="3"/>
        <v>2.7499054295514109E-3</v>
      </c>
    </row>
    <row r="25" spans="1:18" x14ac:dyDescent="0.3">
      <c r="A25" s="2">
        <v>45292</v>
      </c>
      <c r="B25" s="3">
        <v>1143.6739041290323</v>
      </c>
      <c r="C25" s="3">
        <v>717.37641935483873</v>
      </c>
      <c r="D25" s="3">
        <v>426.29748477419355</v>
      </c>
      <c r="E25" s="3">
        <v>7911.3548387096771</v>
      </c>
      <c r="F25" s="3">
        <v>0</v>
      </c>
      <c r="G25" s="3">
        <v>22238.669000000002</v>
      </c>
      <c r="H25" s="10">
        <v>2.9755360839999996E-3</v>
      </c>
      <c r="I25" s="3">
        <v>245252</v>
      </c>
      <c r="J25" s="3">
        <v>13215.222028</v>
      </c>
      <c r="K25" s="3">
        <v>37.274391173491146</v>
      </c>
      <c r="L25" s="3">
        <v>69.365033923567992</v>
      </c>
      <c r="N25" s="1">
        <f t="shared" si="0"/>
        <v>699</v>
      </c>
      <c r="O25" s="1">
        <f t="shared" si="1"/>
        <v>0.59424518742556043</v>
      </c>
      <c r="P25" s="1">
        <f t="shared" si="2"/>
        <v>-9.7799067778060994E-2</v>
      </c>
      <c r="R25" s="1">
        <f t="shared" si="3"/>
        <v>-8.640229388907234E-4</v>
      </c>
    </row>
    <row r="26" spans="1:18" x14ac:dyDescent="0.3">
      <c r="A26" s="2">
        <v>45323</v>
      </c>
      <c r="B26" s="3">
        <v>1146.645767551724</v>
      </c>
      <c r="C26" s="3">
        <v>731.53089655172414</v>
      </c>
      <c r="D26" s="3">
        <v>415.11487099999999</v>
      </c>
      <c r="E26" s="3">
        <v>7477.6551724137935</v>
      </c>
      <c r="F26" s="3">
        <v>0</v>
      </c>
      <c r="G26" s="3">
        <v>21214.396000000001</v>
      </c>
      <c r="H26" s="10">
        <v>2.838488253E-3</v>
      </c>
      <c r="I26" s="3">
        <v>216852</v>
      </c>
      <c r="J26" s="3">
        <v>12038.331259000001</v>
      </c>
      <c r="K26" s="3">
        <v>36.202538111341745</v>
      </c>
      <c r="L26" s="3">
        <v>64.293874291778096</v>
      </c>
      <c r="N26" s="1">
        <f t="shared" si="0"/>
        <v>730</v>
      </c>
      <c r="O26" s="1">
        <f t="shared" si="1"/>
        <v>0.567460476319948</v>
      </c>
      <c r="P26" s="1">
        <f t="shared" si="2"/>
        <v>0.87259123745778744</v>
      </c>
      <c r="R26" s="1">
        <f t="shared" si="3"/>
        <v>6.4589160814579609E-4</v>
      </c>
    </row>
    <row r="27" spans="1:18" x14ac:dyDescent="0.3">
      <c r="A27" s="2">
        <v>45352</v>
      </c>
      <c r="B27" s="3">
        <v>1153.6146986129033</v>
      </c>
      <c r="C27" s="3">
        <v>727.28596774193556</v>
      </c>
      <c r="D27" s="3">
        <v>426.32873087096772</v>
      </c>
      <c r="E27" s="3">
        <v>5303.6129032258068</v>
      </c>
      <c r="F27" s="3">
        <v>0</v>
      </c>
      <c r="G27" s="3">
        <v>22545.865000000002</v>
      </c>
      <c r="H27" s="10">
        <v>3.016638936E-3</v>
      </c>
      <c r="I27" s="3">
        <v>164412</v>
      </c>
      <c r="J27" s="3">
        <v>13216.190656999999</v>
      </c>
      <c r="K27" s="3">
        <v>36.955903161045171</v>
      </c>
      <c r="L27" s="3">
        <v>45.867328558917563</v>
      </c>
      <c r="N27" s="1">
        <f t="shared" si="0"/>
        <v>759</v>
      </c>
      <c r="O27" s="1">
        <f t="shared" si="1"/>
        <v>0.58619133295617609</v>
      </c>
      <c r="P27" s="1">
        <f t="shared" si="2"/>
        <v>0.1654635459432173</v>
      </c>
      <c r="R27" s="1">
        <f t="shared" si="3"/>
        <v>1.6191528690684014E-3</v>
      </c>
    </row>
    <row r="28" spans="1:18" x14ac:dyDescent="0.3">
      <c r="A28" s="2">
        <v>45383</v>
      </c>
      <c r="B28" s="3">
        <v>1197.6937980666667</v>
      </c>
      <c r="C28" s="3">
        <v>731.9144</v>
      </c>
      <c r="D28" s="3">
        <v>465.77939806666666</v>
      </c>
      <c r="E28" s="3">
        <v>3824.9666666666667</v>
      </c>
      <c r="F28" s="3">
        <v>0</v>
      </c>
      <c r="G28" s="3">
        <v>21957.432000000001</v>
      </c>
      <c r="H28" s="10">
        <v>2.9379065460000001E-3</v>
      </c>
      <c r="I28" s="3">
        <v>114749</v>
      </c>
      <c r="J28" s="3">
        <v>13973.381942</v>
      </c>
      <c r="K28" s="3">
        <v>38.889689402962091</v>
      </c>
      <c r="L28" s="3">
        <v>32.870340220113171</v>
      </c>
      <c r="N28" s="1">
        <f t="shared" si="0"/>
        <v>790</v>
      </c>
      <c r="O28" s="1">
        <f t="shared" si="1"/>
        <v>0.63638507189729654</v>
      </c>
      <c r="P28" s="1">
        <f t="shared" si="2"/>
        <v>0.72745104471816546</v>
      </c>
      <c r="R28" s="1">
        <f t="shared" si="3"/>
        <v>-1.2467660926454979E-3</v>
      </c>
    </row>
    <row r="29" spans="1:18" x14ac:dyDescent="0.3">
      <c r="A29" s="2">
        <v>45413</v>
      </c>
      <c r="B29" s="3">
        <v>1095.4652082580646</v>
      </c>
      <c r="C29" s="3">
        <v>685.10161290322583</v>
      </c>
      <c r="D29" s="3">
        <v>410.36359535483871</v>
      </c>
      <c r="E29" s="3">
        <v>3644.1935483870966</v>
      </c>
      <c r="F29" s="3">
        <v>0</v>
      </c>
      <c r="G29" s="3">
        <v>21238.15</v>
      </c>
      <c r="H29" s="10">
        <v>2.8416665460000001E-3</v>
      </c>
      <c r="I29" s="3">
        <v>112970</v>
      </c>
      <c r="J29" s="3">
        <v>12721.271456</v>
      </c>
      <c r="K29" s="3">
        <v>37.460212543616187</v>
      </c>
      <c r="L29" s="3">
        <v>33.456713790984615</v>
      </c>
      <c r="N29" s="1">
        <f t="shared" si="0"/>
        <v>820</v>
      </c>
      <c r="O29" s="1">
        <f t="shared" si="1"/>
        <v>0.5989820891179316</v>
      </c>
      <c r="P29" s="1">
        <f t="shared" si="2"/>
        <v>2.6131584684096243</v>
      </c>
      <c r="R29" s="1">
        <f t="shared" si="3"/>
        <v>2.9519418464418207E-3</v>
      </c>
    </row>
    <row r="30" spans="1:18" x14ac:dyDescent="0.3">
      <c r="A30" s="2">
        <v>45444</v>
      </c>
      <c r="B30" s="3">
        <v>1050.1926937666665</v>
      </c>
      <c r="C30" s="3">
        <v>621.23483333333331</v>
      </c>
      <c r="D30" s="3">
        <v>428.95786043333334</v>
      </c>
      <c r="E30" s="3">
        <v>4269.9666666666662</v>
      </c>
      <c r="F30" s="3">
        <v>0</v>
      </c>
      <c r="G30" s="3">
        <v>18637.044999999998</v>
      </c>
      <c r="H30" s="10">
        <v>2.4936384370000003E-3</v>
      </c>
      <c r="I30" s="3">
        <v>128099</v>
      </c>
      <c r="J30" s="3">
        <v>12868.735812999999</v>
      </c>
      <c r="K30" s="3">
        <v>40.845633661267868</v>
      </c>
      <c r="L30" s="3">
        <v>43.232019357145944</v>
      </c>
      <c r="N30" s="1">
        <f t="shared" si="0"/>
        <v>851</v>
      </c>
      <c r="O30" s="1">
        <f t="shared" si="1"/>
        <v>0.69049228635762805</v>
      </c>
      <c r="P30" s="1">
        <f t="shared" si="2"/>
        <v>0.55983716393140959</v>
      </c>
      <c r="R30" s="1">
        <f t="shared" si="3"/>
        <v>3.1997502955224892E-3</v>
      </c>
    </row>
    <row r="31" spans="1:18" x14ac:dyDescent="0.3">
      <c r="A31" s="2">
        <v>45474</v>
      </c>
      <c r="B31" s="3">
        <v>1099.434553935484</v>
      </c>
      <c r="C31" s="3">
        <v>615.41780645161293</v>
      </c>
      <c r="D31" s="3">
        <v>484.01674748387097</v>
      </c>
      <c r="E31" s="3">
        <v>5148.5161290322585</v>
      </c>
      <c r="F31" s="3">
        <v>0</v>
      </c>
      <c r="G31" s="3">
        <v>19077.952000000001</v>
      </c>
      <c r="H31" s="10">
        <v>2.5526318409999998E-3</v>
      </c>
      <c r="I31" s="3">
        <v>159604</v>
      </c>
      <c r="J31" s="3">
        <v>15004.519172</v>
      </c>
      <c r="K31" s="3">
        <v>44.024152756642721</v>
      </c>
      <c r="L31" s="3">
        <v>52.619759143958426</v>
      </c>
      <c r="N31" s="1">
        <f t="shared" si="0"/>
        <v>881</v>
      </c>
      <c r="O31" s="1">
        <f t="shared" si="1"/>
        <v>0.78648479522330272</v>
      </c>
      <c r="P31" s="1">
        <f t="shared" si="2"/>
        <v>-1.2816878946236787</v>
      </c>
      <c r="R31" s="1">
        <f t="shared" si="3"/>
        <v>-1.8463283618691216E-3</v>
      </c>
    </row>
    <row r="32" spans="1:18" x14ac:dyDescent="0.3">
      <c r="A32" s="2">
        <v>45505</v>
      </c>
      <c r="B32" s="3">
        <v>1157.6063268709677</v>
      </c>
      <c r="C32" s="3">
        <v>669.42735483870968</v>
      </c>
      <c r="D32" s="3">
        <v>488.17897203225806</v>
      </c>
      <c r="E32" s="3">
        <v>5302.5161290322585</v>
      </c>
      <c r="F32" s="3">
        <v>0</v>
      </c>
      <c r="G32" s="3">
        <v>20752.248</v>
      </c>
      <c r="H32" s="10">
        <v>2.7766528079999999E-3</v>
      </c>
      <c r="I32" s="3">
        <v>164378</v>
      </c>
      <c r="J32" s="3">
        <v>15133.548133</v>
      </c>
      <c r="K32" s="3">
        <v>42.171415333554314</v>
      </c>
      <c r="L32" s="3">
        <v>49.821337158268342</v>
      </c>
      <c r="N32" s="1">
        <f t="shared" si="0"/>
        <v>912</v>
      </c>
      <c r="O32" s="1">
        <f t="shared" si="1"/>
        <v>0.72924861600535995</v>
      </c>
      <c r="P32" s="1">
        <f t="shared" si="2"/>
        <v>-3.631032315580237E-2</v>
      </c>
      <c r="R32" s="1">
        <f t="shared" si="3"/>
        <v>-9.6547396130889252E-4</v>
      </c>
    </row>
    <row r="33" spans="1:18" x14ac:dyDescent="0.3">
      <c r="A33" s="2">
        <v>45536</v>
      </c>
      <c r="B33" s="3">
        <v>1093.9656151666666</v>
      </c>
      <c r="C33" s="3">
        <v>643.76709999999991</v>
      </c>
      <c r="D33" s="3">
        <v>450.19851516666665</v>
      </c>
      <c r="E33" s="3">
        <v>5026.1333333333332</v>
      </c>
      <c r="F33" s="3">
        <v>0</v>
      </c>
      <c r="G33" s="3">
        <v>19313.012999999999</v>
      </c>
      <c r="H33" s="10">
        <v>2.584083022E-3</v>
      </c>
      <c r="I33" s="3">
        <v>150784</v>
      </c>
      <c r="J33" s="3">
        <v>13505.955454999999</v>
      </c>
      <c r="K33" s="3">
        <v>41.152894471740645</v>
      </c>
      <c r="L33" s="3">
        <v>49.1068484860441</v>
      </c>
      <c r="N33" s="1">
        <f t="shared" si="0"/>
        <v>943</v>
      </c>
      <c r="O33" s="1">
        <f t="shared" si="1"/>
        <v>0.69931892320478428</v>
      </c>
      <c r="P33" s="1">
        <f t="shared" si="2"/>
        <v>0.58606644910013095</v>
      </c>
      <c r="R33" s="1">
        <f t="shared" si="3"/>
        <v>9.1929379645239173E-4</v>
      </c>
    </row>
    <row r="34" spans="1:18" x14ac:dyDescent="0.3">
      <c r="A34" s="2">
        <v>45566</v>
      </c>
      <c r="B34" s="3">
        <v>1067.9916052580645</v>
      </c>
      <c r="C34" s="3">
        <v>618.44519354838712</v>
      </c>
      <c r="D34" s="3">
        <v>449.54641170967744</v>
      </c>
      <c r="E34" s="3">
        <v>5481.7096774193551</v>
      </c>
      <c r="F34" s="3">
        <v>0</v>
      </c>
      <c r="G34" s="3">
        <v>19171.800999999999</v>
      </c>
      <c r="H34" s="10">
        <v>2.5651888439999996E-3</v>
      </c>
      <c r="I34" s="3">
        <v>169933</v>
      </c>
      <c r="J34" s="3">
        <v>13935.938763</v>
      </c>
      <c r="K34" s="3">
        <v>42.092691505852351</v>
      </c>
      <c r="L34" s="3">
        <v>55.750869905232165</v>
      </c>
      <c r="N34" s="1">
        <f t="shared" si="0"/>
        <v>973</v>
      </c>
      <c r="O34" s="1">
        <f t="shared" si="1"/>
        <v>0.72689773709835603</v>
      </c>
      <c r="P34" s="1">
        <f t="shared" si="2"/>
        <v>-0.15587773112799858</v>
      </c>
      <c r="R34" s="1">
        <f t="shared" si="3"/>
        <v>2.9536862993287844E-4</v>
      </c>
    </row>
    <row r="35" spans="1:18" x14ac:dyDescent="0.3">
      <c r="A35" s="2">
        <v>45597</v>
      </c>
      <c r="B35" s="3">
        <v>1067.5725043666669</v>
      </c>
      <c r="C35" s="3">
        <v>614.9419333333334</v>
      </c>
      <c r="D35" s="3">
        <v>452.63057103333335</v>
      </c>
      <c r="E35" s="3">
        <v>5217.2333333333336</v>
      </c>
      <c r="F35" s="3">
        <v>0</v>
      </c>
      <c r="G35" s="3">
        <v>18448.258000000002</v>
      </c>
      <c r="H35" s="10">
        <v>2.468378722E-3</v>
      </c>
      <c r="I35" s="3">
        <v>156517</v>
      </c>
      <c r="J35" s="3">
        <v>13578.917131</v>
      </c>
      <c r="K35" s="3">
        <v>42.398110590329843</v>
      </c>
      <c r="L35" s="3">
        <v>53.363337969362732</v>
      </c>
      <c r="N35" s="1">
        <f t="shared" si="0"/>
        <v>1004</v>
      </c>
      <c r="O35" s="1">
        <f t="shared" si="1"/>
        <v>0.73605416462627526</v>
      </c>
      <c r="P35" s="1">
        <f t="shared" si="2"/>
        <v>1.7361944842968726</v>
      </c>
      <c r="R35" s="1">
        <f t="shared" si="3"/>
        <v>-6.2115748732845353E-4</v>
      </c>
    </row>
    <row r="36" spans="1:18" x14ac:dyDescent="0.3">
      <c r="A36" s="2">
        <v>45627</v>
      </c>
      <c r="B36" s="3">
        <v>998.68887787096776</v>
      </c>
      <c r="C36" s="3">
        <v>581.50551612903223</v>
      </c>
      <c r="D36" s="3">
        <v>417.18336174193553</v>
      </c>
      <c r="E36" s="3">
        <v>4127.4193548387093</v>
      </c>
      <c r="F36" s="3">
        <v>0</v>
      </c>
      <c r="G36" s="3">
        <v>18026.670999999998</v>
      </c>
      <c r="H36" s="10">
        <v>2.4119703370000002E-3</v>
      </c>
      <c r="I36" s="3">
        <v>127950</v>
      </c>
      <c r="J36" s="3">
        <v>12932.684214000001</v>
      </c>
      <c r="K36" s="3">
        <v>41.77310581762945</v>
      </c>
      <c r="L36" s="3">
        <v>44.643845222448448</v>
      </c>
      <c r="N36" s="1">
        <f t="shared" si="0"/>
        <v>1034</v>
      </c>
      <c r="O36" s="1">
        <f t="shared" si="1"/>
        <v>0.71741944000642166</v>
      </c>
      <c r="P36" s="1">
        <f t="shared" si="2"/>
        <v>3.5120595067522862</v>
      </c>
      <c r="R36" s="1">
        <f t="shared" si="3"/>
        <v>3.9045257504578225E-3</v>
      </c>
    </row>
    <row r="37" spans="1:18" x14ac:dyDescent="0.3">
      <c r="A37" s="2">
        <v>45658</v>
      </c>
      <c r="B37" s="3">
        <v>1045.1399274838709</v>
      </c>
      <c r="C37" s="3">
        <v>568.4867096774193</v>
      </c>
      <c r="D37" s="3">
        <v>476.65321780645161</v>
      </c>
      <c r="E37" s="3">
        <v>3740.7741935483873</v>
      </c>
      <c r="F37" s="3">
        <v>0</v>
      </c>
      <c r="G37" s="3">
        <v>17623.088</v>
      </c>
      <c r="H37" s="10">
        <v>2.3579708970000004E-3</v>
      </c>
      <c r="I37" s="3">
        <v>115964</v>
      </c>
      <c r="J37" s="3">
        <v>14776.249752</v>
      </c>
      <c r="K37" s="3">
        <v>45.60664129959838</v>
      </c>
      <c r="L37" s="3">
        <v>41.388340522387445</v>
      </c>
      <c r="N37" s="1">
        <f t="shared" si="0"/>
        <v>1065</v>
      </c>
      <c r="O37" s="1">
        <f t="shared" si="1"/>
        <v>0.83845973827061415</v>
      </c>
      <c r="P37" s="1">
        <f t="shared" si="2"/>
        <v>3.8280120775346655</v>
      </c>
      <c r="R37" s="1">
        <f t="shared" si="3"/>
        <v>2.6927548208186547E-3</v>
      </c>
    </row>
    <row r="38" spans="1:18" x14ac:dyDescent="0.3">
      <c r="A38" s="2">
        <v>45689</v>
      </c>
      <c r="B38" s="3">
        <v>1076.9232696785714</v>
      </c>
      <c r="C38" s="3">
        <v>560.33278571428571</v>
      </c>
      <c r="D38" s="3">
        <v>516.59048396428568</v>
      </c>
      <c r="E38" s="3">
        <v>3899.4285714285716</v>
      </c>
      <c r="F38" s="3">
        <v>0</v>
      </c>
      <c r="G38" s="3">
        <v>15689.317999999999</v>
      </c>
      <c r="H38" s="10">
        <v>2.0992322770000001E-3</v>
      </c>
      <c r="I38" s="3">
        <v>109184</v>
      </c>
      <c r="J38" s="3">
        <v>14464.533551</v>
      </c>
      <c r="K38" s="3">
        <v>47.969107782253808</v>
      </c>
      <c r="L38" s="3">
        <v>43.771534441458826</v>
      </c>
      <c r="N38" s="1">
        <f t="shared" si="0"/>
        <v>1096</v>
      </c>
      <c r="O38" s="1">
        <f t="shared" si="1"/>
        <v>0.92193513771599245</v>
      </c>
      <c r="P38" s="1">
        <f t="shared" si="2"/>
        <v>2.1609134634293627</v>
      </c>
      <c r="R38" s="1">
        <f t="shared" si="3"/>
        <v>4.3902500430622405E-3</v>
      </c>
    </row>
    <row r="39" spans="1:18" x14ac:dyDescent="0.3">
      <c r="A39" s="2">
        <v>45717</v>
      </c>
      <c r="B39" s="3">
        <v>1155.6328614838708</v>
      </c>
      <c r="C39" s="3">
        <v>565.13974193548381</v>
      </c>
      <c r="D39" s="3">
        <v>590.49311954838709</v>
      </c>
      <c r="E39" s="3">
        <v>4012.6451612903224</v>
      </c>
      <c r="F39" s="3">
        <v>0</v>
      </c>
      <c r="G39" s="3">
        <v>17519.331999999999</v>
      </c>
      <c r="H39" s="10">
        <v>2.3440883300000002E-3</v>
      </c>
      <c r="I39" s="3">
        <v>124392</v>
      </c>
      <c r="J39" s="3">
        <v>18305.286705999999</v>
      </c>
      <c r="K39" s="3">
        <v>51.096947761607815</v>
      </c>
      <c r="L39" s="3">
        <v>44.659282762607617</v>
      </c>
      <c r="N39" s="1">
        <f t="shared" si="0"/>
        <v>1124</v>
      </c>
      <c r="O39" s="1">
        <f t="shared" si="1"/>
        <v>1.0448621389217352</v>
      </c>
      <c r="P39" s="1">
        <f t="shared" si="2"/>
        <v>-0.61325745412163091</v>
      </c>
      <c r="R39" s="1">
        <f t="shared" si="3"/>
        <v>-3.1043515058776764E-4</v>
      </c>
    </row>
    <row r="40" spans="1:18" x14ac:dyDescent="0.3">
      <c r="A40" s="2">
        <v>45748</v>
      </c>
      <c r="B40" s="3">
        <v>1041.5044783666667</v>
      </c>
      <c r="C40" s="3">
        <v>511.73580000000004</v>
      </c>
      <c r="D40" s="3">
        <v>529.76867836666668</v>
      </c>
      <c r="E40" s="3">
        <v>4126.5</v>
      </c>
      <c r="F40" s="3">
        <v>0</v>
      </c>
      <c r="G40" s="3">
        <v>15352.074000000001</v>
      </c>
      <c r="H40" s="10">
        <v>2.0541089999999997E-3</v>
      </c>
      <c r="I40" s="3">
        <v>123795</v>
      </c>
      <c r="J40" s="3">
        <v>15893.060351</v>
      </c>
      <c r="K40" s="3">
        <v>50.865712953771769</v>
      </c>
      <c r="L40" s="3">
        <v>50.719257280807788</v>
      </c>
      <c r="N40" s="1">
        <f t="shared" si="0"/>
        <v>1155</v>
      </c>
      <c r="O40" s="1">
        <f t="shared" si="1"/>
        <v>1.0352386492535144</v>
      </c>
      <c r="P40" s="1">
        <f t="shared" si="2"/>
        <v>1.2499988353428677</v>
      </c>
      <c r="R40" s="1">
        <f t="shared" si="3"/>
        <v>-7.595522566821389E-4</v>
      </c>
    </row>
    <row r="41" spans="1:18" x14ac:dyDescent="0.3">
      <c r="A41" s="2">
        <v>45778</v>
      </c>
      <c r="B41" s="3">
        <v>1065.3063755483872</v>
      </c>
      <c r="C41" s="3">
        <v>529.35738709677423</v>
      </c>
      <c r="D41" s="3">
        <v>535.94898845161288</v>
      </c>
      <c r="E41" s="3">
        <v>3688.8709677419356</v>
      </c>
      <c r="F41" s="3">
        <v>0</v>
      </c>
      <c r="G41" s="3">
        <v>16410.079000000002</v>
      </c>
      <c r="H41" s="10">
        <v>2.19567017E-3</v>
      </c>
      <c r="I41" s="3">
        <v>114355</v>
      </c>
      <c r="J41" s="3">
        <v>16614.418642000001</v>
      </c>
      <c r="K41" s="3">
        <v>50.309375852155469</v>
      </c>
      <c r="L41" s="3">
        <v>43.830994293202366</v>
      </c>
      <c r="N41" s="1">
        <f t="shared" si="0"/>
        <v>1185</v>
      </c>
      <c r="O41" s="1">
        <f t="shared" si="1"/>
        <v>1.0124520815530502</v>
      </c>
      <c r="P41" s="1">
        <f t="shared" si="2"/>
        <v>2.7632875129158729</v>
      </c>
      <c r="R41" s="1">
        <f t="shared" si="3"/>
        <v>2.8103082974994154E-3</v>
      </c>
    </row>
    <row r="42" spans="1:18" x14ac:dyDescent="0.3">
      <c r="A42" s="2">
        <v>45809</v>
      </c>
      <c r="B42" s="3">
        <v>1128.7676452666667</v>
      </c>
      <c r="C42" s="3">
        <v>537.61806666666666</v>
      </c>
      <c r="D42" s="3">
        <v>591.14957859999993</v>
      </c>
      <c r="E42" s="3">
        <v>3057.0333333333333</v>
      </c>
      <c r="F42" s="3">
        <v>0</v>
      </c>
      <c r="G42" s="3">
        <v>16128.541999999999</v>
      </c>
      <c r="H42" s="10">
        <v>2.1580004959999999E-3</v>
      </c>
      <c r="I42" s="3">
        <v>91711</v>
      </c>
      <c r="J42" s="3">
        <v>17734.487357999998</v>
      </c>
      <c r="K42" s="3">
        <v>52.371236992742055</v>
      </c>
      <c r="L42" s="3">
        <v>35.765405688871319</v>
      </c>
      <c r="N42" s="1">
        <f t="shared" si="0"/>
        <v>1216</v>
      </c>
      <c r="O42" s="1">
        <f t="shared" si="1"/>
        <v>1.0995716387755321</v>
      </c>
      <c r="P42" s="1" t="str">
        <f t="shared" si="2"/>
        <v xml:space="preserve"> </v>
      </c>
      <c r="R42" s="1">
        <f t="shared" si="3"/>
        <v>1.7195147986358793E-3</v>
      </c>
    </row>
    <row r="43" spans="1:18" x14ac:dyDescent="0.3">
      <c r="A43" s="2">
        <v>45839</v>
      </c>
      <c r="B43" s="3">
        <v>1085.9340033870967</v>
      </c>
      <c r="C43" s="3">
        <v>504.81390322580643</v>
      </c>
      <c r="D43" s="3">
        <v>581.12010016129034</v>
      </c>
      <c r="E43" s="3">
        <v>3391.4193548387098</v>
      </c>
      <c r="F43" s="3">
        <v>0</v>
      </c>
      <c r="G43" s="3">
        <v>15649.231</v>
      </c>
      <c r="H43" s="10">
        <v>2.0938686349999997E-3</v>
      </c>
      <c r="I43" s="1">
        <v>105134</v>
      </c>
      <c r="J43" s="3">
        <v>18014.723105000001</v>
      </c>
      <c r="K43" s="3">
        <v>53.51339016447961</v>
      </c>
      <c r="L43" s="3">
        <v>42.255867601417606</v>
      </c>
      <c r="N43" s="1">
        <f t="shared" si="0"/>
        <v>1246</v>
      </c>
      <c r="O43" s="1">
        <f t="shared" si="1"/>
        <v>1.1511570827346085</v>
      </c>
      <c r="P43" s="1" t="str">
        <f t="shared" si="2"/>
        <v xml:space="preserve"> </v>
      </c>
      <c r="R43" s="1">
        <f t="shared" si="3"/>
        <v>9.2388208887207745E-4</v>
      </c>
    </row>
    <row r="44" spans="1:18" x14ac:dyDescent="0.3">
      <c r="A44" s="2">
        <v>45870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5E8E-F1D5-4DD3-992E-16768702C6DD}">
  <dimension ref="A1:R43"/>
  <sheetViews>
    <sheetView topLeftCell="V1" zoomScale="70" zoomScaleNormal="102" workbookViewId="0">
      <selection activeCell="J2" sqref="J2:J42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16384" width="8.77734375" style="1"/>
  </cols>
  <sheetData>
    <row r="1" spans="1:1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</row>
    <row r="2" spans="1:18" x14ac:dyDescent="0.3">
      <c r="A2" s="4">
        <v>44621</v>
      </c>
      <c r="B2" s="5">
        <v>257.99695480645164</v>
      </c>
      <c r="C2" s="5">
        <v>201.7945483870968</v>
      </c>
      <c r="D2" s="5">
        <v>56.202406419354844</v>
      </c>
      <c r="E2" s="5">
        <v>1074.3225806451612</v>
      </c>
      <c r="F2" s="5">
        <v>0</v>
      </c>
      <c r="G2" s="5">
        <v>6255.6310000000003</v>
      </c>
      <c r="H2" s="9">
        <v>8.3700403799999998E-4</v>
      </c>
      <c r="I2" s="5">
        <v>33304</v>
      </c>
      <c r="J2" s="5">
        <v>1742.2745990000001</v>
      </c>
      <c r="K2" s="5">
        <v>21.784135576917052</v>
      </c>
      <c r="L2" s="5">
        <v>33.485910406160464</v>
      </c>
      <c r="N2" s="1">
        <f>A2-$A$2</f>
        <v>0</v>
      </c>
      <c r="O2" s="1">
        <f>D2/C2</f>
        <v>0.27851300676142821</v>
      </c>
      <c r="P2" s="1" t="str">
        <f>IF(OR(N4&lt;=0, N2&lt;=0)," ", (O4 - O2) / (LN(N4) - LN(N2)))</f>
        <v xml:space="preserve"> </v>
      </c>
      <c r="R2" s="1">
        <f>(O3-O2) / (N3-N2)</f>
        <v>1.6964729134437192E-4</v>
      </c>
    </row>
    <row r="3" spans="1:18" x14ac:dyDescent="0.3">
      <c r="A3" s="2">
        <v>44652</v>
      </c>
      <c r="B3" s="3">
        <v>849.06288519999987</v>
      </c>
      <c r="C3" s="3">
        <v>661.38133333333326</v>
      </c>
      <c r="D3" s="3">
        <v>187.68155186666667</v>
      </c>
      <c r="E3" s="3">
        <v>4551.5</v>
      </c>
      <c r="F3" s="3">
        <v>0</v>
      </c>
      <c r="G3" s="3">
        <v>19841.439999999999</v>
      </c>
      <c r="H3" s="10">
        <v>2.6547866079999999E-3</v>
      </c>
      <c r="I3" s="3">
        <v>136545</v>
      </c>
      <c r="J3" s="3">
        <v>5630.4465559999999</v>
      </c>
      <c r="K3" s="3">
        <v>22.104552576509992</v>
      </c>
      <c r="L3" s="3">
        <v>43.285202132506512</v>
      </c>
      <c r="N3" s="1">
        <f t="shared" ref="N3:N42" si="0">A3-$A$2</f>
        <v>31</v>
      </c>
      <c r="O3" s="1">
        <f t="shared" ref="O3:O42" si="1">D3/C3</f>
        <v>0.28377207279310374</v>
      </c>
      <c r="P3" s="1">
        <f>IF(OR(N5&lt;=0, N3&lt;=0)," ", (O5 - O3) / (LN(N5) - LN(N3)))</f>
        <v>0.23731527983283954</v>
      </c>
      <c r="R3" s="1">
        <f t="shared" ref="R3:R42" si="2">(O4-O3) / (N4-N3)</f>
        <v>3.675880730421288E-3</v>
      </c>
    </row>
    <row r="4" spans="1:18" x14ac:dyDescent="0.3">
      <c r="A4" s="2">
        <v>44682</v>
      </c>
      <c r="B4" s="3">
        <v>897.67328970967742</v>
      </c>
      <c r="C4" s="3">
        <v>643.93261290322585</v>
      </c>
      <c r="D4" s="3">
        <v>253.74067680645163</v>
      </c>
      <c r="E4" s="3">
        <v>4440.5483870967746</v>
      </c>
      <c r="F4" s="3">
        <v>0</v>
      </c>
      <c r="G4" s="3">
        <v>19961.911</v>
      </c>
      <c r="H4" s="10">
        <v>2.6709056380000004E-3</v>
      </c>
      <c r="I4" s="3">
        <v>137657</v>
      </c>
      <c r="J4" s="3">
        <v>7865.9609810000002</v>
      </c>
      <c r="K4" s="3">
        <v>28.266483999820867</v>
      </c>
      <c r="L4" s="3">
        <v>43.374354218892165</v>
      </c>
      <c r="N4" s="1">
        <f t="shared" si="0"/>
        <v>61</v>
      </c>
      <c r="O4" s="1">
        <f t="shared" si="1"/>
        <v>0.39404849470574238</v>
      </c>
      <c r="P4" s="1">
        <f t="shared" ref="P4:P42" si="3">IF(OR(N6&lt;=0, N4&lt;=0)," ", (O6 - O4) / (LN(N6) - LN(N4)))</f>
        <v>0.75993606688556037</v>
      </c>
      <c r="R4" s="1">
        <f t="shared" si="2"/>
        <v>4.7701762974164145E-3</v>
      </c>
    </row>
    <row r="5" spans="1:18" x14ac:dyDescent="0.3">
      <c r="A5" s="2">
        <v>44713</v>
      </c>
      <c r="B5" s="3">
        <v>818.69444623333334</v>
      </c>
      <c r="C5" s="3">
        <v>530.95643333333328</v>
      </c>
      <c r="D5" s="3">
        <v>287.7380129</v>
      </c>
      <c r="E5" s="3">
        <v>3679.0666666666666</v>
      </c>
      <c r="F5" s="3">
        <v>0</v>
      </c>
      <c r="G5" s="3">
        <v>15928.692999999999</v>
      </c>
      <c r="H5" s="10">
        <v>2.1312606790000002E-3</v>
      </c>
      <c r="I5" s="3">
        <v>110372</v>
      </c>
      <c r="J5" s="3">
        <v>8632.1403869999995</v>
      </c>
      <c r="K5" s="3">
        <v>35.145958815750014</v>
      </c>
      <c r="L5" s="3">
        <v>43.58284798382391</v>
      </c>
      <c r="N5" s="1">
        <f t="shared" si="0"/>
        <v>92</v>
      </c>
      <c r="O5" s="1">
        <f t="shared" si="1"/>
        <v>0.54192395992565123</v>
      </c>
      <c r="P5" s="1">
        <f t="shared" si="3"/>
        <v>1.0533751810902541</v>
      </c>
      <c r="R5" s="1">
        <f t="shared" si="2"/>
        <v>1.2629069231587716E-2</v>
      </c>
    </row>
    <row r="6" spans="1:18" x14ac:dyDescent="0.3">
      <c r="A6" s="2">
        <v>44743</v>
      </c>
      <c r="B6" s="3">
        <v>654.93184193548382</v>
      </c>
      <c r="C6" s="3">
        <v>340.9689677419355</v>
      </c>
      <c r="D6" s="3">
        <v>313.96287419354837</v>
      </c>
      <c r="E6" s="3">
        <v>2262.7741935483873</v>
      </c>
      <c r="F6" s="3">
        <v>0</v>
      </c>
      <c r="G6" s="3">
        <v>10570.038</v>
      </c>
      <c r="H6" s="10">
        <v>1.414272118E-3</v>
      </c>
      <c r="I6" s="3">
        <v>70146</v>
      </c>
      <c r="J6" s="3">
        <v>9732.8490999999995</v>
      </c>
      <c r="K6" s="3">
        <v>47.938251599694901</v>
      </c>
      <c r="L6" s="3">
        <v>41.741033551629606</v>
      </c>
      <c r="N6" s="1">
        <f t="shared" si="0"/>
        <v>122</v>
      </c>
      <c r="O6" s="1">
        <f t="shared" si="1"/>
        <v>0.92079603687328271</v>
      </c>
      <c r="P6" s="1">
        <f t="shared" si="3"/>
        <v>2.7212412299638191E-2</v>
      </c>
      <c r="R6" s="1">
        <f t="shared" si="2"/>
        <v>5.0621457503719691E-3</v>
      </c>
    </row>
    <row r="7" spans="1:18" x14ac:dyDescent="0.3">
      <c r="A7" s="2">
        <v>44774</v>
      </c>
      <c r="B7" s="3">
        <v>765.71361590322499</v>
      </c>
      <c r="C7" s="3">
        <v>368.53506451612901</v>
      </c>
      <c r="D7" s="3">
        <v>397.17855138709598</v>
      </c>
      <c r="E7" s="3">
        <v>2413.6129032258</v>
      </c>
      <c r="F7" s="3">
        <v>0</v>
      </c>
      <c r="G7" s="3">
        <v>11424.587</v>
      </c>
      <c r="H7" s="10">
        <v>1.528610856E-3</v>
      </c>
      <c r="I7" s="3">
        <v>74822</v>
      </c>
      <c r="J7" s="3">
        <v>12312.535093</v>
      </c>
      <c r="K7" s="3">
        <v>51.870378577320999</v>
      </c>
      <c r="L7" s="3">
        <v>41.193210362877885</v>
      </c>
      <c r="N7" s="1">
        <f t="shared" si="0"/>
        <v>153</v>
      </c>
      <c r="O7" s="1">
        <f>D7/C7</f>
        <v>1.0777225551348137</v>
      </c>
      <c r="P7" s="1">
        <f t="shared" si="3"/>
        <v>-1.5455319769599012E-2</v>
      </c>
      <c r="R7" s="1">
        <f t="shared" si="2"/>
        <v>-4.7014366991861047E-3</v>
      </c>
    </row>
    <row r="8" spans="1:18" x14ac:dyDescent="0.3">
      <c r="A8" s="2">
        <v>44805</v>
      </c>
      <c r="B8" s="3">
        <v>686.385228933333</v>
      </c>
      <c r="C8" s="3">
        <v>355.27589999999998</v>
      </c>
      <c r="D8" s="3">
        <v>331.10932893333302</v>
      </c>
      <c r="E8" s="3">
        <v>2337.9666666666599</v>
      </c>
      <c r="F8" s="3">
        <v>0</v>
      </c>
      <c r="G8" s="3">
        <v>10658.277</v>
      </c>
      <c r="H8" s="10">
        <v>1.426078504E-3</v>
      </c>
      <c r="I8" s="3">
        <v>70139</v>
      </c>
      <c r="J8" s="3">
        <v>9933.2798679999996</v>
      </c>
      <c r="K8" s="3">
        <v>48.239576694837801</v>
      </c>
      <c r="L8" s="3">
        <v>41.391332032372588</v>
      </c>
      <c r="N8" s="1">
        <f t="shared" si="0"/>
        <v>184</v>
      </c>
      <c r="O8" s="1">
        <f t="shared" si="1"/>
        <v>0.93197801746004449</v>
      </c>
      <c r="P8" s="1">
        <f t="shared" si="3"/>
        <v>-0.39878645775629901</v>
      </c>
      <c r="R8" s="1">
        <f t="shared" si="2"/>
        <v>4.6852896380948326E-3</v>
      </c>
    </row>
    <row r="9" spans="1:18" x14ac:dyDescent="0.3">
      <c r="A9" s="2">
        <v>44835</v>
      </c>
      <c r="B9" s="3">
        <v>650.749984032258</v>
      </c>
      <c r="C9" s="3">
        <v>313.98719354838698</v>
      </c>
      <c r="D9" s="3">
        <v>336.76279048387102</v>
      </c>
      <c r="E9" s="3">
        <v>1932.2903225806399</v>
      </c>
      <c r="F9" s="3">
        <v>0</v>
      </c>
      <c r="G9" s="3">
        <v>9733.6029999999992</v>
      </c>
      <c r="H9" s="10">
        <v>1.302357031E-3</v>
      </c>
      <c r="I9" s="3">
        <v>59901</v>
      </c>
      <c r="J9" s="3">
        <v>10439.646505000001</v>
      </c>
      <c r="K9" s="3">
        <v>51.749949865104796</v>
      </c>
      <c r="L9" s="3">
        <v>38.707692290306063</v>
      </c>
      <c r="N9" s="1">
        <f t="shared" si="0"/>
        <v>214</v>
      </c>
      <c r="O9" s="1">
        <f t="shared" si="1"/>
        <v>1.0725367066028895</v>
      </c>
      <c r="P9" s="1">
        <f t="shared" si="3"/>
        <v>0.38718138584649486</v>
      </c>
      <c r="R9" s="1">
        <f t="shared" si="2"/>
        <v>-8.2174259975865797E-3</v>
      </c>
    </row>
    <row r="10" spans="1:18" x14ac:dyDescent="0.3">
      <c r="A10" s="2">
        <v>44866</v>
      </c>
      <c r="B10" s="3">
        <v>538.1996756333333</v>
      </c>
      <c r="C10" s="3">
        <v>296.07256666666666</v>
      </c>
      <c r="D10" s="3">
        <v>242.12710896666667</v>
      </c>
      <c r="E10" s="3">
        <v>1873.4</v>
      </c>
      <c r="F10" s="3">
        <v>0</v>
      </c>
      <c r="G10" s="3">
        <v>8882.1769999999997</v>
      </c>
      <c r="H10" s="10">
        <v>1.188436153E-3</v>
      </c>
      <c r="I10" s="3">
        <v>56202</v>
      </c>
      <c r="J10" s="3">
        <v>7263.8132690000002</v>
      </c>
      <c r="K10" s="3">
        <v>44.988341674814372</v>
      </c>
      <c r="L10" s="3">
        <v>39.798727226444598</v>
      </c>
      <c r="N10" s="1">
        <f t="shared" si="0"/>
        <v>245</v>
      </c>
      <c r="O10" s="1">
        <f t="shared" si="1"/>
        <v>0.81779650067770548</v>
      </c>
      <c r="P10" s="1">
        <f t="shared" si="3"/>
        <v>2.599663434889643</v>
      </c>
      <c r="R10" s="1">
        <f t="shared" si="2"/>
        <v>1.1728113119568435E-2</v>
      </c>
    </row>
    <row r="11" spans="1:18" x14ac:dyDescent="0.3">
      <c r="A11" s="2">
        <v>44896</v>
      </c>
      <c r="B11" s="3">
        <v>638.64792048387096</v>
      </c>
      <c r="C11" s="3">
        <v>294.35664516129032</v>
      </c>
      <c r="D11" s="3">
        <v>344.29127532258065</v>
      </c>
      <c r="E11" s="3">
        <v>1751.0645161290322</v>
      </c>
      <c r="F11" s="3">
        <v>0</v>
      </c>
      <c r="G11" s="3">
        <v>9125.0560000000005</v>
      </c>
      <c r="H11" s="10">
        <v>1.22093338E-3</v>
      </c>
      <c r="I11" s="3">
        <v>54283</v>
      </c>
      <c r="J11" s="3">
        <v>10673.029535</v>
      </c>
      <c r="K11" s="3">
        <v>53.909402078962174</v>
      </c>
      <c r="L11" s="3">
        <v>37.416670473035992</v>
      </c>
      <c r="N11" s="1">
        <f t="shared" si="0"/>
        <v>275</v>
      </c>
      <c r="O11" s="1">
        <f t="shared" si="1"/>
        <v>1.1696398942647586</v>
      </c>
      <c r="P11" s="1">
        <f t="shared" si="3"/>
        <v>1.7892537381769638</v>
      </c>
      <c r="R11" s="1">
        <f t="shared" si="2"/>
        <v>7.2945708580033387E-3</v>
      </c>
    </row>
    <row r="12" spans="1:18" x14ac:dyDescent="0.3">
      <c r="A12" s="2">
        <v>44927</v>
      </c>
      <c r="B12" s="3">
        <v>725.71306480645103</v>
      </c>
      <c r="C12" s="3">
        <v>302.91412903225802</v>
      </c>
      <c r="D12" s="3">
        <v>422.79893577419301</v>
      </c>
      <c r="E12" s="3">
        <v>1769.96774193548</v>
      </c>
      <c r="F12" s="3">
        <v>0</v>
      </c>
      <c r="G12" s="3">
        <v>9390.3379999999997</v>
      </c>
      <c r="H12" s="10">
        <v>1.2564281380000001E-3</v>
      </c>
      <c r="I12" s="3">
        <v>54869</v>
      </c>
      <c r="J12" s="3">
        <v>13106.767008999999</v>
      </c>
      <c r="K12" s="3">
        <v>58.259793887954118</v>
      </c>
      <c r="L12" s="3">
        <v>36.752142063469918</v>
      </c>
      <c r="N12" s="1">
        <f t="shared" si="0"/>
        <v>306</v>
      </c>
      <c r="O12" s="1">
        <f t="shared" si="1"/>
        <v>1.3957715908628621</v>
      </c>
      <c r="P12" s="1">
        <f t="shared" si="3"/>
        <v>1.4845779467565605</v>
      </c>
      <c r="R12" s="1">
        <f t="shared" si="2"/>
        <v>4.4401535500179189E-3</v>
      </c>
    </row>
    <row r="13" spans="1:18" x14ac:dyDescent="0.3">
      <c r="A13" s="2">
        <v>44958</v>
      </c>
      <c r="B13" s="3">
        <v>766.28298653571403</v>
      </c>
      <c r="C13" s="3">
        <v>302.47021428571401</v>
      </c>
      <c r="D13" s="3">
        <v>463.812772249999</v>
      </c>
      <c r="E13" s="3">
        <v>1839.07142857142</v>
      </c>
      <c r="F13" s="3">
        <v>0</v>
      </c>
      <c r="G13" s="3">
        <v>8469.1659999999993</v>
      </c>
      <c r="H13" s="10">
        <v>1.1331752409999901E-3</v>
      </c>
      <c r="I13" s="3">
        <v>51494</v>
      </c>
      <c r="J13" s="3">
        <v>12986.757623</v>
      </c>
      <c r="K13" s="3">
        <v>60.527609303561512</v>
      </c>
      <c r="L13" s="3">
        <v>38.243076260401558</v>
      </c>
      <c r="N13" s="1">
        <f t="shared" si="0"/>
        <v>337</v>
      </c>
      <c r="O13" s="1">
        <f t="shared" si="1"/>
        <v>1.5334163509134175</v>
      </c>
      <c r="P13" s="1">
        <f t="shared" si="3"/>
        <v>0.11758299674768886</v>
      </c>
      <c r="R13" s="1">
        <f t="shared" si="2"/>
        <v>4.4323043022321583E-3</v>
      </c>
    </row>
    <row r="14" spans="1:18" x14ac:dyDescent="0.3">
      <c r="A14" s="2">
        <v>44986</v>
      </c>
      <c r="B14" s="3">
        <v>813.58389819354795</v>
      </c>
      <c r="C14" s="3">
        <v>306.14393548387</v>
      </c>
      <c r="D14" s="3">
        <v>507.43996270967699</v>
      </c>
      <c r="E14" s="3">
        <v>1781.1290322580601</v>
      </c>
      <c r="F14" s="3">
        <v>0</v>
      </c>
      <c r="G14" s="3">
        <v>9490.4619999999995</v>
      </c>
      <c r="H14" s="10">
        <v>1.269824739E-3</v>
      </c>
      <c r="I14" s="3">
        <v>55215</v>
      </c>
      <c r="J14" s="3">
        <v>15730.638843999999</v>
      </c>
      <c r="K14" s="3">
        <v>62.370944635996153</v>
      </c>
      <c r="L14" s="3">
        <v>36.593719778868511</v>
      </c>
      <c r="N14" s="1">
        <f t="shared" si="0"/>
        <v>365</v>
      </c>
      <c r="O14" s="1">
        <f t="shared" si="1"/>
        <v>1.657520871375918</v>
      </c>
      <c r="P14" s="1">
        <f t="shared" si="3"/>
        <v>-1.12353407655903</v>
      </c>
      <c r="R14" s="1">
        <f t="shared" si="2"/>
        <v>-3.3914420962866481E-3</v>
      </c>
    </row>
    <row r="15" spans="1:18" x14ac:dyDescent="0.3">
      <c r="A15" s="2">
        <v>45017</v>
      </c>
      <c r="B15" s="3">
        <v>708.68941723333296</v>
      </c>
      <c r="C15" s="3">
        <v>277.65759999999898</v>
      </c>
      <c r="D15" s="3">
        <v>431.03181723333302</v>
      </c>
      <c r="E15" s="3">
        <v>1654.4666666666601</v>
      </c>
      <c r="F15" s="3">
        <v>0</v>
      </c>
      <c r="G15" s="3">
        <v>8329.7279999999992</v>
      </c>
      <c r="H15" s="10">
        <v>1.1145184199999999E-3</v>
      </c>
      <c r="I15" s="3">
        <v>49634</v>
      </c>
      <c r="J15" s="3">
        <v>12930.954517</v>
      </c>
      <c r="K15" s="3">
        <v>60.820975557395364</v>
      </c>
      <c r="L15" s="3">
        <v>37.478766797667348</v>
      </c>
      <c r="N15" s="1">
        <f t="shared" si="0"/>
        <v>396</v>
      </c>
      <c r="O15" s="1">
        <f t="shared" si="1"/>
        <v>1.5523861663910319</v>
      </c>
      <c r="P15" s="1">
        <f t="shared" si="3"/>
        <v>2.7250907963507118</v>
      </c>
      <c r="R15" s="1">
        <f t="shared" si="2"/>
        <v>-2.2832830019386447E-3</v>
      </c>
    </row>
    <row r="16" spans="1:18" x14ac:dyDescent="0.3">
      <c r="A16" s="2">
        <v>45047</v>
      </c>
      <c r="B16" s="3">
        <v>626.32597903225803</v>
      </c>
      <c r="C16" s="3">
        <v>252.15551612903226</v>
      </c>
      <c r="D16" s="3">
        <v>374.17046290322583</v>
      </c>
      <c r="E16" s="3">
        <v>1501.2903225806451</v>
      </c>
      <c r="F16" s="3">
        <v>0</v>
      </c>
      <c r="G16" s="3">
        <v>7816.8209999999999</v>
      </c>
      <c r="H16" s="10">
        <v>1.0458914120000001E-3</v>
      </c>
      <c r="I16" s="3">
        <v>46540</v>
      </c>
      <c r="J16" s="3">
        <v>11599.28435</v>
      </c>
      <c r="K16" s="3">
        <v>59.740530559080426</v>
      </c>
      <c r="L16" s="3">
        <v>37.448381125779903</v>
      </c>
      <c r="N16" s="1">
        <f t="shared" si="0"/>
        <v>426</v>
      </c>
      <c r="O16" s="1">
        <f t="shared" si="1"/>
        <v>1.4838876763328726</v>
      </c>
      <c r="P16" s="1">
        <f t="shared" si="3"/>
        <v>1.486388185040828</v>
      </c>
      <c r="R16" s="1">
        <f t="shared" si="2"/>
        <v>1.4803871383712563E-2</v>
      </c>
    </row>
    <row r="17" spans="1:18" x14ac:dyDescent="0.3">
      <c r="A17" s="2">
        <v>45078</v>
      </c>
      <c r="B17" s="3">
        <v>822.0098614333333</v>
      </c>
      <c r="C17" s="3">
        <v>279.32843333333329</v>
      </c>
      <c r="D17" s="3">
        <v>542.68142810000006</v>
      </c>
      <c r="E17" s="3">
        <v>1573.5</v>
      </c>
      <c r="F17" s="3">
        <v>0</v>
      </c>
      <c r="G17" s="3">
        <v>8379.8529999999992</v>
      </c>
      <c r="H17" s="10">
        <v>1.1212251480000001E-3</v>
      </c>
      <c r="I17" s="3">
        <v>47205</v>
      </c>
      <c r="J17" s="3">
        <v>16280.442843000001</v>
      </c>
      <c r="K17" s="3">
        <v>66.01884643497219</v>
      </c>
      <c r="L17" s="3">
        <v>35.431410192995031</v>
      </c>
      <c r="N17" s="1">
        <f t="shared" si="0"/>
        <v>457</v>
      </c>
      <c r="O17" s="1">
        <f t="shared" si="1"/>
        <v>1.942807689227962</v>
      </c>
      <c r="P17" s="1">
        <f t="shared" si="3"/>
        <v>-1.7532079312599105</v>
      </c>
      <c r="R17" s="1">
        <f t="shared" si="2"/>
        <v>-8.666814859139841E-3</v>
      </c>
    </row>
    <row r="18" spans="1:18" x14ac:dyDescent="0.3">
      <c r="A18" s="2">
        <v>45108</v>
      </c>
      <c r="B18" s="3">
        <v>716.83498777419356</v>
      </c>
      <c r="C18" s="3">
        <v>267.19625806451614</v>
      </c>
      <c r="D18" s="3">
        <v>449.63872970967742</v>
      </c>
      <c r="E18" s="3">
        <v>1343.1935483870968</v>
      </c>
      <c r="F18" s="3">
        <v>0</v>
      </c>
      <c r="G18" s="3">
        <v>8283.0840000000007</v>
      </c>
      <c r="H18" s="10">
        <v>1.1082774480000001E-3</v>
      </c>
      <c r="I18" s="3">
        <v>41639</v>
      </c>
      <c r="J18" s="3">
        <v>13938.800621</v>
      </c>
      <c r="K18" s="3">
        <v>62.725555724592475</v>
      </c>
      <c r="L18" s="3">
        <v>31.618776557137412</v>
      </c>
      <c r="N18" s="1">
        <f t="shared" si="0"/>
        <v>487</v>
      </c>
      <c r="O18" s="1">
        <f t="shared" si="1"/>
        <v>1.6828032434537668</v>
      </c>
      <c r="P18" s="1">
        <f t="shared" si="3"/>
        <v>0.72540486724712328</v>
      </c>
      <c r="R18" s="1">
        <f t="shared" si="2"/>
        <v>1.3013476851081488E-3</v>
      </c>
    </row>
    <row r="19" spans="1:18" x14ac:dyDescent="0.3">
      <c r="A19" s="2">
        <v>45139</v>
      </c>
      <c r="B19" s="3">
        <v>609.59946729032254</v>
      </c>
      <c r="C19" s="3">
        <v>223.8586129032258</v>
      </c>
      <c r="D19" s="3">
        <v>385.74085438709676</v>
      </c>
      <c r="E19" s="3">
        <v>815.64516129032256</v>
      </c>
      <c r="F19" s="3">
        <v>0</v>
      </c>
      <c r="G19" s="3">
        <v>6939.6170000000002</v>
      </c>
      <c r="H19" s="10">
        <v>9.2852142999999999E-4</v>
      </c>
      <c r="I19" s="3">
        <v>25285</v>
      </c>
      <c r="J19" s="3">
        <v>11957.966485999999</v>
      </c>
      <c r="K19" s="3">
        <v>63.27775450686002</v>
      </c>
      <c r="L19" s="3">
        <v>22.917344429815074</v>
      </c>
      <c r="N19" s="1">
        <f t="shared" si="0"/>
        <v>518</v>
      </c>
      <c r="O19" s="1">
        <f t="shared" si="1"/>
        <v>1.7231450216921194</v>
      </c>
      <c r="P19" s="1">
        <f t="shared" si="3"/>
        <v>-1.091312519429976</v>
      </c>
      <c r="R19" s="1">
        <f t="shared" si="2"/>
        <v>1.5027941810255448E-3</v>
      </c>
    </row>
    <row r="20" spans="1:18" x14ac:dyDescent="0.3">
      <c r="A20" s="2">
        <v>45170</v>
      </c>
      <c r="B20" s="3">
        <v>574.23461253333335</v>
      </c>
      <c r="C20" s="3">
        <v>207.32499999999999</v>
      </c>
      <c r="D20" s="3">
        <v>366.90961253333336</v>
      </c>
      <c r="E20" s="3">
        <v>672.4666666666667</v>
      </c>
      <c r="F20" s="3">
        <v>0</v>
      </c>
      <c r="G20" s="3">
        <v>6219.75</v>
      </c>
      <c r="H20" s="10">
        <v>8.3220315600000003E-4</v>
      </c>
      <c r="I20" s="3">
        <v>20174</v>
      </c>
      <c r="J20" s="3">
        <v>11007.288376</v>
      </c>
      <c r="K20" s="3">
        <v>63.895419141428867</v>
      </c>
      <c r="L20" s="3">
        <v>20.401209887857227</v>
      </c>
      <c r="N20" s="1">
        <f t="shared" si="0"/>
        <v>549</v>
      </c>
      <c r="O20" s="1">
        <f t="shared" si="1"/>
        <v>1.7697316413039113</v>
      </c>
      <c r="P20" s="1">
        <f t="shared" si="3"/>
        <v>-0.65570341083188877</v>
      </c>
      <c r="R20" s="1">
        <f t="shared" si="2"/>
        <v>-5.6026475087651798E-3</v>
      </c>
    </row>
    <row r="21" spans="1:18" x14ac:dyDescent="0.3">
      <c r="A21" s="2">
        <v>45200</v>
      </c>
      <c r="B21" s="3">
        <v>666.67052693548385</v>
      </c>
      <c r="C21" s="3">
        <v>256.24890322580649</v>
      </c>
      <c r="D21" s="3">
        <v>410.42162370967742</v>
      </c>
      <c r="E21" s="3">
        <v>994.35483870967744</v>
      </c>
      <c r="F21" s="3">
        <v>0</v>
      </c>
      <c r="G21" s="3">
        <v>7943.7160000000003</v>
      </c>
      <c r="H21" s="10">
        <v>1.0628699750000001E-3</v>
      </c>
      <c r="I21" s="3">
        <v>30825</v>
      </c>
      <c r="J21" s="3">
        <v>12723.070335</v>
      </c>
      <c r="K21" s="3">
        <v>61.562887082511665</v>
      </c>
      <c r="L21" s="3">
        <v>24.407101789641018</v>
      </c>
      <c r="N21" s="1">
        <f t="shared" si="0"/>
        <v>579</v>
      </c>
      <c r="O21" s="1">
        <f t="shared" si="1"/>
        <v>1.6016522160409559</v>
      </c>
      <c r="P21" s="1">
        <f t="shared" si="3"/>
        <v>7.0667770448398866</v>
      </c>
      <c r="R21" s="1">
        <f t="shared" si="2"/>
        <v>3.1933605090036046E-3</v>
      </c>
    </row>
    <row r="22" spans="1:18" x14ac:dyDescent="0.3">
      <c r="A22" s="2">
        <v>45231</v>
      </c>
      <c r="B22" s="3">
        <v>732.92671386666666</v>
      </c>
      <c r="C22" s="3">
        <v>271.38936666666666</v>
      </c>
      <c r="D22" s="3">
        <v>461.5373472</v>
      </c>
      <c r="E22" s="3">
        <v>1511.7666666666667</v>
      </c>
      <c r="F22" s="3">
        <v>0</v>
      </c>
      <c r="G22" s="3">
        <v>8141.6809999999996</v>
      </c>
      <c r="H22" s="10">
        <v>1.089357714E-3</v>
      </c>
      <c r="I22" s="3">
        <v>45353</v>
      </c>
      <c r="J22" s="3">
        <v>13846.120416</v>
      </c>
      <c r="K22" s="3">
        <v>62.97182766952092</v>
      </c>
      <c r="L22" s="3">
        <v>35.03715011678792</v>
      </c>
      <c r="N22" s="1">
        <f t="shared" si="0"/>
        <v>610</v>
      </c>
      <c r="O22" s="1">
        <f t="shared" si="1"/>
        <v>1.7006463918200676</v>
      </c>
      <c r="P22" s="1">
        <f t="shared" si="3"/>
        <v>11.452346042942455</v>
      </c>
      <c r="R22" s="1">
        <f t="shared" si="2"/>
        <v>2.0295149501494653E-2</v>
      </c>
    </row>
    <row r="23" spans="1:18" x14ac:dyDescent="0.3">
      <c r="A23" s="2">
        <v>45261</v>
      </c>
      <c r="B23" s="3">
        <v>794.96506361290324</v>
      </c>
      <c r="C23" s="3">
        <v>240.20693548387098</v>
      </c>
      <c r="D23" s="3">
        <v>554.75812812903223</v>
      </c>
      <c r="E23" s="3">
        <v>2789.483870967742</v>
      </c>
      <c r="F23" s="3">
        <v>0</v>
      </c>
      <c r="G23" s="3">
        <v>7446.415</v>
      </c>
      <c r="H23" s="10">
        <v>9.9633105700000003E-4</v>
      </c>
      <c r="I23" s="3">
        <v>86474</v>
      </c>
      <c r="J23" s="3">
        <v>17197.501971999998</v>
      </c>
      <c r="K23" s="3">
        <v>69.78396328611035</v>
      </c>
      <c r="L23" s="3">
        <v>73.042419096974839</v>
      </c>
      <c r="N23" s="1">
        <f t="shared" si="0"/>
        <v>640</v>
      </c>
      <c r="O23" s="1">
        <f t="shared" si="1"/>
        <v>2.3095008768649072</v>
      </c>
      <c r="P23" s="1">
        <f t="shared" si="3"/>
        <v>0.39126510260119385</v>
      </c>
      <c r="R23" s="1">
        <f t="shared" si="2"/>
        <v>1.5570021789979131E-2</v>
      </c>
    </row>
    <row r="24" spans="1:18" x14ac:dyDescent="0.3">
      <c r="A24" s="2">
        <v>45292</v>
      </c>
      <c r="B24" s="3">
        <v>838.45769319354838</v>
      </c>
      <c r="C24" s="3">
        <v>221.10225806451612</v>
      </c>
      <c r="D24" s="3">
        <v>617.35543512903223</v>
      </c>
      <c r="E24" s="3">
        <v>2828.6451612903224</v>
      </c>
      <c r="F24" s="3">
        <v>0</v>
      </c>
      <c r="G24" s="3">
        <v>6854.17</v>
      </c>
      <c r="H24" s="10">
        <v>9.1708861399999997E-4</v>
      </c>
      <c r="I24" s="3">
        <v>87688</v>
      </c>
      <c r="J24" s="3">
        <v>19138.018488999998</v>
      </c>
      <c r="K24" s="3">
        <v>73.629884982941263</v>
      </c>
      <c r="L24" s="3">
        <v>80.467800244230872</v>
      </c>
      <c r="N24" s="1">
        <f t="shared" si="0"/>
        <v>671</v>
      </c>
      <c r="O24" s="1">
        <f t="shared" si="1"/>
        <v>2.7921715523542603</v>
      </c>
      <c r="P24" s="1">
        <f t="shared" si="3"/>
        <v>-4.85196987145744</v>
      </c>
      <c r="R24" s="1">
        <f t="shared" si="2"/>
        <v>-1.4402976087006086E-2</v>
      </c>
    </row>
    <row r="25" spans="1:18" x14ac:dyDescent="0.3">
      <c r="A25" s="2">
        <v>45323</v>
      </c>
      <c r="B25" s="3">
        <v>815.82266799999991</v>
      </c>
      <c r="C25" s="3">
        <v>243.8436551724138</v>
      </c>
      <c r="D25" s="3">
        <v>571.97901282758619</v>
      </c>
      <c r="E25" s="3">
        <v>2889.9655172413795</v>
      </c>
      <c r="F25" s="3">
        <v>0</v>
      </c>
      <c r="G25" s="3">
        <v>7071.4660000000003</v>
      </c>
      <c r="H25" s="10">
        <v>9.4616283499999998E-4</v>
      </c>
      <c r="I25" s="3">
        <v>83809</v>
      </c>
      <c r="J25" s="3">
        <v>16587.391371999998</v>
      </c>
      <c r="K25" s="3">
        <v>70.11070362016298</v>
      </c>
      <c r="L25" s="3">
        <v>74.54491730569022</v>
      </c>
      <c r="N25" s="1">
        <f t="shared" si="0"/>
        <v>702</v>
      </c>
      <c r="O25" s="1">
        <f t="shared" si="1"/>
        <v>2.3456792936570716</v>
      </c>
      <c r="P25" s="1">
        <f t="shared" si="3"/>
        <v>-0.92445512594978663</v>
      </c>
      <c r="R25" s="1">
        <f t="shared" si="2"/>
        <v>1.0671925833272528E-3</v>
      </c>
    </row>
    <row r="26" spans="1:18" x14ac:dyDescent="0.3">
      <c r="A26" s="2">
        <v>45352</v>
      </c>
      <c r="B26" s="3">
        <v>846.44360025806452</v>
      </c>
      <c r="C26" s="3">
        <v>250.67719354838712</v>
      </c>
      <c r="D26" s="3">
        <v>595.76640670967743</v>
      </c>
      <c r="E26" s="3">
        <v>1908.1935483870968</v>
      </c>
      <c r="F26" s="3">
        <v>0</v>
      </c>
      <c r="G26" s="3">
        <v>7770.9930000000004</v>
      </c>
      <c r="H26" s="10">
        <v>1.039759621E-3</v>
      </c>
      <c r="I26" s="3">
        <v>59154</v>
      </c>
      <c r="J26" s="3">
        <v>18468.758608</v>
      </c>
      <c r="K26" s="3">
        <v>70.384654869862516</v>
      </c>
      <c r="L26" s="3">
        <v>47.878929912818087</v>
      </c>
      <c r="N26" s="1">
        <f t="shared" si="0"/>
        <v>731</v>
      </c>
      <c r="O26" s="1">
        <f t="shared" si="1"/>
        <v>2.3766278785735619</v>
      </c>
      <c r="P26" s="1">
        <f t="shared" si="3"/>
        <v>10.488042985608756</v>
      </c>
      <c r="R26" s="1">
        <f t="shared" si="2"/>
        <v>-3.4440665601499104E-3</v>
      </c>
    </row>
    <row r="27" spans="1:18" x14ac:dyDescent="0.3">
      <c r="A27" s="2">
        <v>45383</v>
      </c>
      <c r="B27" s="3">
        <v>866.57877826666663</v>
      </c>
      <c r="C27" s="3">
        <v>265.02000000000004</v>
      </c>
      <c r="D27" s="3">
        <v>601.55877826666665</v>
      </c>
      <c r="E27" s="3">
        <v>899.4</v>
      </c>
      <c r="F27" s="3">
        <v>0</v>
      </c>
      <c r="G27" s="3">
        <v>7950.6</v>
      </c>
      <c r="H27" s="10">
        <v>1.0637910540000001E-3</v>
      </c>
      <c r="I27" s="3">
        <v>26982</v>
      </c>
      <c r="J27" s="3">
        <v>18046.763348</v>
      </c>
      <c r="K27" s="3">
        <v>69.417667885879482</v>
      </c>
      <c r="L27" s="3">
        <v>21.345732850350913</v>
      </c>
      <c r="N27" s="1">
        <f t="shared" si="0"/>
        <v>762</v>
      </c>
      <c r="O27" s="1">
        <f t="shared" si="1"/>
        <v>2.2698618152089147</v>
      </c>
      <c r="P27" s="1">
        <f t="shared" si="3"/>
        <v>16.470476251917717</v>
      </c>
      <c r="R27" s="1">
        <f t="shared" si="2"/>
        <v>3.1578700668877482E-2</v>
      </c>
    </row>
    <row r="28" spans="1:18" x14ac:dyDescent="0.3">
      <c r="A28" s="2">
        <v>45413</v>
      </c>
      <c r="B28" s="3">
        <v>762.41579977419349</v>
      </c>
      <c r="C28" s="3">
        <v>180.7862258064516</v>
      </c>
      <c r="D28" s="3">
        <v>581.62957396774186</v>
      </c>
      <c r="E28" s="3">
        <v>1008.516129032258</v>
      </c>
      <c r="F28" s="3">
        <v>0</v>
      </c>
      <c r="G28" s="3">
        <v>5604.3729999999996</v>
      </c>
      <c r="H28" s="10">
        <v>7.4986565299999994E-4</v>
      </c>
      <c r="I28" s="3">
        <v>31264</v>
      </c>
      <c r="J28" s="3">
        <v>18030.516792999999</v>
      </c>
      <c r="K28" s="3">
        <v>76.28771257626147</v>
      </c>
      <c r="L28" s="3">
        <v>35.087655157856197</v>
      </c>
      <c r="N28" s="1">
        <f t="shared" si="0"/>
        <v>792</v>
      </c>
      <c r="O28" s="1">
        <f t="shared" si="1"/>
        <v>3.2172228352752392</v>
      </c>
      <c r="P28" s="1">
        <f t="shared" si="3"/>
        <v>2.4861438980766164</v>
      </c>
      <c r="R28" s="1">
        <f t="shared" si="2"/>
        <v>1.035562931990499E-2</v>
      </c>
    </row>
    <row r="29" spans="1:18" x14ac:dyDescent="0.3">
      <c r="A29" s="2">
        <v>45444</v>
      </c>
      <c r="B29" s="3">
        <v>865.26571796666678</v>
      </c>
      <c r="C29" s="3">
        <v>190.66076666666669</v>
      </c>
      <c r="D29" s="3">
        <v>674.60495130000004</v>
      </c>
      <c r="E29" s="3">
        <v>1343.1333333333334</v>
      </c>
      <c r="F29" s="3">
        <v>0</v>
      </c>
      <c r="G29" s="3">
        <v>5719.8230000000003</v>
      </c>
      <c r="H29" s="10">
        <v>7.6531287499999995E-4</v>
      </c>
      <c r="I29" s="3">
        <v>40294</v>
      </c>
      <c r="J29" s="3">
        <v>20238.148539000002</v>
      </c>
      <c r="K29" s="3">
        <v>77.965061748348191</v>
      </c>
      <c r="L29" s="3">
        <v>44.309273416327734</v>
      </c>
      <c r="N29" s="1">
        <f t="shared" si="0"/>
        <v>823</v>
      </c>
      <c r="O29" s="1">
        <f t="shared" si="1"/>
        <v>3.5382473441922939</v>
      </c>
      <c r="P29" s="1">
        <f t="shared" si="3"/>
        <v>-11.319270455050036</v>
      </c>
      <c r="R29" s="1">
        <f t="shared" si="2"/>
        <v>-4.5519072310504193E-3</v>
      </c>
    </row>
    <row r="30" spans="1:18" x14ac:dyDescent="0.3">
      <c r="A30" s="2">
        <v>45474</v>
      </c>
      <c r="B30" s="3">
        <v>1048.784885032258</v>
      </c>
      <c r="C30" s="3">
        <v>238.26867741935482</v>
      </c>
      <c r="D30" s="3">
        <v>810.51620761290314</v>
      </c>
      <c r="E30" s="3">
        <v>1683.0322580645161</v>
      </c>
      <c r="F30" s="3">
        <v>0</v>
      </c>
      <c r="G30" s="3">
        <v>7386.3289999999997</v>
      </c>
      <c r="H30" s="10">
        <v>9.8829154000000009E-4</v>
      </c>
      <c r="I30" s="3">
        <v>52174</v>
      </c>
      <c r="J30" s="3">
        <v>25126.002435999999</v>
      </c>
      <c r="K30" s="3">
        <v>77.281453916831921</v>
      </c>
      <c r="L30" s="3">
        <v>44.428568670580475</v>
      </c>
      <c r="N30" s="1">
        <f t="shared" si="0"/>
        <v>853</v>
      </c>
      <c r="O30" s="1">
        <f t="shared" si="1"/>
        <v>3.4016901272607813</v>
      </c>
      <c r="P30" s="1">
        <f t="shared" si="3"/>
        <v>-18.948123867442401</v>
      </c>
      <c r="R30" s="1">
        <f t="shared" si="2"/>
        <v>-2.1702592818368317E-2</v>
      </c>
    </row>
    <row r="31" spans="1:18" x14ac:dyDescent="0.3">
      <c r="A31" s="2">
        <v>45505</v>
      </c>
      <c r="B31" s="3">
        <v>1136.8619452903226</v>
      </c>
      <c r="C31" s="3">
        <v>304.87783870967741</v>
      </c>
      <c r="D31" s="3">
        <v>831.98410658064518</v>
      </c>
      <c r="E31" s="3">
        <v>2030.7741935483871</v>
      </c>
      <c r="F31" s="3">
        <v>0</v>
      </c>
      <c r="G31" s="3">
        <v>9451.2129999999997</v>
      </c>
      <c r="H31" s="10">
        <v>1.264573218E-3</v>
      </c>
      <c r="I31" s="3">
        <v>62954</v>
      </c>
      <c r="J31" s="3">
        <v>25791.507303999999</v>
      </c>
      <c r="K31" s="3">
        <v>73.182509980856096</v>
      </c>
      <c r="L31" s="3">
        <v>41.896005221763595</v>
      </c>
      <c r="N31" s="1">
        <f t="shared" si="0"/>
        <v>884</v>
      </c>
      <c r="O31" s="1">
        <f t="shared" si="1"/>
        <v>2.7289097498913635</v>
      </c>
      <c r="P31" s="1">
        <f t="shared" si="3"/>
        <v>-4.4901793889329795</v>
      </c>
      <c r="R31" s="1">
        <f t="shared" si="2"/>
        <v>-2.1184051506392899E-2</v>
      </c>
    </row>
    <row r="32" spans="1:18" x14ac:dyDescent="0.3">
      <c r="A32" s="2">
        <v>45536</v>
      </c>
      <c r="B32" s="3">
        <v>1150.4485964666667</v>
      </c>
      <c r="C32" s="3">
        <v>374.47009999999995</v>
      </c>
      <c r="D32" s="3">
        <v>775.97849646666668</v>
      </c>
      <c r="E32" s="3">
        <v>2466.1666666666665</v>
      </c>
      <c r="F32" s="3">
        <v>0</v>
      </c>
      <c r="G32" s="3">
        <v>11234.102999999999</v>
      </c>
      <c r="H32" s="10">
        <v>1.5031240740000001E-3</v>
      </c>
      <c r="I32" s="3">
        <v>73985</v>
      </c>
      <c r="J32" s="3">
        <v>23279.354894</v>
      </c>
      <c r="K32" s="3">
        <v>67.450079807989923</v>
      </c>
      <c r="L32" s="3">
        <v>41.423053803227546</v>
      </c>
      <c r="N32" s="1">
        <f t="shared" si="0"/>
        <v>915</v>
      </c>
      <c r="O32" s="1">
        <f t="shared" si="1"/>
        <v>2.0722041531931836</v>
      </c>
      <c r="P32" s="1">
        <f t="shared" si="3"/>
        <v>5.6847299417137069</v>
      </c>
      <c r="R32" s="1">
        <f t="shared" si="2"/>
        <v>1.1902850441793837E-2</v>
      </c>
    </row>
    <row r="33" spans="1:18" x14ac:dyDescent="0.3">
      <c r="A33" s="2">
        <v>45566</v>
      </c>
      <c r="B33" s="3">
        <v>1063.2441812580646</v>
      </c>
      <c r="C33" s="3">
        <v>310.04793548387102</v>
      </c>
      <c r="D33" s="3">
        <v>753.19624577419359</v>
      </c>
      <c r="E33" s="3">
        <v>2317.7419354838707</v>
      </c>
      <c r="F33" s="3">
        <v>0</v>
      </c>
      <c r="G33" s="3">
        <v>9611.4860000000008</v>
      </c>
      <c r="H33" s="10">
        <v>1.286017765E-3</v>
      </c>
      <c r="I33" s="3">
        <v>71850</v>
      </c>
      <c r="J33" s="3">
        <v>23349.083619000001</v>
      </c>
      <c r="K33" s="3">
        <v>70.839442063345004</v>
      </c>
      <c r="L33" s="3">
        <v>47.018965641733232</v>
      </c>
      <c r="N33" s="1">
        <f t="shared" si="0"/>
        <v>945</v>
      </c>
      <c r="O33" s="1">
        <f t="shared" si="1"/>
        <v>2.4292896664469987</v>
      </c>
      <c r="P33" s="1">
        <f t="shared" si="3"/>
        <v>-7.3775238825741027</v>
      </c>
      <c r="R33" s="1">
        <f t="shared" si="2"/>
        <v>3.1608226615671562E-4</v>
      </c>
    </row>
    <row r="34" spans="1:18" x14ac:dyDescent="0.3">
      <c r="A34" s="2">
        <v>45597</v>
      </c>
      <c r="B34" s="3">
        <v>1073.3447057000001</v>
      </c>
      <c r="C34" s="3">
        <v>312.10153333333335</v>
      </c>
      <c r="D34" s="3">
        <v>761.24317236666673</v>
      </c>
      <c r="E34" s="3">
        <v>2229.8333333333335</v>
      </c>
      <c r="F34" s="3">
        <v>0</v>
      </c>
      <c r="G34" s="3">
        <v>9363.0460000000003</v>
      </c>
      <c r="H34" s="10">
        <v>1.252776467E-3</v>
      </c>
      <c r="I34" s="3">
        <v>66895</v>
      </c>
      <c r="J34" s="3">
        <v>22837.295171000002</v>
      </c>
      <c r="K34" s="3">
        <v>70.922525477983243</v>
      </c>
      <c r="L34" s="3">
        <v>44.937958331081575</v>
      </c>
      <c r="N34" s="1">
        <f t="shared" si="0"/>
        <v>976</v>
      </c>
      <c r="O34" s="1">
        <f t="shared" si="1"/>
        <v>2.4390882166978569</v>
      </c>
      <c r="P34" s="1">
        <f t="shared" si="3"/>
        <v>-0.93038026345640057</v>
      </c>
      <c r="R34" s="1">
        <f t="shared" si="2"/>
        <v>-1.5709351535682457E-2</v>
      </c>
    </row>
    <row r="35" spans="1:18" x14ac:dyDescent="0.3">
      <c r="A35" s="2">
        <v>45627</v>
      </c>
      <c r="B35" s="3">
        <v>1109.3827823548388</v>
      </c>
      <c r="C35" s="3">
        <v>373.80548387096775</v>
      </c>
      <c r="D35" s="3">
        <v>735.57729848387089</v>
      </c>
      <c r="E35" s="3">
        <v>2243.483870967742</v>
      </c>
      <c r="F35" s="3">
        <v>0</v>
      </c>
      <c r="G35" s="3">
        <v>11587.97</v>
      </c>
      <c r="H35" s="10">
        <v>1.550471515E-3</v>
      </c>
      <c r="I35" s="3">
        <v>69548</v>
      </c>
      <c r="J35" s="3">
        <v>22802.896252999999</v>
      </c>
      <c r="K35" s="3">
        <v>66.305094164386873</v>
      </c>
      <c r="L35" s="3">
        <v>37.749753442578815</v>
      </c>
      <c r="N35" s="1">
        <f t="shared" si="0"/>
        <v>1006</v>
      </c>
      <c r="O35" s="1">
        <f t="shared" si="1"/>
        <v>1.9678076706273833</v>
      </c>
      <c r="P35" s="1">
        <f t="shared" si="3"/>
        <v>11.132019631965891</v>
      </c>
      <c r="R35" s="1">
        <f t="shared" si="2"/>
        <v>1.3383115950095283E-2</v>
      </c>
    </row>
    <row r="36" spans="1:18" x14ac:dyDescent="0.3">
      <c r="A36" s="2">
        <v>45658</v>
      </c>
      <c r="B36" s="3">
        <v>1137.9021419999999</v>
      </c>
      <c r="C36" s="3">
        <v>336.39029032258065</v>
      </c>
      <c r="D36" s="3">
        <v>801.51185167741937</v>
      </c>
      <c r="E36" s="3">
        <v>1871.0322580645161</v>
      </c>
      <c r="F36" s="3">
        <v>0</v>
      </c>
      <c r="G36" s="3">
        <v>10428.099</v>
      </c>
      <c r="H36" s="10">
        <v>1.395280662E-3</v>
      </c>
      <c r="I36" s="3">
        <v>58002</v>
      </c>
      <c r="J36" s="3">
        <v>24846.867402</v>
      </c>
      <c r="K36" s="3">
        <v>70.437678434163573</v>
      </c>
      <c r="L36" s="3">
        <v>34.984418502355993</v>
      </c>
      <c r="N36" s="1">
        <f t="shared" si="0"/>
        <v>1037</v>
      </c>
      <c r="O36" s="1">
        <f t="shared" si="1"/>
        <v>2.382684265080337</v>
      </c>
      <c r="P36" s="1">
        <f t="shared" si="3"/>
        <v>10.574588372850044</v>
      </c>
      <c r="R36" s="1">
        <f t="shared" si="2"/>
        <v>8.0929446904674605E-3</v>
      </c>
    </row>
    <row r="37" spans="1:18" x14ac:dyDescent="0.3">
      <c r="A37" s="2">
        <v>45689</v>
      </c>
      <c r="B37" s="3">
        <v>1184.711979107143</v>
      </c>
      <c r="C37" s="3">
        <v>326.04667857142857</v>
      </c>
      <c r="D37" s="3">
        <v>858.66530053571421</v>
      </c>
      <c r="E37" s="3">
        <v>1918.6071428571429</v>
      </c>
      <c r="F37" s="3">
        <v>0</v>
      </c>
      <c r="G37" s="3">
        <v>9129.3070000000007</v>
      </c>
      <c r="H37" s="10">
        <v>1.2215021699999999E-3</v>
      </c>
      <c r="I37" s="3">
        <v>53721</v>
      </c>
      <c r="J37" s="3">
        <v>24042.628414999999</v>
      </c>
      <c r="K37" s="3">
        <v>72.47882318053766</v>
      </c>
      <c r="L37" s="3">
        <v>37.012047661448996</v>
      </c>
      <c r="N37" s="1">
        <f t="shared" si="0"/>
        <v>1068</v>
      </c>
      <c r="O37" s="1">
        <f t="shared" si="1"/>
        <v>2.6335655504848283</v>
      </c>
      <c r="P37" s="1">
        <f t="shared" si="3"/>
        <v>4.8294096850477537</v>
      </c>
      <c r="R37" s="1">
        <f t="shared" si="2"/>
        <v>1.1938082284638456E-2</v>
      </c>
    </row>
    <row r="38" spans="1:18" x14ac:dyDescent="0.3">
      <c r="A38" s="2">
        <v>45717</v>
      </c>
      <c r="B38" s="3">
        <v>1316.8627230645161</v>
      </c>
      <c r="C38" s="3">
        <v>331.88470967741932</v>
      </c>
      <c r="D38" s="3">
        <v>984.97801338709678</v>
      </c>
      <c r="E38" s="3">
        <v>1991.741935483871</v>
      </c>
      <c r="F38" s="3">
        <v>0</v>
      </c>
      <c r="G38" s="3">
        <v>10288.425999999999</v>
      </c>
      <c r="H38" s="10">
        <v>1.3765924030000002E-3</v>
      </c>
      <c r="I38" s="3">
        <v>61744</v>
      </c>
      <c r="J38" s="3">
        <v>30534.318415000002</v>
      </c>
      <c r="K38" s="3">
        <v>74.797319123357127</v>
      </c>
      <c r="L38" s="3">
        <v>37.747018951198172</v>
      </c>
      <c r="N38" s="1">
        <f t="shared" si="0"/>
        <v>1096</v>
      </c>
      <c r="O38" s="1">
        <f t="shared" si="1"/>
        <v>2.9678318544547051</v>
      </c>
      <c r="P38" s="1">
        <f t="shared" si="3"/>
        <v>-0.60341224231248358</v>
      </c>
      <c r="R38" s="1">
        <f t="shared" si="2"/>
        <v>-2.4058621792662511E-3</v>
      </c>
    </row>
    <row r="39" spans="1:18" x14ac:dyDescent="0.3">
      <c r="A39" s="2">
        <v>45748</v>
      </c>
      <c r="B39" s="3">
        <v>1179.4013378666668</v>
      </c>
      <c r="C39" s="3">
        <v>302.93490000000003</v>
      </c>
      <c r="D39" s="3">
        <v>876.46643786666675</v>
      </c>
      <c r="E39" s="3">
        <v>2063.8666666666668</v>
      </c>
      <c r="F39" s="3">
        <v>0</v>
      </c>
      <c r="G39" s="3">
        <v>9088.0470000000005</v>
      </c>
      <c r="H39" s="10">
        <v>1.215981572E-3</v>
      </c>
      <c r="I39" s="3">
        <v>61916</v>
      </c>
      <c r="J39" s="3">
        <v>26293.993136000001</v>
      </c>
      <c r="K39" s="3">
        <v>74.314519555492708</v>
      </c>
      <c r="L39" s="3">
        <v>42.851809283116594</v>
      </c>
      <c r="N39" s="1">
        <f t="shared" si="0"/>
        <v>1127</v>
      </c>
      <c r="O39" s="1">
        <f t="shared" si="1"/>
        <v>2.8932501268974513</v>
      </c>
      <c r="P39" s="1">
        <f t="shared" si="3"/>
        <v>13.241966151947086</v>
      </c>
      <c r="R39" s="1">
        <f t="shared" si="2"/>
        <v>1.3966317859780938E-3</v>
      </c>
    </row>
    <row r="40" spans="1:18" x14ac:dyDescent="0.3">
      <c r="A40" s="2">
        <v>45778</v>
      </c>
      <c r="B40" s="3">
        <v>1189.6331413548387</v>
      </c>
      <c r="C40" s="3">
        <v>302.30954838709675</v>
      </c>
      <c r="D40" s="3">
        <v>887.323592967742</v>
      </c>
      <c r="E40" s="3">
        <v>1788.3870967741937</v>
      </c>
      <c r="F40" s="3">
        <v>0</v>
      </c>
      <c r="G40" s="3">
        <v>9371.5959999999995</v>
      </c>
      <c r="H40" s="10">
        <v>1.2539204600000001E-3</v>
      </c>
      <c r="I40" s="3">
        <v>55440</v>
      </c>
      <c r="J40" s="3">
        <v>27507.031382000001</v>
      </c>
      <c r="K40" s="3">
        <v>74.588002143013171</v>
      </c>
      <c r="L40" s="3">
        <v>37.208871573209088</v>
      </c>
      <c r="N40" s="1">
        <f t="shared" si="0"/>
        <v>1157</v>
      </c>
      <c r="O40" s="1">
        <f t="shared" si="1"/>
        <v>2.9351490804767941</v>
      </c>
      <c r="P40" s="1">
        <f t="shared" si="3"/>
        <v>14.495120107344853</v>
      </c>
      <c r="R40" s="1">
        <f t="shared" si="2"/>
        <v>2.1164883202670737E-2</v>
      </c>
    </row>
    <row r="41" spans="1:18" x14ac:dyDescent="0.3">
      <c r="A41" s="2">
        <v>45809</v>
      </c>
      <c r="B41" s="3">
        <v>1263.2035910666668</v>
      </c>
      <c r="C41" s="3">
        <v>275.13220000000001</v>
      </c>
      <c r="D41" s="3">
        <v>988.07139106666671</v>
      </c>
      <c r="E41" s="3">
        <v>1322.3666666666666</v>
      </c>
      <c r="F41" s="3">
        <v>0</v>
      </c>
      <c r="G41" s="3">
        <v>8253.9660000000003</v>
      </c>
      <c r="H41" s="10">
        <v>1.1043814560000001E-3</v>
      </c>
      <c r="I41" s="3">
        <v>39671</v>
      </c>
      <c r="J41" s="3">
        <v>29642.141732</v>
      </c>
      <c r="K41" s="3">
        <v>78.219488770794683</v>
      </c>
      <c r="L41" s="3">
        <v>30.230637707981835</v>
      </c>
      <c r="N41" s="1">
        <f t="shared" si="0"/>
        <v>1188</v>
      </c>
      <c r="O41" s="1">
        <f t="shared" si="1"/>
        <v>3.591260459759587</v>
      </c>
      <c r="P41" s="1" t="str">
        <f t="shared" si="3"/>
        <v xml:space="preserve"> </v>
      </c>
      <c r="R41" s="1">
        <f t="shared" si="2"/>
        <v>2.9547949599369053E-3</v>
      </c>
    </row>
    <row r="42" spans="1:18" x14ac:dyDescent="0.3">
      <c r="A42" s="2">
        <v>45839</v>
      </c>
      <c r="B42" s="3">
        <v>1270.3005444838711</v>
      </c>
      <c r="C42" s="3">
        <v>271.43729032258068</v>
      </c>
      <c r="D42" s="3">
        <v>998.86325416129034</v>
      </c>
      <c r="E42" s="3">
        <v>1541.4193548387098</v>
      </c>
      <c r="F42" s="3">
        <v>0</v>
      </c>
      <c r="G42" s="3">
        <v>8414.5560000000005</v>
      </c>
      <c r="H42" s="10">
        <v>1.125868411E-3</v>
      </c>
      <c r="I42" s="3">
        <v>47784</v>
      </c>
      <c r="J42" s="3">
        <v>30964.760879000001</v>
      </c>
      <c r="K42" s="3">
        <v>78.632041724199453</v>
      </c>
      <c r="L42" s="3">
        <v>35.718082237494166</v>
      </c>
      <c r="N42" s="1">
        <f t="shared" si="0"/>
        <v>1218</v>
      </c>
      <c r="O42" s="1">
        <f t="shared" si="1"/>
        <v>3.6799043085576941</v>
      </c>
      <c r="P42" s="1" t="str">
        <f t="shared" si="3"/>
        <v xml:space="preserve"> </v>
      </c>
      <c r="R42" s="1">
        <f t="shared" si="2"/>
        <v>3.0212679052197817E-3</v>
      </c>
    </row>
    <row r="43" spans="1:18" x14ac:dyDescent="0.3">
      <c r="A43" s="2">
        <v>45870</v>
      </c>
      <c r="K43" s="3"/>
      <c r="L43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9608-A911-4C2D-A35C-ECD3B17A1431}">
  <dimension ref="B1:BO72"/>
  <sheetViews>
    <sheetView view="pageBreakPreview" topLeftCell="BH1" zoomScale="83" zoomScaleNormal="128" zoomScaleSheetLayoutView="83" workbookViewId="0">
      <selection activeCell="BK3" sqref="BK3"/>
    </sheetView>
  </sheetViews>
  <sheetFormatPr defaultRowHeight="14.4" x14ac:dyDescent="0.3"/>
  <cols>
    <col min="2" max="2" width="8.77734375" style="1"/>
    <col min="24" max="24" width="11" customWidth="1"/>
    <col min="38" max="38" width="12.33203125" customWidth="1"/>
    <col min="39" max="39" width="15.21875" customWidth="1"/>
    <col min="41" max="41" width="6.33203125" customWidth="1"/>
    <col min="43" max="43" width="13.109375" customWidth="1"/>
    <col min="48" max="48" width="18.77734375" customWidth="1"/>
    <col min="49" max="49" width="47.88671875" customWidth="1"/>
    <col min="50" max="50" width="16.5546875" customWidth="1"/>
    <col min="51" max="51" width="70.5546875" customWidth="1"/>
    <col min="52" max="52" width="62.5546875" customWidth="1"/>
    <col min="53" max="53" width="98.5546875" customWidth="1"/>
    <col min="54" max="54" width="18.21875" customWidth="1"/>
    <col min="55" max="55" width="14.33203125" customWidth="1"/>
    <col min="57" max="57" width="26.44140625" customWidth="1"/>
    <col min="58" max="58" width="13.21875" customWidth="1"/>
    <col min="59" max="59" width="112.109375" customWidth="1"/>
    <col min="60" max="60" width="28.44140625" customWidth="1"/>
    <col min="61" max="61" width="47.109375" customWidth="1"/>
    <col min="62" max="62" width="32.21875" customWidth="1"/>
    <col min="63" max="63" width="33.5546875" customWidth="1"/>
    <col min="64" max="64" width="26.109375" customWidth="1"/>
    <col min="65" max="65" width="23" customWidth="1"/>
    <col min="66" max="66" width="14.88671875" customWidth="1"/>
    <col min="67" max="67" width="12.33203125" customWidth="1"/>
  </cols>
  <sheetData>
    <row r="1" spans="2:67" ht="16.8" thickBot="1" x14ac:dyDescent="0.35">
      <c r="B1" s="26" t="s">
        <v>89</v>
      </c>
      <c r="C1" s="57" t="s">
        <v>50</v>
      </c>
      <c r="D1" s="58"/>
      <c r="E1" s="58"/>
      <c r="F1" s="58"/>
      <c r="G1" s="58"/>
      <c r="H1" s="58"/>
      <c r="I1" s="58"/>
      <c r="J1" s="58"/>
      <c r="K1" s="58"/>
      <c r="L1" s="58"/>
      <c r="N1" s="59" t="s">
        <v>53</v>
      </c>
      <c r="O1" s="59"/>
      <c r="P1" s="59"/>
      <c r="Q1" s="59"/>
      <c r="R1" s="59"/>
      <c r="S1" s="59"/>
      <c r="T1" s="59"/>
      <c r="U1" s="59"/>
      <c r="V1" s="59"/>
      <c r="W1" s="59"/>
      <c r="Y1" s="60" t="s">
        <v>55</v>
      </c>
      <c r="Z1" s="60"/>
      <c r="AA1" s="60"/>
      <c r="AB1" s="60"/>
      <c r="AC1" s="60"/>
      <c r="AD1" s="60"/>
      <c r="AE1" s="60"/>
      <c r="AF1" s="60"/>
      <c r="AG1" s="60"/>
      <c r="AH1" s="60"/>
      <c r="AK1" s="27"/>
      <c r="AL1" s="27"/>
      <c r="AM1" s="27"/>
      <c r="AP1" s="64" t="s">
        <v>65</v>
      </c>
      <c r="AQ1" s="64"/>
      <c r="AR1" s="61" t="s">
        <v>66</v>
      </c>
      <c r="AS1" s="61"/>
      <c r="AT1" s="61"/>
      <c r="AU1" s="61"/>
      <c r="AV1" s="66" t="s">
        <v>67</v>
      </c>
      <c r="AW1" s="67" t="s">
        <v>102</v>
      </c>
      <c r="AX1" s="68" t="s">
        <v>73</v>
      </c>
      <c r="AY1" s="61" t="s">
        <v>93</v>
      </c>
      <c r="AZ1" s="33"/>
      <c r="BA1" s="61" t="s">
        <v>92</v>
      </c>
      <c r="BB1" s="29" t="s">
        <v>90</v>
      </c>
      <c r="BC1" s="61" t="s">
        <v>76</v>
      </c>
      <c r="BD1" s="61" t="s">
        <v>77</v>
      </c>
      <c r="BE1" s="61" t="s">
        <v>79</v>
      </c>
      <c r="BF1" s="69" t="s">
        <v>85</v>
      </c>
      <c r="BG1" s="70" t="s">
        <v>91</v>
      </c>
      <c r="BL1" s="68" t="s">
        <v>101</v>
      </c>
      <c r="BM1" s="68"/>
      <c r="BN1" s="68"/>
      <c r="BO1" s="68"/>
    </row>
    <row r="2" spans="2:67" ht="15" thickBot="1" x14ac:dyDescent="0.35">
      <c r="B2" s="39" t="s">
        <v>0</v>
      </c>
      <c r="C2" t="s">
        <v>36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37</v>
      </c>
      <c r="J2" t="s">
        <v>38</v>
      </c>
      <c r="K2" t="s">
        <v>39</v>
      </c>
      <c r="L2" t="s">
        <v>49</v>
      </c>
      <c r="M2" s="36" t="s">
        <v>51</v>
      </c>
      <c r="N2" t="s">
        <v>36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37</v>
      </c>
      <c r="U2" t="s">
        <v>38</v>
      </c>
      <c r="V2" t="s">
        <v>39</v>
      </c>
      <c r="W2" t="s">
        <v>52</v>
      </c>
      <c r="X2" s="44" t="s">
        <v>54</v>
      </c>
      <c r="Y2" t="s">
        <v>36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37</v>
      </c>
      <c r="AF2" t="s">
        <v>38</v>
      </c>
      <c r="AG2" t="s">
        <v>39</v>
      </c>
      <c r="AH2" t="s">
        <v>49</v>
      </c>
      <c r="AI2" s="35" t="s">
        <v>56</v>
      </c>
      <c r="AK2" s="27"/>
      <c r="AL2" s="27"/>
      <c r="AM2" s="27"/>
      <c r="AO2" s="27" t="s">
        <v>64</v>
      </c>
      <c r="AP2" s="65" t="s">
        <v>72</v>
      </c>
      <c r="AQ2" s="65"/>
      <c r="AR2" s="61"/>
      <c r="AS2" s="61"/>
      <c r="AT2" s="61"/>
      <c r="AU2" s="61"/>
      <c r="AV2" s="66"/>
      <c r="AW2" s="67"/>
      <c r="AX2" s="68"/>
      <c r="AY2" s="61"/>
      <c r="AZ2" s="33" t="s">
        <v>87</v>
      </c>
      <c r="BA2" s="61"/>
      <c r="BB2" s="29" t="s">
        <v>86</v>
      </c>
      <c r="BC2" s="61"/>
      <c r="BD2" s="61"/>
      <c r="BE2" s="61"/>
      <c r="BF2" s="69"/>
      <c r="BG2" s="70"/>
      <c r="BH2" s="71" t="s">
        <v>94</v>
      </c>
      <c r="BI2" s="71" t="s">
        <v>95</v>
      </c>
      <c r="BJ2" s="71" t="s">
        <v>99</v>
      </c>
      <c r="BK2" s="71" t="s">
        <v>100</v>
      </c>
      <c r="BL2" s="35" t="s">
        <v>96</v>
      </c>
      <c r="BM2" s="36" t="s">
        <v>97</v>
      </c>
      <c r="BN2" s="37" t="s">
        <v>98</v>
      </c>
      <c r="BO2" s="29" t="s">
        <v>52</v>
      </c>
    </row>
    <row r="3" spans="2:67" ht="15" thickBot="1" x14ac:dyDescent="0.35">
      <c r="B3" s="40">
        <v>43770</v>
      </c>
      <c r="C3" s="25">
        <v>15468.504999999999</v>
      </c>
      <c r="L3" s="25">
        <f>SUM(C3:K3)</f>
        <v>15468.504999999999</v>
      </c>
      <c r="M3" s="42">
        <f>L3</f>
        <v>15468.504999999999</v>
      </c>
      <c r="N3" s="28">
        <v>72832</v>
      </c>
      <c r="W3" s="25">
        <f>SUM(N3:V3)</f>
        <v>72832</v>
      </c>
      <c r="X3" s="43">
        <f>W3</f>
        <v>72832</v>
      </c>
      <c r="Y3" s="5">
        <v>28.832443000000001</v>
      </c>
      <c r="AH3" s="25">
        <f>SUM(Y3:AG3)</f>
        <v>28.832443000000001</v>
      </c>
      <c r="AI3" s="45">
        <f>AH3</f>
        <v>28.832443000000001</v>
      </c>
      <c r="AO3">
        <v>1</v>
      </c>
      <c r="AP3" s="62">
        <f xml:space="preserve"> (-0.0742*AO3+ 2217.1)</f>
        <v>2217.0257999999999</v>
      </c>
      <c r="AQ3" s="62"/>
      <c r="AR3" s="63">
        <f>(1.5048)*( (((AP3/ 18.2) + 1.4) * 10^0.23607 )^1.2048)</f>
        <v>956.58974646358229</v>
      </c>
      <c r="AS3" s="63"/>
      <c r="AT3" s="63"/>
      <c r="AU3" s="63"/>
      <c r="AV3" s="46">
        <f>(0.02827 * AL15 *AL6) / AP3</f>
        <v>7.9007571603361589E-3</v>
      </c>
      <c r="AW3" s="47">
        <f>0.9759+(0.00012*(BF3*((1.5048/0.8547)^0.5)+1.25*(666.24-460))^1.2)</f>
        <v>1.2171031898746698</v>
      </c>
      <c r="AX3" s="48">
        <f>(X3*35.3147) / M3</f>
        <v>166.27594136602085</v>
      </c>
      <c r="AY3" s="32">
        <f>(M3*(AW3+(AX3-BF3)*AV3)-(BG3-(AI3*1)))</f>
        <v>567669.46454267832</v>
      </c>
      <c r="AZ3">
        <f>(((AW3-1.16)+($BF$3-BF3))*AV3)+(AW3*($AL$19-$AL$20)*((($AL$27*$AL$22)+$AL$23))/0.56)</f>
        <v>1.6219127558362235E-2</v>
      </c>
      <c r="BA3">
        <f>AY3/AZ3</f>
        <v>35000000.000000007</v>
      </c>
      <c r="BB3">
        <f>BA3/10^6</f>
        <v>35.000000000000007</v>
      </c>
      <c r="BC3">
        <f>(($AL$20/18.2) + 1.4)</f>
        <v>38.036813186813184</v>
      </c>
      <c r="BD3">
        <f>10^$AN$8</f>
        <v>1.7221524744100771</v>
      </c>
      <c r="BE3">
        <f>(BC3 * BD3)^1.2048</f>
        <v>154.25846013908642</v>
      </c>
      <c r="BF3" s="48">
        <f>BE3 * $AL$11</f>
        <v>232.12813081729723</v>
      </c>
      <c r="BG3" s="49">
        <f>M3*(AW3+(AX3 -BF3)*AV3) + AI3*1 -( 35*10^6 *(AZ3) )</f>
        <v>-556861.85247367108</v>
      </c>
      <c r="BH3">
        <f>(AW3-1.16)+($BF$3-BF3)*AV3</f>
        <v>5.7103189874669891E-2</v>
      </c>
      <c r="BI3">
        <f xml:space="preserve"> (AW3*($AL$19-$AL$20)*((($AL$27*$AL$22)+$AL$23))/0.56)</f>
        <v>1.57679691220819E-2</v>
      </c>
      <c r="BJ3">
        <f xml:space="preserve"> (BG3-(AI3*1))</f>
        <v>-556890.68491667113</v>
      </c>
      <c r="BK3">
        <f xml:space="preserve"> M3*(AW3+(AX3-BF3)*AV3)</f>
        <v>10778.779626007148</v>
      </c>
      <c r="BL3" s="49">
        <f xml:space="preserve"> (35*10^6*BH3) /BK3</f>
        <v>185.42095811952365</v>
      </c>
      <c r="BM3" s="50">
        <f xml:space="preserve"> (35*10^6*BI3) / BK3</f>
        <v>51.200501208994702</v>
      </c>
      <c r="BN3" s="38">
        <f xml:space="preserve"> 1- BL3 -BM3</f>
        <v>-235.62145932851834</v>
      </c>
      <c r="BO3">
        <f xml:space="preserve"> BL3+BM3+BN3</f>
        <v>1</v>
      </c>
    </row>
    <row r="4" spans="2:67" x14ac:dyDescent="0.3">
      <c r="B4" s="41">
        <v>43800</v>
      </c>
      <c r="C4" s="25">
        <v>24186.651999999998</v>
      </c>
      <c r="I4" s="25">
        <v>16757.349999999999</v>
      </c>
      <c r="L4" s="25">
        <f>SUM(C4:K4)</f>
        <v>40944.001999999993</v>
      </c>
      <c r="M4" s="42">
        <f>M3+L4</f>
        <v>56412.506999999991</v>
      </c>
      <c r="N4" s="5">
        <v>98918</v>
      </c>
      <c r="T4" s="5">
        <v>28477</v>
      </c>
      <c r="W4" s="25">
        <f t="shared" ref="W4:W67" si="0">SUM(N4:V4)</f>
        <v>127395</v>
      </c>
      <c r="X4" s="43">
        <f t="shared" ref="X4:X9" si="1">X3+W4</f>
        <v>200227</v>
      </c>
      <c r="Y4" s="3">
        <v>42.820957999999997</v>
      </c>
      <c r="AE4" s="5">
        <v>296.59551800000003</v>
      </c>
      <c r="AH4" s="25">
        <f t="shared" ref="AH4:AH67" si="2">SUM(Y4:AG4)</f>
        <v>339.41647600000005</v>
      </c>
      <c r="AI4" s="45">
        <f>AI3+AH4</f>
        <v>368.24891900000006</v>
      </c>
      <c r="AK4" s="27" t="s">
        <v>60</v>
      </c>
      <c r="AL4" s="27">
        <v>33.9</v>
      </c>
      <c r="AO4">
        <f>AO3+1</f>
        <v>2</v>
      </c>
      <c r="AP4" s="62">
        <f t="shared" ref="AP4:AP30" si="3" xml:space="preserve"> (-0.0742*AO4+ 2217.1)</f>
        <v>2216.9515999999999</v>
      </c>
      <c r="AQ4" s="62"/>
      <c r="AR4" s="63">
        <f t="shared" ref="AR4:AR30" si="4">(1.5048)* (((AP4/ 18.2) + 1.4) * 10^0.236072 )^1.2048</f>
        <v>956.55691997015595</v>
      </c>
      <c r="AS4" s="63"/>
      <c r="AT4" s="63"/>
      <c r="AU4" s="63"/>
      <c r="AV4" s="46">
        <f>(0.02827 * 0.93 *666.24) / AP4</f>
        <v>7.9010215937957325E-3</v>
      </c>
      <c r="AW4" s="47">
        <f t="shared" ref="AW4:AW30" si="5" xml:space="preserve"> 0.9759 + 0.00012*(BF4* (1.5048/0.8547)^0.5 + 1.25*(666.24 - 460))^1.2</f>
        <v>1.2171031898746698</v>
      </c>
      <c r="AX4" s="48">
        <f>(X4*35.3147) / M4</f>
        <v>125.34377238189398</v>
      </c>
      <c r="AY4" s="32">
        <f t="shared" ref="AY4:AY30" si="6">(M4*(AW4+(AX4-BF4)*AV4)-(BG4-(AI4*1)))</f>
        <v>567669.99304246996</v>
      </c>
      <c r="AZ4">
        <f t="shared" ref="AZ4:AZ30" si="7">(((AW4-1.16)+($BF$3-BF4))*AV4)+(AW4*($AL$19-$AL$20)*((($AL$27*$AL$22)+$AL$23))/0.56)</f>
        <v>1.6219142658356285E-2</v>
      </c>
      <c r="BA4">
        <f t="shared" ref="BA4:BA30" si="8">AY4/AZ4</f>
        <v>35000000</v>
      </c>
      <c r="BB4">
        <f t="shared" ref="BB4:BB30" si="9">BA4/10^6</f>
        <v>35</v>
      </c>
      <c r="BC4">
        <f t="shared" ref="BC4:BC30" si="10">(($AL$20/18.2) + 1.4)</f>
        <v>38.036813186813184</v>
      </c>
      <c r="BD4">
        <f t="shared" ref="BD4:BD30" si="11">10^$AN$8</f>
        <v>1.7221524744100771</v>
      </c>
      <c r="BE4">
        <f t="shared" ref="BE4:BE30" si="12">(BC4 * BD4)^1.2048</f>
        <v>154.25846013908642</v>
      </c>
      <c r="BF4" s="48">
        <f t="shared" ref="BF4:BF30" si="13">BE4 * $AL$11</f>
        <v>232.12813081729723</v>
      </c>
      <c r="BG4" s="49">
        <f t="shared" ref="BG4:BG30" si="14">M4*(AW4+(AX4 -BF4)*AV4) + AI4*1 -( 35*10^6 *(AZ4) )</f>
        <v>-546237.44556380971</v>
      </c>
      <c r="BH4">
        <f t="shared" ref="BH4:BH30" si="15">(AW4-1.16)+($BF$3-BF4)*AV4</f>
        <v>5.7103189874669891E-2</v>
      </c>
      <c r="BI4">
        <f t="shared" ref="BI4:BI30" si="16" xml:space="preserve"> (AW4*($AL$19-$AL$20)*((($AL$27*$AL$22)+$AL$23))/0.56)</f>
        <v>1.57679691220819E-2</v>
      </c>
      <c r="BJ4">
        <f t="shared" ref="BJ4:BJ30" si="17" xml:space="preserve"> (BG4-(AI4*1))</f>
        <v>-546605.69448280975</v>
      </c>
      <c r="BK4">
        <f t="shared" ref="BK4:BK30" si="18" xml:space="preserve"> M4*(AW4+(AX4-BF4)*AV4)</f>
        <v>21064.298559660223</v>
      </c>
      <c r="BL4" s="49">
        <f t="shared" ref="BL4:BL30" si="19" xml:space="preserve"> (35*10^6*BH4) /BK4</f>
        <v>94.881471602427041</v>
      </c>
      <c r="BM4" s="50">
        <f t="shared" ref="BM4:BM30" si="20" xml:space="preserve"> (35*10^6*BI4) / BK4</f>
        <v>26.199729258004236</v>
      </c>
      <c r="BN4" s="38">
        <f t="shared" ref="BN4:BN30" si="21" xml:space="preserve"> 1- BL4 -BM4</f>
        <v>-120.08120086043128</v>
      </c>
      <c r="BO4">
        <f t="shared" ref="BO4:BO30" si="22" xml:space="preserve"> BL4+BM4+BN4</f>
        <v>1</v>
      </c>
    </row>
    <row r="5" spans="2:67" x14ac:dyDescent="0.3">
      <c r="B5" s="41">
        <v>43831</v>
      </c>
      <c r="C5" s="25">
        <v>34158.847000000002</v>
      </c>
      <c r="I5" s="25">
        <v>34708.120000000003</v>
      </c>
      <c r="L5" s="25">
        <f t="shared" ref="L5:L67" si="23">SUM(C5:K5)</f>
        <v>68866.967000000004</v>
      </c>
      <c r="M5" s="42">
        <f>M4+L5</f>
        <v>125279.47399999999</v>
      </c>
      <c r="N5" s="3">
        <v>46372</v>
      </c>
      <c r="T5" s="3">
        <v>30011</v>
      </c>
      <c r="W5" s="25">
        <f t="shared" si="0"/>
        <v>76383</v>
      </c>
      <c r="X5" s="43">
        <f t="shared" si="1"/>
        <v>276610</v>
      </c>
      <c r="Y5" s="3">
        <v>181.901017</v>
      </c>
      <c r="AE5" s="3">
        <v>184.88866899999999</v>
      </c>
      <c r="AH5" s="25">
        <f t="shared" si="2"/>
        <v>366.78968599999996</v>
      </c>
      <c r="AI5" s="45">
        <f t="shared" ref="AI5:AI68" si="24">AI4+AH5</f>
        <v>735.03860499999996</v>
      </c>
      <c r="AO5">
        <f t="shared" ref="AO5:AO68" si="25">AO4+1</f>
        <v>3</v>
      </c>
      <c r="AP5" s="62">
        <f t="shared" si="3"/>
        <v>2216.8773999999999</v>
      </c>
      <c r="AQ5" s="62"/>
      <c r="AR5" s="63">
        <f t="shared" si="4"/>
        <v>956.51878626488713</v>
      </c>
      <c r="AS5" s="63"/>
      <c r="AT5" s="63"/>
      <c r="AU5" s="63"/>
      <c r="AV5" s="46">
        <f t="shared" ref="AV5:AV30" si="26">(0.02827 * 0.93 *666.24) / AP5</f>
        <v>7.9012860449567488E-3</v>
      </c>
      <c r="AW5" s="47">
        <f t="shared" si="5"/>
        <v>1.2171031898746698</v>
      </c>
      <c r="AX5" s="48">
        <f t="shared" ref="AX5:AX30" si="27">(X5*35.3147) / M5</f>
        <v>77.972862234399244</v>
      </c>
      <c r="AY5" s="32">
        <f t="shared" si="6"/>
        <v>567670.52157764009</v>
      </c>
      <c r="AZ5">
        <f t="shared" si="7"/>
        <v>1.6219157759361145E-2</v>
      </c>
      <c r="BA5">
        <f t="shared" si="8"/>
        <v>35000000</v>
      </c>
      <c r="BB5">
        <f t="shared" si="9"/>
        <v>35</v>
      </c>
      <c r="BC5">
        <f t="shared" si="10"/>
        <v>38.036813186813184</v>
      </c>
      <c r="BD5">
        <f t="shared" si="11"/>
        <v>1.7221524744100771</v>
      </c>
      <c r="BE5">
        <f t="shared" si="12"/>
        <v>154.25846013908642</v>
      </c>
      <c r="BF5" s="48">
        <f t="shared" si="13"/>
        <v>232.12813081729723</v>
      </c>
      <c r="BG5" s="49">
        <f t="shared" si="14"/>
        <v>-567050.95087593782</v>
      </c>
      <c r="BH5">
        <f t="shared" si="15"/>
        <v>5.7103189874669891E-2</v>
      </c>
      <c r="BI5">
        <f t="shared" si="16"/>
        <v>1.57679691220819E-2</v>
      </c>
      <c r="BJ5">
        <f t="shared" si="17"/>
        <v>-567785.98948093783</v>
      </c>
      <c r="BK5">
        <f t="shared" si="18"/>
        <v>-115.46790329773629</v>
      </c>
      <c r="BL5" s="49">
        <f t="shared" si="19"/>
        <v>-17308.806937110359</v>
      </c>
      <c r="BM5" s="50">
        <f t="shared" si="20"/>
        <v>-4779.5006535265102</v>
      </c>
      <c r="BN5" s="38">
        <f t="shared" si="21"/>
        <v>22089.307590636869</v>
      </c>
      <c r="BO5">
        <f t="shared" si="22"/>
        <v>1</v>
      </c>
    </row>
    <row r="6" spans="2:67" x14ac:dyDescent="0.3">
      <c r="B6" s="41">
        <v>43862</v>
      </c>
      <c r="C6" s="25">
        <v>32855.891000000003</v>
      </c>
      <c r="D6" s="5">
        <v>6964.4120000000003</v>
      </c>
      <c r="G6" s="25">
        <v>17195.096000000001</v>
      </c>
      <c r="I6" s="25">
        <v>30075.115000000002</v>
      </c>
      <c r="L6" s="25">
        <f t="shared" si="23"/>
        <v>87090.51400000001</v>
      </c>
      <c r="M6" s="42">
        <f t="shared" ref="M6:M68" si="28">M5+L6</f>
        <v>212369.98800000001</v>
      </c>
      <c r="N6" s="3">
        <v>176199</v>
      </c>
      <c r="O6" s="25">
        <v>92232</v>
      </c>
      <c r="R6" s="5">
        <v>6196</v>
      </c>
      <c r="T6" s="3">
        <v>266654</v>
      </c>
      <c r="W6" s="25">
        <f t="shared" si="0"/>
        <v>541281</v>
      </c>
      <c r="X6" s="43">
        <f t="shared" si="1"/>
        <v>817891</v>
      </c>
      <c r="Y6" s="3">
        <v>395.75421699999998</v>
      </c>
      <c r="Z6" s="5">
        <v>1057.7745359999999</v>
      </c>
      <c r="AC6" s="5">
        <v>264.26594599999999</v>
      </c>
      <c r="AE6" s="3">
        <v>362.10378500000002</v>
      </c>
      <c r="AH6" s="25">
        <f t="shared" si="2"/>
        <v>2079.8984839999998</v>
      </c>
      <c r="AI6" s="45">
        <f t="shared" si="24"/>
        <v>2814.937089</v>
      </c>
      <c r="AK6" t="s">
        <v>69</v>
      </c>
      <c r="AL6">
        <f>666.24</f>
        <v>666.24</v>
      </c>
      <c r="AO6">
        <f t="shared" si="25"/>
        <v>4</v>
      </c>
      <c r="AP6" s="62">
        <f t="shared" si="3"/>
        <v>2216.8031999999998</v>
      </c>
      <c r="AQ6" s="62"/>
      <c r="AR6" s="63">
        <f t="shared" si="4"/>
        <v>956.48065281804327</v>
      </c>
      <c r="AS6" s="63"/>
      <c r="AT6" s="63"/>
      <c r="AU6" s="63"/>
      <c r="AV6" s="46">
        <f t="shared" si="26"/>
        <v>7.9015505138209843E-3</v>
      </c>
      <c r="AW6" s="47">
        <f t="shared" si="5"/>
        <v>1.2171031898746698</v>
      </c>
      <c r="AX6" s="48">
        <f t="shared" si="27"/>
        <v>136.00591858440939</v>
      </c>
      <c r="AY6" s="32">
        <f t="shared" si="6"/>
        <v>567671.05014819198</v>
      </c>
      <c r="AZ6">
        <f t="shared" si="7"/>
        <v>1.6219172861376915E-2</v>
      </c>
      <c r="BA6">
        <f t="shared" si="8"/>
        <v>35000000</v>
      </c>
      <c r="BB6">
        <f t="shared" si="9"/>
        <v>35</v>
      </c>
      <c r="BC6">
        <f t="shared" si="10"/>
        <v>38.036813186813184</v>
      </c>
      <c r="BD6">
        <f t="shared" si="11"/>
        <v>1.7221524744100771</v>
      </c>
      <c r="BE6">
        <f t="shared" si="12"/>
        <v>154.25846013908642</v>
      </c>
      <c r="BF6" s="48">
        <f t="shared" si="13"/>
        <v>232.12813081729723</v>
      </c>
      <c r="BG6" s="49">
        <f t="shared" si="14"/>
        <v>-467678.01176446956</v>
      </c>
      <c r="BH6">
        <f t="shared" si="15"/>
        <v>5.7103189874669891E-2</v>
      </c>
      <c r="BI6">
        <f t="shared" si="16"/>
        <v>1.57679691220819E-2</v>
      </c>
      <c r="BJ6">
        <f t="shared" si="17"/>
        <v>-470492.94885346957</v>
      </c>
      <c r="BK6">
        <f t="shared" si="18"/>
        <v>97178.101294722394</v>
      </c>
      <c r="BL6" s="49">
        <f t="shared" si="19"/>
        <v>20.566481738020826</v>
      </c>
      <c r="BM6" s="50">
        <f t="shared" si="20"/>
        <v>5.6790461217092973</v>
      </c>
      <c r="BN6" s="38">
        <f t="shared" si="21"/>
        <v>-25.245527859730124</v>
      </c>
      <c r="BO6">
        <f t="shared" si="22"/>
        <v>1</v>
      </c>
    </row>
    <row r="7" spans="2:67" x14ac:dyDescent="0.3">
      <c r="B7" s="41">
        <v>43891</v>
      </c>
      <c r="C7" s="25">
        <v>38101.913999999997</v>
      </c>
      <c r="D7" s="3">
        <v>31594.366000000002</v>
      </c>
      <c r="G7" s="25">
        <v>30314.215</v>
      </c>
      <c r="I7" s="25">
        <v>34843.927000000003</v>
      </c>
      <c r="L7" s="25">
        <f t="shared" si="23"/>
        <v>134854.42199999999</v>
      </c>
      <c r="M7" s="42">
        <f t="shared" si="28"/>
        <v>347224.41000000003</v>
      </c>
      <c r="N7" s="3">
        <v>288496</v>
      </c>
      <c r="O7" s="25">
        <v>500191</v>
      </c>
      <c r="R7" s="3">
        <v>12306</v>
      </c>
      <c r="T7" s="3">
        <v>376484</v>
      </c>
      <c r="W7" s="25">
        <f t="shared" si="0"/>
        <v>1177477</v>
      </c>
      <c r="X7" s="43">
        <f t="shared" si="1"/>
        <v>1995368</v>
      </c>
      <c r="Y7" s="3">
        <v>693.68317300000001</v>
      </c>
      <c r="Z7" s="3">
        <v>4352.761743</v>
      </c>
      <c r="AC7" s="3">
        <v>551.97397999999998</v>
      </c>
      <c r="AE7" s="3">
        <v>634.47728700000005</v>
      </c>
      <c r="AH7" s="25">
        <f t="shared" si="2"/>
        <v>6232.8961829999998</v>
      </c>
      <c r="AI7" s="45">
        <f t="shared" si="24"/>
        <v>9047.8332719999999</v>
      </c>
      <c r="AO7">
        <f t="shared" si="25"/>
        <v>5</v>
      </c>
      <c r="AP7" s="62">
        <f t="shared" si="3"/>
        <v>2216.7289999999998</v>
      </c>
      <c r="AQ7" s="62"/>
      <c r="AR7" s="63">
        <f t="shared" si="4"/>
        <v>956.44251962963381</v>
      </c>
      <c r="AS7" s="63"/>
      <c r="AT7" s="63"/>
      <c r="AU7" s="63"/>
      <c r="AV7" s="46">
        <f t="shared" si="26"/>
        <v>7.9018150003902152E-3</v>
      </c>
      <c r="AW7" s="47">
        <f t="shared" si="5"/>
        <v>1.2171031898746698</v>
      </c>
      <c r="AX7" s="48">
        <f t="shared" si="27"/>
        <v>202.94028956547152</v>
      </c>
      <c r="AY7" s="32">
        <f t="shared" si="6"/>
        <v>567671.57875412947</v>
      </c>
      <c r="AZ7">
        <f t="shared" si="7"/>
        <v>1.6219187964403699E-2</v>
      </c>
      <c r="BA7">
        <f t="shared" si="8"/>
        <v>35000000</v>
      </c>
      <c r="BB7">
        <f t="shared" si="9"/>
        <v>35</v>
      </c>
      <c r="BC7">
        <f t="shared" si="10"/>
        <v>38.036813186813184</v>
      </c>
      <c r="BD7">
        <f t="shared" si="11"/>
        <v>1.7221524744100771</v>
      </c>
      <c r="BE7">
        <f t="shared" si="12"/>
        <v>154.25846013908642</v>
      </c>
      <c r="BF7" s="48">
        <f t="shared" si="13"/>
        <v>232.12813081729723</v>
      </c>
      <c r="BG7" s="49">
        <f t="shared" si="14"/>
        <v>-216098.57757634926</v>
      </c>
      <c r="BH7">
        <f t="shared" si="15"/>
        <v>5.7103189874669891E-2</v>
      </c>
      <c r="BI7">
        <f t="shared" si="16"/>
        <v>1.57679691220819E-2</v>
      </c>
      <c r="BJ7">
        <f t="shared" si="17"/>
        <v>-225146.41084834925</v>
      </c>
      <c r="BK7">
        <f t="shared" si="18"/>
        <v>342525.1679057802</v>
      </c>
      <c r="BL7" s="49">
        <f t="shared" si="19"/>
        <v>5.8349337008812512</v>
      </c>
      <c r="BM7" s="50">
        <f t="shared" si="20"/>
        <v>1.6112069155299971</v>
      </c>
      <c r="BN7" s="38">
        <f t="shared" si="21"/>
        <v>-6.446140616411248</v>
      </c>
      <c r="BO7">
        <f t="shared" si="22"/>
        <v>1</v>
      </c>
    </row>
    <row r="8" spans="2:67" x14ac:dyDescent="0.3">
      <c r="B8" s="41">
        <v>43922</v>
      </c>
      <c r="C8" s="25">
        <v>36734.659</v>
      </c>
      <c r="D8" s="3">
        <v>30460.629000000001</v>
      </c>
      <c r="G8" s="25">
        <v>29226.414000000001</v>
      </c>
      <c r="I8" s="25">
        <v>33593.584999999999</v>
      </c>
      <c r="L8" s="25">
        <f t="shared" si="23"/>
        <v>130015.28700000001</v>
      </c>
      <c r="M8" s="42">
        <f t="shared" si="28"/>
        <v>477239.69700000004</v>
      </c>
      <c r="N8" s="3">
        <v>277193</v>
      </c>
      <c r="O8" s="25">
        <v>480607</v>
      </c>
      <c r="R8" s="3">
        <v>11823</v>
      </c>
      <c r="T8" s="3">
        <v>361731</v>
      </c>
      <c r="W8" s="25">
        <f t="shared" si="0"/>
        <v>1131354</v>
      </c>
      <c r="X8" s="43">
        <f t="shared" si="1"/>
        <v>3126722</v>
      </c>
      <c r="Y8" s="3">
        <v>737.93820700000003</v>
      </c>
      <c r="Z8" s="3">
        <v>4630.5004419999996</v>
      </c>
      <c r="AC8" s="3">
        <v>587.19685900000002</v>
      </c>
      <c r="AE8" s="3">
        <v>674.95214999999996</v>
      </c>
      <c r="AH8" s="25">
        <f t="shared" si="2"/>
        <v>6630.5876579999995</v>
      </c>
      <c r="AI8" s="45">
        <f t="shared" si="24"/>
        <v>15678.42093</v>
      </c>
      <c r="AK8" s="61" t="s">
        <v>74</v>
      </c>
      <c r="AL8" s="61"/>
      <c r="AM8" s="61"/>
      <c r="AN8" s="61">
        <f>(0.0125*AL4)-((0.00091)*(AL6-460))</f>
        <v>0.23607160000000002</v>
      </c>
      <c r="AO8">
        <f t="shared" si="25"/>
        <v>6</v>
      </c>
      <c r="AP8" s="62">
        <f t="shared" si="3"/>
        <v>2216.6547999999998</v>
      </c>
      <c r="AQ8" s="62"/>
      <c r="AR8" s="63">
        <f t="shared" si="4"/>
        <v>956.40438669966375</v>
      </c>
      <c r="AS8" s="63"/>
      <c r="AT8" s="63"/>
      <c r="AU8" s="63"/>
      <c r="AV8" s="46">
        <f t="shared" si="26"/>
        <v>7.9020795046662214E-3</v>
      </c>
      <c r="AW8" s="47">
        <f t="shared" si="5"/>
        <v>1.2171031898746698</v>
      </c>
      <c r="AX8" s="48">
        <f t="shared" si="27"/>
        <v>231.3706301204864</v>
      </c>
      <c r="AY8" s="32">
        <f t="shared" si="6"/>
        <v>567672.10739545582</v>
      </c>
      <c r="AZ8">
        <f t="shared" si="7"/>
        <v>1.6219203068441594E-2</v>
      </c>
      <c r="BA8">
        <f t="shared" si="8"/>
        <v>35000000</v>
      </c>
      <c r="BB8">
        <f t="shared" si="9"/>
        <v>35</v>
      </c>
      <c r="BC8">
        <f t="shared" si="10"/>
        <v>38.036813186813184</v>
      </c>
      <c r="BD8">
        <f t="shared" si="11"/>
        <v>1.7221524744100771</v>
      </c>
      <c r="BE8">
        <f t="shared" si="12"/>
        <v>154.25846013908642</v>
      </c>
      <c r="BF8" s="48">
        <f t="shared" si="13"/>
        <v>232.12813081729723</v>
      </c>
      <c r="BG8" s="49">
        <f t="shared" si="14"/>
        <v>25999.595043690759</v>
      </c>
      <c r="BH8">
        <f t="shared" si="15"/>
        <v>5.7103189874669891E-2</v>
      </c>
      <c r="BI8">
        <f t="shared" si="16"/>
        <v>1.57679691220819E-2</v>
      </c>
      <c r="BJ8">
        <f t="shared" si="17"/>
        <v>10321.174113690759</v>
      </c>
      <c r="BK8">
        <f t="shared" si="18"/>
        <v>577993.28150914656</v>
      </c>
      <c r="BL8" s="49">
        <f t="shared" si="19"/>
        <v>3.4578458081641537</v>
      </c>
      <c r="BM8" s="50">
        <f t="shared" si="20"/>
        <v>0.95481891732704016</v>
      </c>
      <c r="BN8" s="38">
        <f t="shared" si="21"/>
        <v>-3.4126647254911937</v>
      </c>
      <c r="BO8">
        <f t="shared" si="22"/>
        <v>1</v>
      </c>
    </row>
    <row r="9" spans="2:67" x14ac:dyDescent="0.3">
      <c r="B9" s="41">
        <v>43952</v>
      </c>
      <c r="C9" s="25">
        <v>36152.794000000002</v>
      </c>
      <c r="D9" s="3">
        <v>38538.296000000002</v>
      </c>
      <c r="G9" s="25">
        <v>27887.142</v>
      </c>
      <c r="I9" s="25">
        <v>35444.567000000003</v>
      </c>
      <c r="L9" s="25">
        <f t="shared" si="23"/>
        <v>138022.799</v>
      </c>
      <c r="M9" s="42">
        <f t="shared" si="28"/>
        <v>615262.49600000004</v>
      </c>
      <c r="N9" s="3">
        <v>313908</v>
      </c>
      <c r="O9" s="25">
        <v>402328</v>
      </c>
      <c r="R9" s="3">
        <v>137680</v>
      </c>
      <c r="T9" s="3">
        <v>354854</v>
      </c>
      <c r="W9" s="25">
        <f t="shared" si="0"/>
        <v>1208770</v>
      </c>
      <c r="X9" s="43">
        <f t="shared" si="1"/>
        <v>4335492</v>
      </c>
      <c r="Y9" s="3">
        <v>591.91420600000004</v>
      </c>
      <c r="Z9" s="3">
        <v>2539.3746649999998</v>
      </c>
      <c r="AC9" s="3">
        <v>5103.4367929999999</v>
      </c>
      <c r="AE9" s="3">
        <v>717.62215200000003</v>
      </c>
      <c r="AH9" s="25">
        <f t="shared" si="2"/>
        <v>8952.3478159999995</v>
      </c>
      <c r="AI9" s="45">
        <f t="shared" si="24"/>
        <v>24630.768746000002</v>
      </c>
      <c r="AK9" s="61"/>
      <c r="AL9" s="61"/>
      <c r="AM9" s="61"/>
      <c r="AN9" s="61"/>
      <c r="AO9">
        <f t="shared" si="25"/>
        <v>7</v>
      </c>
      <c r="AP9" s="62">
        <f t="shared" si="3"/>
        <v>2216.5805999999998</v>
      </c>
      <c r="AQ9" s="62"/>
      <c r="AR9" s="63">
        <f t="shared" si="4"/>
        <v>956.36625402814059</v>
      </c>
      <c r="AS9" s="63"/>
      <c r="AT9" s="63"/>
      <c r="AU9" s="63"/>
      <c r="AV9" s="46">
        <f t="shared" si="26"/>
        <v>7.9023440266507792E-3</v>
      </c>
      <c r="AW9" s="47">
        <f t="shared" si="5"/>
        <v>1.2171031898746698</v>
      </c>
      <c r="AX9" s="48">
        <f t="shared" si="27"/>
        <v>248.84760622952058</v>
      </c>
      <c r="AY9" s="32">
        <f t="shared" si="6"/>
        <v>567672.63607217453</v>
      </c>
      <c r="AZ9">
        <f t="shared" si="7"/>
        <v>1.6219218173490701E-2</v>
      </c>
      <c r="BA9">
        <f t="shared" si="8"/>
        <v>35000000</v>
      </c>
      <c r="BB9">
        <f t="shared" si="9"/>
        <v>35</v>
      </c>
      <c r="BC9">
        <f t="shared" si="10"/>
        <v>38.036813186813184</v>
      </c>
      <c r="BD9">
        <f t="shared" si="11"/>
        <v>1.7221524744100771</v>
      </c>
      <c r="BE9">
        <f t="shared" si="12"/>
        <v>154.25846013908642</v>
      </c>
      <c r="BF9" s="48">
        <f t="shared" si="13"/>
        <v>232.12813081729723</v>
      </c>
      <c r="BG9" s="49">
        <f t="shared" si="14"/>
        <v>287086.43462822924</v>
      </c>
      <c r="BH9">
        <f t="shared" si="15"/>
        <v>5.7103189874669891E-2</v>
      </c>
      <c r="BI9">
        <f t="shared" si="16"/>
        <v>1.57679691220819E-2</v>
      </c>
      <c r="BJ9">
        <f t="shared" si="17"/>
        <v>262455.66588222922</v>
      </c>
      <c r="BK9">
        <f t="shared" si="18"/>
        <v>830128.30195440375</v>
      </c>
      <c r="BL9" s="49">
        <f t="shared" si="19"/>
        <v>2.4075936706507126</v>
      </c>
      <c r="BM9" s="50">
        <f t="shared" si="20"/>
        <v>0.66481159354952257</v>
      </c>
      <c r="BN9" s="38">
        <f t="shared" si="21"/>
        <v>-2.0724052642002353</v>
      </c>
      <c r="BO9">
        <f t="shared" si="22"/>
        <v>1</v>
      </c>
    </row>
    <row r="10" spans="2:67" x14ac:dyDescent="0.3">
      <c r="B10" s="41">
        <v>43983</v>
      </c>
      <c r="C10" s="25">
        <v>34487.737999999998</v>
      </c>
      <c r="D10" s="3">
        <v>43318.690999999999</v>
      </c>
      <c r="G10" s="25">
        <v>25486.512999999999</v>
      </c>
      <c r="I10" s="25">
        <v>35553.067000000003</v>
      </c>
      <c r="L10" s="25">
        <f t="shared" si="23"/>
        <v>138846.00900000002</v>
      </c>
      <c r="M10" s="42">
        <f t="shared" si="28"/>
        <v>754108.50500000012</v>
      </c>
      <c r="N10" s="3">
        <v>313938</v>
      </c>
      <c r="O10" s="25">
        <v>307317</v>
      </c>
      <c r="R10" s="3">
        <v>278696</v>
      </c>
      <c r="T10" s="3">
        <v>316891</v>
      </c>
      <c r="W10" s="25">
        <f t="shared" si="0"/>
        <v>1216842</v>
      </c>
      <c r="X10" s="43">
        <f t="shared" ref="X10:X68" si="29">X9+W10</f>
        <v>5552334</v>
      </c>
      <c r="Y10" s="3">
        <v>528.45012599999995</v>
      </c>
      <c r="Z10" s="3">
        <v>1355.9802440000001</v>
      </c>
      <c r="AC10" s="3">
        <v>13118.723918</v>
      </c>
      <c r="AE10" s="3">
        <v>862.86621300000002</v>
      </c>
      <c r="AH10" s="25">
        <f t="shared" si="2"/>
        <v>15866.020500999999</v>
      </c>
      <c r="AI10" s="45">
        <f t="shared" si="24"/>
        <v>40496.789247000001</v>
      </c>
      <c r="AO10">
        <f t="shared" si="25"/>
        <v>8</v>
      </c>
      <c r="AP10" s="62">
        <f t="shared" si="3"/>
        <v>2216.5063999999998</v>
      </c>
      <c r="AQ10" s="62"/>
      <c r="AR10" s="63">
        <f t="shared" si="4"/>
        <v>956.32812161507081</v>
      </c>
      <c r="AS10" s="63"/>
      <c r="AT10" s="63"/>
      <c r="AU10" s="63"/>
      <c r="AV10" s="46">
        <f t="shared" si="26"/>
        <v>7.9026085663456702E-3</v>
      </c>
      <c r="AW10" s="47">
        <f t="shared" si="5"/>
        <v>1.2171031898746698</v>
      </c>
      <c r="AX10" s="48">
        <f t="shared" si="27"/>
        <v>260.01431917254399</v>
      </c>
      <c r="AY10" s="32">
        <f t="shared" si="6"/>
        <v>567673.16478428966</v>
      </c>
      <c r="AZ10">
        <f t="shared" si="7"/>
        <v>1.6219233279551128E-2</v>
      </c>
      <c r="BA10">
        <f t="shared" si="8"/>
        <v>35000000.000000007</v>
      </c>
      <c r="BB10">
        <f t="shared" si="9"/>
        <v>35.000000000000007</v>
      </c>
      <c r="BC10">
        <f t="shared" si="10"/>
        <v>38.036813186813184</v>
      </c>
      <c r="BD10">
        <f t="shared" si="11"/>
        <v>1.7221524744100771</v>
      </c>
      <c r="BE10">
        <f t="shared" si="12"/>
        <v>154.25846013908642</v>
      </c>
      <c r="BF10" s="48">
        <f t="shared" si="13"/>
        <v>232.12813081729723</v>
      </c>
      <c r="BG10" s="49">
        <f>M10*(AW10+(AX10 -BF10)*AV10) + AI10*1 -( 35*10^6 *(AZ10) )</f>
        <v>556837.12080875027</v>
      </c>
      <c r="BH10">
        <f t="shared" si="15"/>
        <v>5.7103189874669891E-2</v>
      </c>
      <c r="BI10">
        <f t="shared" si="16"/>
        <v>1.57679691220819E-2</v>
      </c>
      <c r="BJ10">
        <f t="shared" si="17"/>
        <v>516340.33156175027</v>
      </c>
      <c r="BK10">
        <f t="shared" si="18"/>
        <v>1084013.4963460399</v>
      </c>
      <c r="BL10" s="49">
        <f t="shared" si="19"/>
        <v>1.8437147252781503</v>
      </c>
      <c r="BM10" s="50">
        <f t="shared" si="20"/>
        <v>0.5091070555238687</v>
      </c>
      <c r="BN10" s="38">
        <f t="shared" si="21"/>
        <v>-1.3528217808020191</v>
      </c>
      <c r="BO10">
        <f t="shared" si="22"/>
        <v>1</v>
      </c>
    </row>
    <row r="11" spans="2:67" x14ac:dyDescent="0.3">
      <c r="B11" s="41">
        <v>44013</v>
      </c>
      <c r="C11" s="25">
        <v>34302.982616819398</v>
      </c>
      <c r="D11" s="3">
        <v>42852.655683565201</v>
      </c>
      <c r="G11" s="25">
        <v>18957.063823328397</v>
      </c>
      <c r="I11" s="25">
        <v>35132.965327712998</v>
      </c>
      <c r="L11" s="25">
        <f t="shared" si="23"/>
        <v>131245.66745142598</v>
      </c>
      <c r="M11" s="42">
        <f t="shared" si="28"/>
        <v>885354.17245142604</v>
      </c>
      <c r="N11" s="3">
        <v>285522</v>
      </c>
      <c r="O11" s="25">
        <v>283725</v>
      </c>
      <c r="R11" s="3">
        <v>281921</v>
      </c>
      <c r="T11" s="3">
        <v>283002</v>
      </c>
      <c r="W11" s="25">
        <f t="shared" si="0"/>
        <v>1134170</v>
      </c>
      <c r="X11" s="43">
        <f t="shared" si="29"/>
        <v>6686504</v>
      </c>
      <c r="Y11" s="3">
        <v>659.50439800000004</v>
      </c>
      <c r="Z11" s="3">
        <v>1138.397193</v>
      </c>
      <c r="AC11" s="3">
        <v>23516.077805000001</v>
      </c>
      <c r="AE11" s="3">
        <v>777.73376900000005</v>
      </c>
      <c r="AH11" s="25">
        <f t="shared" si="2"/>
        <v>26091.713165000001</v>
      </c>
      <c r="AI11" s="45">
        <f t="shared" si="24"/>
        <v>66588.502412000002</v>
      </c>
      <c r="AK11" t="s">
        <v>62</v>
      </c>
      <c r="AL11" s="21">
        <v>1.5047999999999999</v>
      </c>
      <c r="AO11">
        <f t="shared" si="25"/>
        <v>9</v>
      </c>
      <c r="AP11" s="62">
        <f t="shared" si="3"/>
        <v>2216.4321999999997</v>
      </c>
      <c r="AQ11" s="62"/>
      <c r="AR11" s="63">
        <f t="shared" si="4"/>
        <v>956.28998946046124</v>
      </c>
      <c r="AS11" s="63"/>
      <c r="AT11" s="63"/>
      <c r="AU11" s="63"/>
      <c r="AV11" s="46">
        <f t="shared" si="26"/>
        <v>7.9028731237526691E-3</v>
      </c>
      <c r="AW11" s="47">
        <f t="shared" si="5"/>
        <v>1.2171031898746698</v>
      </c>
      <c r="AX11" s="48">
        <f t="shared" si="27"/>
        <v>266.70895123810482</v>
      </c>
      <c r="AY11" s="32">
        <f t="shared" si="6"/>
        <v>567673.69353180414</v>
      </c>
      <c r="AZ11">
        <f t="shared" si="7"/>
        <v>1.6219248386622975E-2</v>
      </c>
      <c r="BA11">
        <f t="shared" si="8"/>
        <v>35000000</v>
      </c>
      <c r="BB11">
        <f t="shared" si="9"/>
        <v>35</v>
      </c>
      <c r="BC11">
        <f t="shared" si="10"/>
        <v>38.036813186813184</v>
      </c>
      <c r="BD11">
        <f t="shared" si="11"/>
        <v>1.7221524744100771</v>
      </c>
      <c r="BE11">
        <f t="shared" si="12"/>
        <v>154.25846013908642</v>
      </c>
      <c r="BF11" s="48">
        <f t="shared" si="13"/>
        <v>232.12813081729723</v>
      </c>
      <c r="BG11" s="49">
        <f t="shared" si="14"/>
        <v>818438.72248891473</v>
      </c>
      <c r="BH11">
        <f t="shared" si="15"/>
        <v>5.7103189874669891E-2</v>
      </c>
      <c r="BI11">
        <f t="shared" si="16"/>
        <v>1.57679691220819E-2</v>
      </c>
      <c r="BJ11">
        <f t="shared" si="17"/>
        <v>751850.22007691476</v>
      </c>
      <c r="BK11">
        <f t="shared" si="18"/>
        <v>1319523.9136087189</v>
      </c>
      <c r="BL11" s="49">
        <f t="shared" si="19"/>
        <v>1.5146460211907145</v>
      </c>
      <c r="BM11" s="50">
        <f t="shared" si="20"/>
        <v>0.41824093794825778</v>
      </c>
      <c r="BN11" s="38">
        <f t="shared" si="21"/>
        <v>-0.93288695913897224</v>
      </c>
      <c r="BO11">
        <f t="shared" si="22"/>
        <v>0.99999999999999989</v>
      </c>
    </row>
    <row r="12" spans="2:67" x14ac:dyDescent="0.3">
      <c r="B12" s="41">
        <v>44044</v>
      </c>
      <c r="C12" s="25">
        <v>35767.324999999997</v>
      </c>
      <c r="D12" s="3">
        <v>44358.150999999998</v>
      </c>
      <c r="G12" s="25">
        <v>15832.148999999999</v>
      </c>
      <c r="I12" s="25">
        <v>36477.771999999997</v>
      </c>
      <c r="L12" s="25">
        <f t="shared" si="23"/>
        <v>132435.397</v>
      </c>
      <c r="M12" s="42">
        <f t="shared" si="28"/>
        <v>1017789.569451426</v>
      </c>
      <c r="N12" s="3">
        <v>302148</v>
      </c>
      <c r="O12" s="25">
        <v>300540</v>
      </c>
      <c r="R12" s="3">
        <v>300968</v>
      </c>
      <c r="T12" s="3">
        <v>298429</v>
      </c>
      <c r="W12" s="25">
        <f t="shared" si="0"/>
        <v>1202085</v>
      </c>
      <c r="X12" s="43">
        <f t="shared" si="29"/>
        <v>7888589</v>
      </c>
      <c r="Y12" s="3">
        <v>609.63257599999997</v>
      </c>
      <c r="Z12" s="3">
        <v>1173.638942</v>
      </c>
      <c r="AC12" s="3">
        <v>26015.568846999999</v>
      </c>
      <c r="AE12" s="3">
        <v>919.67568700000004</v>
      </c>
      <c r="AH12" s="25">
        <f t="shared" si="2"/>
        <v>28718.516051999999</v>
      </c>
      <c r="AI12" s="45">
        <f t="shared" si="24"/>
        <v>95307.018463999993</v>
      </c>
      <c r="AO12">
        <f t="shared" si="25"/>
        <v>10</v>
      </c>
      <c r="AP12" s="62">
        <f t="shared" si="3"/>
        <v>2216.3579999999997</v>
      </c>
      <c r="AQ12" s="62"/>
      <c r="AR12" s="63">
        <f t="shared" si="4"/>
        <v>956.25185756431847</v>
      </c>
      <c r="AS12" s="63"/>
      <c r="AT12" s="63"/>
      <c r="AU12" s="63"/>
      <c r="AV12" s="46">
        <f t="shared" si="26"/>
        <v>7.903137698873559E-3</v>
      </c>
      <c r="AW12" s="47">
        <f t="shared" si="5"/>
        <v>1.2171031898746698</v>
      </c>
      <c r="AX12" s="48">
        <f t="shared" si="27"/>
        <v>273.71390149778438</v>
      </c>
      <c r="AY12" s="32">
        <f t="shared" si="6"/>
        <v>567674.2223147219</v>
      </c>
      <c r="AZ12">
        <f t="shared" si="7"/>
        <v>1.621926349470634E-2</v>
      </c>
      <c r="BA12">
        <f t="shared" si="8"/>
        <v>35000000</v>
      </c>
      <c r="BB12">
        <f t="shared" si="9"/>
        <v>35</v>
      </c>
      <c r="BC12">
        <f t="shared" si="10"/>
        <v>38.036813186813184</v>
      </c>
      <c r="BD12">
        <f t="shared" si="11"/>
        <v>1.7221524744100771</v>
      </c>
      <c r="BE12">
        <f t="shared" si="12"/>
        <v>154.25846013908642</v>
      </c>
      <c r="BF12" s="48">
        <f t="shared" si="13"/>
        <v>232.12813081729723</v>
      </c>
      <c r="BG12" s="49">
        <f t="shared" si="14"/>
        <v>1100892.4853490896</v>
      </c>
      <c r="BH12">
        <f t="shared" si="15"/>
        <v>5.7103189874669891E-2</v>
      </c>
      <c r="BI12">
        <f t="shared" si="16"/>
        <v>1.57679691220819E-2</v>
      </c>
      <c r="BJ12">
        <f t="shared" si="17"/>
        <v>1005585.4668850896</v>
      </c>
      <c r="BK12">
        <f t="shared" si="18"/>
        <v>1573259.6891998115</v>
      </c>
      <c r="BL12" s="49">
        <f t="shared" si="19"/>
        <v>1.2703634748500905</v>
      </c>
      <c r="BM12" s="50">
        <f t="shared" si="20"/>
        <v>0.35078691907091453</v>
      </c>
      <c r="BN12" s="38">
        <f t="shared" si="21"/>
        <v>-0.62115039392100502</v>
      </c>
      <c r="BO12">
        <f t="shared" si="22"/>
        <v>1</v>
      </c>
    </row>
    <row r="13" spans="2:67" x14ac:dyDescent="0.3">
      <c r="B13" s="41">
        <v>44075</v>
      </c>
      <c r="C13" s="25">
        <v>33228.538999999997</v>
      </c>
      <c r="D13" s="3">
        <v>40721.800999999999</v>
      </c>
      <c r="G13" s="25">
        <v>9811.8459999999995</v>
      </c>
      <c r="I13" s="25">
        <v>32314.04</v>
      </c>
      <c r="L13" s="25">
        <f t="shared" si="23"/>
        <v>116076.226</v>
      </c>
      <c r="M13" s="42">
        <f t="shared" si="28"/>
        <v>1133865.7954514259</v>
      </c>
      <c r="N13" s="3">
        <v>291370</v>
      </c>
      <c r="O13" s="25">
        <v>289822</v>
      </c>
      <c r="R13" s="3">
        <v>290244</v>
      </c>
      <c r="T13" s="3">
        <v>287783</v>
      </c>
      <c r="W13" s="25">
        <f t="shared" si="0"/>
        <v>1159219</v>
      </c>
      <c r="X13" s="43">
        <f t="shared" si="29"/>
        <v>9047808</v>
      </c>
      <c r="Y13" s="3">
        <v>583.49216799999999</v>
      </c>
      <c r="Z13" s="3">
        <v>1386.045486</v>
      </c>
      <c r="AC13" s="3">
        <v>31383.384806999999</v>
      </c>
      <c r="AE13" s="3">
        <v>914.18468800000005</v>
      </c>
      <c r="AH13" s="25">
        <f t="shared" si="2"/>
        <v>34267.107149000003</v>
      </c>
      <c r="AI13" s="45">
        <f t="shared" si="24"/>
        <v>129574.125613</v>
      </c>
      <c r="AJ13" t="s">
        <v>61</v>
      </c>
      <c r="AK13" t="s">
        <v>63</v>
      </c>
      <c r="AL13" s="21">
        <v>0.85470000000000002</v>
      </c>
      <c r="AO13">
        <f t="shared" si="25"/>
        <v>11</v>
      </c>
      <c r="AP13" s="62">
        <f t="shared" si="3"/>
        <v>2216.2837999999997</v>
      </c>
      <c r="AQ13" s="62"/>
      <c r="AR13" s="63">
        <f t="shared" si="4"/>
        <v>956.21372592664932</v>
      </c>
      <c r="AS13" s="63"/>
      <c r="AT13" s="63"/>
      <c r="AU13" s="63"/>
      <c r="AV13" s="46">
        <f t="shared" si="26"/>
        <v>7.9034022917101147E-3</v>
      </c>
      <c r="AW13" s="47">
        <f t="shared" si="5"/>
        <v>1.2171031898746698</v>
      </c>
      <c r="AX13" s="48">
        <f t="shared" si="27"/>
        <v>281.79756939434731</v>
      </c>
      <c r="AY13" s="32">
        <f t="shared" si="6"/>
        <v>567674.75113304635</v>
      </c>
      <c r="AZ13">
        <f t="shared" si="7"/>
        <v>1.6219278603801325E-2</v>
      </c>
      <c r="BA13">
        <f t="shared" si="8"/>
        <v>35000000</v>
      </c>
      <c r="BB13">
        <f t="shared" si="9"/>
        <v>35</v>
      </c>
      <c r="BC13">
        <f t="shared" si="10"/>
        <v>38.036813186813184</v>
      </c>
      <c r="BD13">
        <f t="shared" si="11"/>
        <v>1.7221524744100771</v>
      </c>
      <c r="BE13">
        <f t="shared" si="12"/>
        <v>154.25846013908642</v>
      </c>
      <c r="BF13" s="48">
        <f t="shared" si="13"/>
        <v>232.12813081729723</v>
      </c>
      <c r="BG13" s="49">
        <f t="shared" si="14"/>
        <v>1387038.6350088886</v>
      </c>
      <c r="BH13">
        <f t="shared" si="15"/>
        <v>5.7103189874669891E-2</v>
      </c>
      <c r="BI13">
        <f t="shared" si="16"/>
        <v>1.57679691220819E-2</v>
      </c>
      <c r="BJ13">
        <f t="shared" si="17"/>
        <v>1257464.5093958885</v>
      </c>
      <c r="BK13">
        <f t="shared" si="18"/>
        <v>1825139.2605289349</v>
      </c>
      <c r="BL13" s="49">
        <f t="shared" si="19"/>
        <v>1.0950461089934793</v>
      </c>
      <c r="BM13" s="50">
        <f t="shared" si="20"/>
        <v>0.30237633434773031</v>
      </c>
      <c r="BN13" s="38">
        <f t="shared" si="21"/>
        <v>-0.39742244334120963</v>
      </c>
      <c r="BO13">
        <f t="shared" si="22"/>
        <v>1</v>
      </c>
    </row>
    <row r="14" spans="2:67" x14ac:dyDescent="0.3">
      <c r="B14" s="41">
        <v>44105</v>
      </c>
      <c r="C14" s="25">
        <v>30783.079000000002</v>
      </c>
      <c r="D14" s="3">
        <v>37724.870999999999</v>
      </c>
      <c r="G14" s="25">
        <v>9089.7420000000002</v>
      </c>
      <c r="I14" s="25">
        <v>29935.887999999999</v>
      </c>
      <c r="L14" s="25">
        <f t="shared" si="23"/>
        <v>107533.57999999999</v>
      </c>
      <c r="M14" s="42">
        <f t="shared" si="28"/>
        <v>1241399.375451426</v>
      </c>
      <c r="N14" s="3">
        <v>309984</v>
      </c>
      <c r="O14" s="25">
        <v>308336</v>
      </c>
      <c r="R14" s="3">
        <v>308784</v>
      </c>
      <c r="T14" s="3">
        <v>306167</v>
      </c>
      <c r="W14" s="25">
        <f t="shared" si="0"/>
        <v>1233271</v>
      </c>
      <c r="X14" s="43">
        <f>X13+W14</f>
        <v>10281079</v>
      </c>
      <c r="Y14" s="3">
        <v>697.92249900000002</v>
      </c>
      <c r="Z14" s="3">
        <v>1657.8403249999999</v>
      </c>
      <c r="AC14" s="3">
        <v>37537.388024</v>
      </c>
      <c r="AE14" s="3">
        <v>1093.4376999999999</v>
      </c>
      <c r="AH14" s="25">
        <f t="shared" si="2"/>
        <v>40986.588548</v>
      </c>
      <c r="AI14" s="45">
        <f t="shared" si="24"/>
        <v>170560.71416099998</v>
      </c>
      <c r="AO14">
        <f t="shared" si="25"/>
        <v>12</v>
      </c>
      <c r="AP14" s="62">
        <f t="shared" si="3"/>
        <v>2216.2095999999997</v>
      </c>
      <c r="AQ14" s="62"/>
      <c r="AR14" s="63">
        <f t="shared" si="4"/>
        <v>956.17559454746083</v>
      </c>
      <c r="AS14" s="63"/>
      <c r="AT14" s="63"/>
      <c r="AU14" s="63"/>
      <c r="AV14" s="46">
        <f t="shared" si="26"/>
        <v>7.9036669022641195E-3</v>
      </c>
      <c r="AW14" s="47">
        <f t="shared" si="5"/>
        <v>1.2171031898746698</v>
      </c>
      <c r="AX14" s="48">
        <f t="shared" si="27"/>
        <v>292.470922525856</v>
      </c>
      <c r="AY14" s="32">
        <f t="shared" si="6"/>
        <v>567675.27998678084</v>
      </c>
      <c r="AZ14">
        <f t="shared" si="7"/>
        <v>1.6219293713908033E-2</v>
      </c>
      <c r="BA14">
        <f t="shared" si="8"/>
        <v>34999999.999999978</v>
      </c>
      <c r="BB14">
        <f t="shared" si="9"/>
        <v>34.999999999999979</v>
      </c>
      <c r="BC14">
        <f t="shared" si="10"/>
        <v>38.036813186813184</v>
      </c>
      <c r="BD14">
        <f t="shared" si="11"/>
        <v>1.7221524744100771</v>
      </c>
      <c r="BE14">
        <f t="shared" si="12"/>
        <v>154.25846013908642</v>
      </c>
      <c r="BF14" s="48">
        <f t="shared" si="13"/>
        <v>232.12813081729723</v>
      </c>
      <c r="BG14" s="49">
        <f t="shared" si="14"/>
        <v>1705856.3409001771</v>
      </c>
      <c r="BH14">
        <f t="shared" si="15"/>
        <v>5.7103189874669891E-2</v>
      </c>
      <c r="BI14">
        <f t="shared" si="16"/>
        <v>1.57679691220819E-2</v>
      </c>
      <c r="BJ14">
        <f t="shared" si="17"/>
        <v>1535295.6267391772</v>
      </c>
      <c r="BK14">
        <f t="shared" si="18"/>
        <v>2102970.906725958</v>
      </c>
      <c r="BL14" s="49">
        <f t="shared" si="19"/>
        <v>0.95037531866050151</v>
      </c>
      <c r="BM14" s="50">
        <f t="shared" si="20"/>
        <v>0.26242822357065676</v>
      </c>
      <c r="BN14" s="38">
        <f t="shared" si="21"/>
        <v>-0.21280354223115827</v>
      </c>
      <c r="BO14">
        <f t="shared" si="22"/>
        <v>1</v>
      </c>
    </row>
    <row r="15" spans="2:67" x14ac:dyDescent="0.3">
      <c r="B15" s="41">
        <v>44136</v>
      </c>
      <c r="C15" s="25">
        <v>29597.077000000001</v>
      </c>
      <c r="D15" s="3">
        <v>38611.614000000001</v>
      </c>
      <c r="G15" s="25">
        <v>7222.982</v>
      </c>
      <c r="I15" s="25">
        <v>31034.786</v>
      </c>
      <c r="L15" s="25">
        <f t="shared" si="23"/>
        <v>106466.459</v>
      </c>
      <c r="M15" s="42">
        <f t="shared" si="28"/>
        <v>1347865.8344514261</v>
      </c>
      <c r="N15" s="3">
        <v>328214</v>
      </c>
      <c r="O15" s="25">
        <v>326476</v>
      </c>
      <c r="R15" s="3">
        <v>326933</v>
      </c>
      <c r="T15" s="3">
        <v>324182</v>
      </c>
      <c r="W15" s="25">
        <f t="shared" si="0"/>
        <v>1305805</v>
      </c>
      <c r="X15" s="43">
        <f t="shared" si="29"/>
        <v>11586884</v>
      </c>
      <c r="Y15" s="3">
        <v>568.46583499999997</v>
      </c>
      <c r="Z15" s="3">
        <v>1261.148929</v>
      </c>
      <c r="AC15" s="3">
        <v>30947.438769</v>
      </c>
      <c r="AE15" s="3">
        <v>1243.6192579999999</v>
      </c>
      <c r="AH15" s="25">
        <f t="shared" si="2"/>
        <v>34020.672790999997</v>
      </c>
      <c r="AI15" s="45">
        <f t="shared" si="24"/>
        <v>204581.38695199997</v>
      </c>
      <c r="AK15" t="s">
        <v>68</v>
      </c>
      <c r="AL15">
        <v>0.93</v>
      </c>
      <c r="AO15">
        <f t="shared" si="25"/>
        <v>13</v>
      </c>
      <c r="AP15" s="62">
        <f t="shared" si="3"/>
        <v>2216.1354000000001</v>
      </c>
      <c r="AQ15" s="62"/>
      <c r="AR15" s="63">
        <f t="shared" si="4"/>
        <v>956.13746342676063</v>
      </c>
      <c r="AS15" s="63"/>
      <c r="AT15" s="63"/>
      <c r="AU15" s="63"/>
      <c r="AV15" s="46">
        <f t="shared" si="26"/>
        <v>7.9039315305373479E-3</v>
      </c>
      <c r="AW15" s="47">
        <f t="shared" si="5"/>
        <v>1.2171031898746698</v>
      </c>
      <c r="AX15" s="48">
        <f t="shared" si="27"/>
        <v>303.58164880804844</v>
      </c>
      <c r="AY15" s="32">
        <f t="shared" si="6"/>
        <v>567675.80887592933</v>
      </c>
      <c r="AZ15">
        <f t="shared" si="7"/>
        <v>1.6219308825026563E-2</v>
      </c>
      <c r="BA15">
        <f t="shared" si="8"/>
        <v>34999999.999999978</v>
      </c>
      <c r="BB15">
        <f t="shared" si="9"/>
        <v>34.999999999999979</v>
      </c>
      <c r="BC15">
        <f t="shared" si="10"/>
        <v>38.036813186813184</v>
      </c>
      <c r="BD15">
        <f t="shared" si="11"/>
        <v>1.7221524744100771</v>
      </c>
      <c r="BE15">
        <f t="shared" si="12"/>
        <v>154.25846013908642</v>
      </c>
      <c r="BF15" s="48">
        <f t="shared" si="13"/>
        <v>232.12813081729723</v>
      </c>
      <c r="BG15" s="49">
        <f t="shared" si="14"/>
        <v>2038623.099099013</v>
      </c>
      <c r="BH15">
        <f t="shared" si="15"/>
        <v>5.7103189874669891E-2</v>
      </c>
      <c r="BI15">
        <f t="shared" si="16"/>
        <v>1.57679691220819E-2</v>
      </c>
      <c r="BJ15">
        <f t="shared" si="17"/>
        <v>1834041.7121470131</v>
      </c>
      <c r="BK15">
        <f t="shared" si="18"/>
        <v>2401717.5210229424</v>
      </c>
      <c r="BL15" s="49">
        <f t="shared" si="19"/>
        <v>0.83215933102831974</v>
      </c>
      <c r="BM15" s="50">
        <f t="shared" si="20"/>
        <v>0.22978510771650179</v>
      </c>
      <c r="BN15" s="38">
        <f t="shared" si="21"/>
        <v>-6.1944438744821528E-2</v>
      </c>
      <c r="BO15">
        <f t="shared" si="22"/>
        <v>1</v>
      </c>
    </row>
    <row r="16" spans="2:67" x14ac:dyDescent="0.3">
      <c r="B16" s="41">
        <v>44166</v>
      </c>
      <c r="C16" s="25">
        <v>28657.703000000001</v>
      </c>
      <c r="D16" s="3">
        <v>26772.396000000001</v>
      </c>
      <c r="G16" s="25">
        <v>6359.9390000000003</v>
      </c>
      <c r="I16" s="25">
        <v>30925.904999999999</v>
      </c>
      <c r="L16" s="25">
        <f t="shared" si="23"/>
        <v>92715.942999999999</v>
      </c>
      <c r="M16" s="42">
        <f t="shared" si="28"/>
        <v>1440581.777451426</v>
      </c>
      <c r="N16" s="3">
        <v>221632</v>
      </c>
      <c r="O16" s="25">
        <v>199188</v>
      </c>
      <c r="R16" s="3">
        <v>229302</v>
      </c>
      <c r="T16" s="3">
        <v>232699</v>
      </c>
      <c r="W16" s="25">
        <f t="shared" si="0"/>
        <v>882821</v>
      </c>
      <c r="X16" s="43">
        <f t="shared" si="29"/>
        <v>12469705</v>
      </c>
      <c r="Y16" s="3">
        <v>755.92703500000005</v>
      </c>
      <c r="Z16" s="3">
        <v>766.92789400000004</v>
      </c>
      <c r="AC16" s="3">
        <v>27336.621833000001</v>
      </c>
      <c r="AE16" s="3">
        <v>1132.5917099999999</v>
      </c>
      <c r="AH16" s="25">
        <f t="shared" si="2"/>
        <v>29992.068472000003</v>
      </c>
      <c r="AI16" s="45">
        <f t="shared" si="24"/>
        <v>234573.45542399999</v>
      </c>
      <c r="AO16">
        <f t="shared" si="25"/>
        <v>14</v>
      </c>
      <c r="AP16" s="62">
        <f t="shared" si="3"/>
        <v>2216.0612000000001</v>
      </c>
      <c r="AQ16" s="62"/>
      <c r="AR16" s="63">
        <f t="shared" si="4"/>
        <v>956.09933256455452</v>
      </c>
      <c r="AS16" s="63"/>
      <c r="AT16" s="63"/>
      <c r="AU16" s="63"/>
      <c r="AV16" s="46">
        <f t="shared" si="26"/>
        <v>7.9041961765315867E-3</v>
      </c>
      <c r="AW16" s="47">
        <f t="shared" si="5"/>
        <v>1.2171031898746698</v>
      </c>
      <c r="AX16" s="48">
        <f t="shared" si="27"/>
        <v>305.68475740583102</v>
      </c>
      <c r="AY16" s="32">
        <f t="shared" si="6"/>
        <v>567676.33780049579</v>
      </c>
      <c r="AZ16">
        <f t="shared" si="7"/>
        <v>1.6219323937157023E-2</v>
      </c>
      <c r="BA16">
        <f t="shared" si="8"/>
        <v>35000000</v>
      </c>
      <c r="BB16">
        <f t="shared" si="9"/>
        <v>35</v>
      </c>
      <c r="BC16">
        <f t="shared" si="10"/>
        <v>38.036813186813184</v>
      </c>
      <c r="BD16">
        <f t="shared" si="11"/>
        <v>1.7221524744100771</v>
      </c>
      <c r="BE16">
        <f t="shared" si="12"/>
        <v>154.25846013908642</v>
      </c>
      <c r="BF16" s="48">
        <f t="shared" si="13"/>
        <v>232.12813081729723</v>
      </c>
      <c r="BG16" s="49">
        <f t="shared" si="14"/>
        <v>2257796.6927008396</v>
      </c>
      <c r="BH16">
        <f t="shared" si="15"/>
        <v>5.7103189874669891E-2</v>
      </c>
      <c r="BI16">
        <f t="shared" si="16"/>
        <v>1.57679691220819E-2</v>
      </c>
      <c r="BJ16">
        <f t="shared" si="17"/>
        <v>2023223.2372768396</v>
      </c>
      <c r="BK16">
        <f t="shared" si="18"/>
        <v>2590899.5750773354</v>
      </c>
      <c r="BL16" s="49">
        <f t="shared" si="19"/>
        <v>0.77139680165094393</v>
      </c>
      <c r="BM16" s="50">
        <f t="shared" si="20"/>
        <v>0.21300668099279513</v>
      </c>
      <c r="BN16" s="38">
        <f t="shared" si="21"/>
        <v>1.5596517356260942E-2</v>
      </c>
      <c r="BO16">
        <f t="shared" si="22"/>
        <v>1</v>
      </c>
    </row>
    <row r="17" spans="2:67" x14ac:dyDescent="0.3">
      <c r="B17" s="41">
        <v>44197</v>
      </c>
      <c r="C17" s="25">
        <v>31356.208999999999</v>
      </c>
      <c r="D17" s="3">
        <v>7583.1019999999999</v>
      </c>
      <c r="G17" s="25">
        <v>6498.6880000000001</v>
      </c>
      <c r="I17" s="25">
        <v>35661.656000000003</v>
      </c>
      <c r="L17" s="25">
        <f t="shared" si="23"/>
        <v>81099.654999999999</v>
      </c>
      <c r="M17" s="42">
        <f t="shared" si="28"/>
        <v>1521681.4324514261</v>
      </c>
      <c r="N17" s="3">
        <v>234181</v>
      </c>
      <c r="O17" s="25">
        <v>122856</v>
      </c>
      <c r="R17" s="3">
        <v>243212</v>
      </c>
      <c r="T17" s="3">
        <v>273320</v>
      </c>
      <c r="W17" s="25">
        <f t="shared" si="0"/>
        <v>873569</v>
      </c>
      <c r="X17" s="43">
        <f t="shared" si="29"/>
        <v>13343274</v>
      </c>
      <c r="Y17" s="3">
        <v>1034.8922439999999</v>
      </c>
      <c r="Z17" s="3">
        <v>227.28821300000001</v>
      </c>
      <c r="AC17" s="3">
        <v>22542.838184</v>
      </c>
      <c r="AE17" s="3">
        <v>877.38936000000001</v>
      </c>
      <c r="AH17" s="25">
        <f t="shared" si="2"/>
        <v>24682.408001</v>
      </c>
      <c r="AI17" s="45">
        <f t="shared" si="24"/>
        <v>259255.86342499999</v>
      </c>
      <c r="AK17" s="29" t="s">
        <v>75</v>
      </c>
      <c r="AL17" s="29"/>
      <c r="AM17" s="29">
        <f>((141.5/AL13) - 131.5)</f>
        <v>34.055165555165559</v>
      </c>
      <c r="AO17">
        <f t="shared" si="25"/>
        <v>15</v>
      </c>
      <c r="AP17" s="62">
        <f t="shared" si="3"/>
        <v>2215.9870000000001</v>
      </c>
      <c r="AQ17" s="62"/>
      <c r="AR17" s="63">
        <f t="shared" si="4"/>
        <v>956.06120196084885</v>
      </c>
      <c r="AS17" s="63"/>
      <c r="AT17" s="63"/>
      <c r="AU17" s="63"/>
      <c r="AV17" s="46">
        <f t="shared" si="26"/>
        <v>7.9044608402486106E-3</v>
      </c>
      <c r="AW17" s="47">
        <f t="shared" si="5"/>
        <v>1.2171031898746698</v>
      </c>
      <c r="AX17" s="48">
        <f t="shared" si="27"/>
        <v>309.66647044426082</v>
      </c>
      <c r="AY17" s="32">
        <f t="shared" si="6"/>
        <v>567676.86676048301</v>
      </c>
      <c r="AZ17">
        <f t="shared" si="7"/>
        <v>1.621933905029951E-2</v>
      </c>
      <c r="BA17">
        <f t="shared" si="8"/>
        <v>35000000.000000007</v>
      </c>
      <c r="BB17">
        <f t="shared" si="9"/>
        <v>35.000000000000007</v>
      </c>
      <c r="BC17">
        <f t="shared" si="10"/>
        <v>38.036813186813184</v>
      </c>
      <c r="BD17">
        <f t="shared" si="11"/>
        <v>1.7221524744100771</v>
      </c>
      <c r="BE17">
        <f t="shared" si="12"/>
        <v>154.25846013908642</v>
      </c>
      <c r="BF17" s="48">
        <f t="shared" si="13"/>
        <v>232.12813081729723</v>
      </c>
      <c r="BG17" s="49">
        <f t="shared" si="14"/>
        <v>2476258.9991370058</v>
      </c>
      <c r="BH17">
        <f t="shared" si="15"/>
        <v>5.7103189874669891E-2</v>
      </c>
      <c r="BI17">
        <f t="shared" si="16"/>
        <v>1.57679691220819E-2</v>
      </c>
      <c r="BJ17">
        <f t="shared" si="17"/>
        <v>2217003.1357120057</v>
      </c>
      <c r="BK17">
        <f t="shared" si="18"/>
        <v>2784680.0024724887</v>
      </c>
      <c r="BL17" s="49">
        <f t="shared" si="19"/>
        <v>0.71771680905486424</v>
      </c>
      <c r="BM17" s="50">
        <f t="shared" si="20"/>
        <v>0.19818396324994572</v>
      </c>
      <c r="BN17" s="38">
        <f t="shared" si="21"/>
        <v>8.4099227695190043E-2</v>
      </c>
      <c r="BO17">
        <f t="shared" si="22"/>
        <v>1</v>
      </c>
    </row>
    <row r="18" spans="2:67" x14ac:dyDescent="0.3">
      <c r="B18" s="41">
        <v>44228</v>
      </c>
      <c r="C18" s="25">
        <v>27755.112000000001</v>
      </c>
      <c r="D18" s="3">
        <v>2549.6689999999999</v>
      </c>
      <c r="G18" s="25">
        <v>5316.4170000000004</v>
      </c>
      <c r="I18" s="25">
        <v>29400.246999999999</v>
      </c>
      <c r="L18" s="25">
        <f t="shared" si="23"/>
        <v>65021.445000000007</v>
      </c>
      <c r="M18" s="42">
        <f t="shared" si="28"/>
        <v>1586702.8774514261</v>
      </c>
      <c r="N18" s="3">
        <v>235504</v>
      </c>
      <c r="O18" s="25">
        <v>48885</v>
      </c>
      <c r="R18" s="3">
        <v>244584</v>
      </c>
      <c r="T18" s="3">
        <v>274878</v>
      </c>
      <c r="W18" s="25">
        <f t="shared" si="0"/>
        <v>803851</v>
      </c>
      <c r="X18" s="43">
        <f t="shared" si="29"/>
        <v>14147125</v>
      </c>
      <c r="Y18" s="3">
        <v>325.01912299999998</v>
      </c>
      <c r="Z18" s="3">
        <v>38.858383000000003</v>
      </c>
      <c r="AC18" s="3">
        <v>10530.433476</v>
      </c>
      <c r="AE18" s="3">
        <v>520.23564599999997</v>
      </c>
      <c r="AH18" s="25">
        <f t="shared" si="2"/>
        <v>11414.546628</v>
      </c>
      <c r="AI18" s="45">
        <f t="shared" si="24"/>
        <v>270670.41005299997</v>
      </c>
      <c r="AO18">
        <f t="shared" si="25"/>
        <v>16</v>
      </c>
      <c r="AP18" s="62">
        <f t="shared" si="3"/>
        <v>2215.9128000000001</v>
      </c>
      <c r="AQ18" s="62"/>
      <c r="AR18" s="63">
        <f t="shared" si="4"/>
        <v>956.02307161565102</v>
      </c>
      <c r="AS18" s="63"/>
      <c r="AT18" s="63"/>
      <c r="AU18" s="63"/>
      <c r="AV18" s="46">
        <f t="shared" si="26"/>
        <v>7.9047255216902028E-3</v>
      </c>
      <c r="AW18" s="47">
        <f t="shared" si="5"/>
        <v>1.2171031898746698</v>
      </c>
      <c r="AX18" s="48">
        <f t="shared" si="27"/>
        <v>314.8676934650573</v>
      </c>
      <c r="AY18" s="32">
        <f t="shared" si="6"/>
        <v>567677.39575589448</v>
      </c>
      <c r="AZ18">
        <f t="shared" si="7"/>
        <v>1.6219354164454126E-2</v>
      </c>
      <c r="BA18">
        <f t="shared" si="8"/>
        <v>35000000.000000007</v>
      </c>
      <c r="BB18">
        <f t="shared" si="9"/>
        <v>35.000000000000007</v>
      </c>
      <c r="BC18">
        <f t="shared" si="10"/>
        <v>38.036813186813184</v>
      </c>
      <c r="BD18">
        <f t="shared" si="11"/>
        <v>1.7221524744100771</v>
      </c>
      <c r="BE18">
        <f t="shared" si="12"/>
        <v>154.25846013908642</v>
      </c>
      <c r="BF18" s="48">
        <f t="shared" si="13"/>
        <v>232.12813081729723</v>
      </c>
      <c r="BG18" s="49">
        <f t="shared" si="14"/>
        <v>2671931.0358181968</v>
      </c>
      <c r="BH18">
        <f t="shared" si="15"/>
        <v>5.7103189874669891E-2</v>
      </c>
      <c r="BI18">
        <f t="shared" si="16"/>
        <v>1.57679691220819E-2</v>
      </c>
      <c r="BJ18">
        <f t="shared" si="17"/>
        <v>2401260.625765197</v>
      </c>
      <c r="BK18">
        <f t="shared" si="18"/>
        <v>2968938.0215210915</v>
      </c>
      <c r="BL18" s="49">
        <f t="shared" si="19"/>
        <v>0.6731739198076917</v>
      </c>
      <c r="BM18" s="50">
        <f t="shared" si="20"/>
        <v>0.18588428430382642</v>
      </c>
      <c r="BN18" s="38">
        <f t="shared" si="21"/>
        <v>0.14094179588848188</v>
      </c>
      <c r="BO18">
        <f t="shared" si="22"/>
        <v>1</v>
      </c>
    </row>
    <row r="19" spans="2:67" x14ac:dyDescent="0.3">
      <c r="B19" s="41">
        <v>44256</v>
      </c>
      <c r="C19" s="25">
        <v>28688.87</v>
      </c>
      <c r="D19" s="3">
        <v>38246.894</v>
      </c>
      <c r="E19" s="25">
        <v>15780.215</v>
      </c>
      <c r="G19" s="25">
        <v>1683.5809999999999</v>
      </c>
      <c r="I19" s="25">
        <v>29579.597000000002</v>
      </c>
      <c r="L19" s="25">
        <f t="shared" si="23"/>
        <v>113979.15700000001</v>
      </c>
      <c r="M19" s="42">
        <f t="shared" si="28"/>
        <v>1700682.034451426</v>
      </c>
      <c r="N19" s="3">
        <v>206714</v>
      </c>
      <c r="O19" s="25">
        <v>137391</v>
      </c>
      <c r="P19" s="5">
        <v>100759</v>
      </c>
      <c r="R19" s="3">
        <v>68446</v>
      </c>
      <c r="T19" s="3">
        <v>258686</v>
      </c>
      <c r="W19" s="25">
        <f t="shared" si="0"/>
        <v>771996</v>
      </c>
      <c r="X19" s="43">
        <f t="shared" si="29"/>
        <v>14919121</v>
      </c>
      <c r="Y19" s="3">
        <v>215.30614299999999</v>
      </c>
      <c r="Z19" s="3">
        <v>3225.3402529999998</v>
      </c>
      <c r="AA19" s="5">
        <v>3365.829225</v>
      </c>
      <c r="AC19" s="3">
        <v>4097.4965000000002</v>
      </c>
      <c r="AE19" s="3">
        <v>1420.488435</v>
      </c>
      <c r="AH19" s="25">
        <f t="shared" si="2"/>
        <v>12324.460555999998</v>
      </c>
      <c r="AI19" s="45">
        <f t="shared" si="24"/>
        <v>282994.87060899998</v>
      </c>
      <c r="AK19" t="s">
        <v>82</v>
      </c>
      <c r="AL19">
        <v>2217</v>
      </c>
      <c r="AO19">
        <f t="shared" si="25"/>
        <v>17</v>
      </c>
      <c r="AP19" s="62">
        <f t="shared" si="3"/>
        <v>2215.8386</v>
      </c>
      <c r="AQ19" s="62"/>
      <c r="AR19" s="63">
        <f t="shared" si="4"/>
        <v>955.98494152896808</v>
      </c>
      <c r="AS19" s="63"/>
      <c r="AT19" s="63"/>
      <c r="AU19" s="63"/>
      <c r="AV19" s="46">
        <f t="shared" si="26"/>
        <v>7.9049902208581432E-3</v>
      </c>
      <c r="AW19" s="47">
        <f t="shared" si="5"/>
        <v>1.2171031898746698</v>
      </c>
      <c r="AX19" s="48">
        <f t="shared" si="27"/>
        <v>309.79587701039367</v>
      </c>
      <c r="AY19" s="32">
        <f t="shared" si="6"/>
        <v>567677.92478673393</v>
      </c>
      <c r="AZ19">
        <f t="shared" si="7"/>
        <v>1.621936927962097E-2</v>
      </c>
      <c r="BA19">
        <f t="shared" si="8"/>
        <v>35000000</v>
      </c>
      <c r="BB19">
        <f t="shared" si="9"/>
        <v>35</v>
      </c>
      <c r="BC19">
        <f t="shared" si="10"/>
        <v>38.036813186813184</v>
      </c>
      <c r="BD19">
        <f t="shared" si="11"/>
        <v>1.7221524744100771</v>
      </c>
      <c r="BE19">
        <f t="shared" si="12"/>
        <v>154.25846013908642</v>
      </c>
      <c r="BF19" s="48">
        <f t="shared" si="13"/>
        <v>232.12813081729723</v>
      </c>
      <c r="BG19" s="49">
        <f t="shared" si="14"/>
        <v>2829377.9347047745</v>
      </c>
      <c r="BH19">
        <f t="shared" si="15"/>
        <v>5.7103189874669891E-2</v>
      </c>
      <c r="BI19">
        <f t="shared" si="16"/>
        <v>1.57679691220819E-2</v>
      </c>
      <c r="BJ19">
        <f t="shared" si="17"/>
        <v>2546383.0640957747</v>
      </c>
      <c r="BK19">
        <f t="shared" si="18"/>
        <v>3114060.9888825086</v>
      </c>
      <c r="BL19" s="49">
        <f t="shared" si="19"/>
        <v>0.64180234515273726</v>
      </c>
      <c r="BM19" s="50">
        <f t="shared" si="20"/>
        <v>0.17722161551849056</v>
      </c>
      <c r="BN19" s="38">
        <f t="shared" si="21"/>
        <v>0.18097603932877218</v>
      </c>
      <c r="BO19">
        <f t="shared" si="22"/>
        <v>1</v>
      </c>
    </row>
    <row r="20" spans="2:67" x14ac:dyDescent="0.3">
      <c r="B20" s="41">
        <v>44287</v>
      </c>
      <c r="C20" s="25">
        <v>1032.6189999999999</v>
      </c>
      <c r="D20" s="3">
        <v>40242.909</v>
      </c>
      <c r="E20" s="25">
        <v>27765.237000000001</v>
      </c>
      <c r="G20" s="25">
        <v>0</v>
      </c>
      <c r="I20" s="25">
        <v>31057.064999999999</v>
      </c>
      <c r="L20" s="25">
        <f t="shared" si="23"/>
        <v>100097.83</v>
      </c>
      <c r="M20" s="42">
        <f t="shared" si="28"/>
        <v>1800779.8644514261</v>
      </c>
      <c r="N20" s="3">
        <v>7126</v>
      </c>
      <c r="O20" s="25">
        <v>137316</v>
      </c>
      <c r="P20" s="3">
        <v>155717</v>
      </c>
      <c r="R20" s="3">
        <v>0</v>
      </c>
      <c r="T20" s="3">
        <v>273895</v>
      </c>
      <c r="W20" s="25">
        <f t="shared" si="0"/>
        <v>574054</v>
      </c>
      <c r="X20" s="43">
        <f t="shared" si="29"/>
        <v>15493175</v>
      </c>
      <c r="Y20" s="3">
        <v>0</v>
      </c>
      <c r="Z20" s="3">
        <v>1010.273964</v>
      </c>
      <c r="AA20" s="3">
        <v>614.70215399999995</v>
      </c>
      <c r="AC20" s="3">
        <v>0</v>
      </c>
      <c r="AE20" s="3">
        <v>2407.6096440000001</v>
      </c>
      <c r="AH20" s="25">
        <f t="shared" si="2"/>
        <v>4032.5857620000002</v>
      </c>
      <c r="AI20" s="45">
        <f t="shared" si="24"/>
        <v>287027.45637099998</v>
      </c>
      <c r="AK20" t="s">
        <v>78</v>
      </c>
      <c r="AL20">
        <v>666.79</v>
      </c>
      <c r="AO20">
        <f t="shared" si="25"/>
        <v>18</v>
      </c>
      <c r="AP20" s="62">
        <f t="shared" si="3"/>
        <v>2215.7644</v>
      </c>
      <c r="AQ20" s="62"/>
      <c r="AR20" s="63">
        <f t="shared" si="4"/>
        <v>955.94681170080628</v>
      </c>
      <c r="AS20" s="63"/>
      <c r="AT20" s="63"/>
      <c r="AU20" s="63"/>
      <c r="AV20" s="46">
        <f t="shared" si="26"/>
        <v>7.9052549377542115E-3</v>
      </c>
      <c r="AW20" s="47">
        <f t="shared" si="5"/>
        <v>1.2171031898746698</v>
      </c>
      <c r="AX20" s="48">
        <f t="shared" si="27"/>
        <v>303.8332657829751</v>
      </c>
      <c r="AY20" s="32">
        <f t="shared" si="6"/>
        <v>567678.45385300508</v>
      </c>
      <c r="AZ20">
        <f t="shared" si="7"/>
        <v>1.6219384395800149E-2</v>
      </c>
      <c r="BA20">
        <f t="shared" si="8"/>
        <v>34999999.999999993</v>
      </c>
      <c r="BB20">
        <f t="shared" si="9"/>
        <v>34.999999999999993</v>
      </c>
      <c r="BC20">
        <f t="shared" si="10"/>
        <v>38.036813186813184</v>
      </c>
      <c r="BD20">
        <f t="shared" si="11"/>
        <v>1.7221524744100771</v>
      </c>
      <c r="BE20">
        <f t="shared" si="12"/>
        <v>154.25846013908642</v>
      </c>
      <c r="BF20" s="48">
        <f t="shared" si="13"/>
        <v>232.12813081729723</v>
      </c>
      <c r="BG20" s="49">
        <f t="shared" si="14"/>
        <v>2931851.2539684661</v>
      </c>
      <c r="BH20">
        <f t="shared" si="15"/>
        <v>5.7103189874669891E-2</v>
      </c>
      <c r="BI20">
        <f t="shared" si="16"/>
        <v>1.57679691220819E-2</v>
      </c>
      <c r="BJ20">
        <f t="shared" si="17"/>
        <v>2644823.797597466</v>
      </c>
      <c r="BK20">
        <f t="shared" si="18"/>
        <v>3212502.2514504711</v>
      </c>
      <c r="BL20" s="49">
        <f t="shared" si="19"/>
        <v>0.62213548479570924</v>
      </c>
      <c r="BM20" s="50">
        <f t="shared" si="20"/>
        <v>0.17179098287750261</v>
      </c>
      <c r="BN20" s="38">
        <f t="shared" si="21"/>
        <v>0.20607353232678816</v>
      </c>
      <c r="BO20">
        <f t="shared" si="22"/>
        <v>1</v>
      </c>
    </row>
    <row r="21" spans="2:67" x14ac:dyDescent="0.3">
      <c r="B21" s="41">
        <v>44317</v>
      </c>
      <c r="C21" s="25">
        <v>29092.686000000002</v>
      </c>
      <c r="D21" s="3">
        <v>40626.767</v>
      </c>
      <c r="E21" s="25">
        <v>28641.342000000001</v>
      </c>
      <c r="G21" s="25">
        <v>0</v>
      </c>
      <c r="I21" s="25">
        <v>26247.487000000001</v>
      </c>
      <c r="L21" s="25">
        <f t="shared" si="23"/>
        <v>124608.28200000001</v>
      </c>
      <c r="M21" s="42">
        <f t="shared" si="28"/>
        <v>1925388.1464514262</v>
      </c>
      <c r="N21" s="3">
        <v>272123</v>
      </c>
      <c r="O21" s="25">
        <v>137360</v>
      </c>
      <c r="P21" s="3">
        <v>162483</v>
      </c>
      <c r="R21" s="3">
        <v>0</v>
      </c>
      <c r="T21" s="3">
        <v>247009</v>
      </c>
      <c r="W21" s="25">
        <f t="shared" si="0"/>
        <v>818975</v>
      </c>
      <c r="X21" s="43">
        <f t="shared" si="29"/>
        <v>16312150</v>
      </c>
      <c r="Y21" s="3">
        <v>930.88411099999996</v>
      </c>
      <c r="Z21" s="3">
        <v>419.93849699999998</v>
      </c>
      <c r="AA21" s="3">
        <v>272.00869</v>
      </c>
      <c r="AC21" s="3">
        <v>0</v>
      </c>
      <c r="AE21" s="3">
        <v>1316.1154899999999</v>
      </c>
      <c r="AH21" s="25">
        <f t="shared" si="2"/>
        <v>2938.9467880000002</v>
      </c>
      <c r="AI21" s="45">
        <f t="shared" si="24"/>
        <v>289966.40315899998</v>
      </c>
      <c r="AO21">
        <f t="shared" si="25"/>
        <v>19</v>
      </c>
      <c r="AP21" s="62">
        <f t="shared" si="3"/>
        <v>2215.6902</v>
      </c>
      <c r="AQ21" s="62"/>
      <c r="AR21" s="63">
        <f t="shared" si="4"/>
        <v>955.90868213117199</v>
      </c>
      <c r="AS21" s="63"/>
      <c r="AT21" s="63"/>
      <c r="AU21" s="63"/>
      <c r="AV21" s="46">
        <f t="shared" si="26"/>
        <v>7.9055196723801912E-3</v>
      </c>
      <c r="AW21" s="47">
        <f t="shared" si="5"/>
        <v>1.2171031898746698</v>
      </c>
      <c r="AX21" s="48">
        <f t="shared" si="27"/>
        <v>299.19093698935518</v>
      </c>
      <c r="AY21" s="32">
        <f t="shared" si="6"/>
        <v>567678.98295471165</v>
      </c>
      <c r="AZ21">
        <f t="shared" si="7"/>
        <v>1.6219399512991763E-2</v>
      </c>
      <c r="BA21">
        <f t="shared" si="8"/>
        <v>35000000</v>
      </c>
      <c r="BB21">
        <f t="shared" si="9"/>
        <v>35</v>
      </c>
      <c r="BC21">
        <f t="shared" si="10"/>
        <v>38.036813186813184</v>
      </c>
      <c r="BD21">
        <f t="shared" si="11"/>
        <v>1.7221524744100771</v>
      </c>
      <c r="BE21">
        <f t="shared" si="12"/>
        <v>154.25846013908642</v>
      </c>
      <c r="BF21" s="48">
        <f t="shared" si="13"/>
        <v>232.12813081729723</v>
      </c>
      <c r="BG21" s="49">
        <f t="shared" si="14"/>
        <v>3086459.449123783</v>
      </c>
      <c r="BH21">
        <f t="shared" si="15"/>
        <v>5.7103189874669891E-2</v>
      </c>
      <c r="BI21">
        <f t="shared" si="16"/>
        <v>1.57679691220819E-2</v>
      </c>
      <c r="BJ21">
        <f t="shared" si="17"/>
        <v>2796493.0459647831</v>
      </c>
      <c r="BK21">
        <f t="shared" si="18"/>
        <v>3364172.0289194947</v>
      </c>
      <c r="BL21" s="49">
        <f t="shared" si="19"/>
        <v>0.59408723110255468</v>
      </c>
      <c r="BM21" s="50">
        <f t="shared" si="20"/>
        <v>0.16404598650982749</v>
      </c>
      <c r="BN21" s="38">
        <f t="shared" si="21"/>
        <v>0.24186678238761783</v>
      </c>
      <c r="BO21">
        <f t="shared" si="22"/>
        <v>1</v>
      </c>
    </row>
    <row r="22" spans="2:67" x14ac:dyDescent="0.3">
      <c r="B22" s="41">
        <v>44348</v>
      </c>
      <c r="C22" s="25">
        <v>29135.82</v>
      </c>
      <c r="D22" s="3">
        <v>40964.671999999999</v>
      </c>
      <c r="E22" s="25">
        <v>28899.748</v>
      </c>
      <c r="G22" s="25">
        <v>0</v>
      </c>
      <c r="I22" s="25">
        <v>26099.837</v>
      </c>
      <c r="L22" s="25">
        <f t="shared" si="23"/>
        <v>125100.07699999999</v>
      </c>
      <c r="M22" s="42">
        <f t="shared" si="28"/>
        <v>2050488.2234514263</v>
      </c>
      <c r="N22" s="3">
        <v>285979</v>
      </c>
      <c r="O22" s="25">
        <v>142838</v>
      </c>
      <c r="P22" s="3">
        <v>169192</v>
      </c>
      <c r="R22" s="3">
        <v>0</v>
      </c>
      <c r="T22" s="3">
        <v>254709</v>
      </c>
      <c r="W22" s="25">
        <f t="shared" si="0"/>
        <v>852718</v>
      </c>
      <c r="X22" s="43">
        <f t="shared" si="29"/>
        <v>17164868</v>
      </c>
      <c r="Y22" s="3">
        <v>1847.515533</v>
      </c>
      <c r="Z22" s="3">
        <v>833.44882099999995</v>
      </c>
      <c r="AA22" s="3">
        <v>539.85353499999997</v>
      </c>
      <c r="AC22" s="3">
        <v>0</v>
      </c>
      <c r="AE22" s="3">
        <v>2612.047012</v>
      </c>
      <c r="AH22" s="25">
        <f t="shared" si="2"/>
        <v>5832.8649009999999</v>
      </c>
      <c r="AI22" s="45">
        <f t="shared" si="24"/>
        <v>295799.26805999997</v>
      </c>
      <c r="AK22" t="s">
        <v>80</v>
      </c>
      <c r="AL22" s="32">
        <v>3.0000000000000001E-6</v>
      </c>
      <c r="AM22" s="32"/>
      <c r="AO22">
        <f t="shared" si="25"/>
        <v>20</v>
      </c>
      <c r="AP22" s="62">
        <f t="shared" si="3"/>
        <v>2215.616</v>
      </c>
      <c r="AQ22" s="62"/>
      <c r="AR22" s="63">
        <f t="shared" si="4"/>
        <v>955.87055282007407</v>
      </c>
      <c r="AS22" s="63"/>
      <c r="AT22" s="63"/>
      <c r="AU22" s="63"/>
      <c r="AV22" s="46">
        <f t="shared" si="26"/>
        <v>7.9057844247378602E-3</v>
      </c>
      <c r="AW22" s="47">
        <f t="shared" si="5"/>
        <v>1.2171031898746698</v>
      </c>
      <c r="AX22" s="48">
        <f t="shared" si="27"/>
        <v>295.62333351970096</v>
      </c>
      <c r="AY22" s="32">
        <f t="shared" si="6"/>
        <v>567679.51209185692</v>
      </c>
      <c r="AZ22">
        <f t="shared" si="7"/>
        <v>1.6219414631195913E-2</v>
      </c>
      <c r="BA22">
        <f t="shared" si="8"/>
        <v>35000000</v>
      </c>
      <c r="BB22">
        <f t="shared" si="9"/>
        <v>35</v>
      </c>
      <c r="BC22">
        <f t="shared" si="10"/>
        <v>38.036813186813184</v>
      </c>
      <c r="BD22">
        <f t="shared" si="11"/>
        <v>1.7221524744100771</v>
      </c>
      <c r="BE22">
        <f t="shared" si="12"/>
        <v>154.25846013908642</v>
      </c>
      <c r="BF22" s="48">
        <f t="shared" si="13"/>
        <v>232.12813081729723</v>
      </c>
      <c r="BG22" s="49">
        <f t="shared" si="14"/>
        <v>3253078.3300079838</v>
      </c>
      <c r="BH22">
        <f t="shared" si="15"/>
        <v>5.7103189874669891E-2</v>
      </c>
      <c r="BI22">
        <f t="shared" si="16"/>
        <v>1.57679691220819E-2</v>
      </c>
      <c r="BJ22">
        <f t="shared" si="17"/>
        <v>2957279.0619479837</v>
      </c>
      <c r="BK22">
        <f t="shared" si="18"/>
        <v>3524958.5740398406</v>
      </c>
      <c r="BL22" s="49">
        <f t="shared" si="19"/>
        <v>0.56698869040123279</v>
      </c>
      <c r="BM22" s="50">
        <f t="shared" si="20"/>
        <v>0.15656323547665865</v>
      </c>
      <c r="BN22" s="38">
        <f t="shared" si="21"/>
        <v>0.27644807412210859</v>
      </c>
      <c r="BO22">
        <f t="shared" si="22"/>
        <v>1</v>
      </c>
    </row>
    <row r="23" spans="2:67" x14ac:dyDescent="0.3">
      <c r="B23" s="41">
        <v>44378</v>
      </c>
      <c r="C23" s="25">
        <v>28882.33</v>
      </c>
      <c r="D23" s="3">
        <v>40608.267</v>
      </c>
      <c r="E23" s="25">
        <v>28648.315999999999</v>
      </c>
      <c r="G23" s="25">
        <v>0</v>
      </c>
      <c r="I23" s="25">
        <v>25872.762999999999</v>
      </c>
      <c r="L23" s="25">
        <f t="shared" si="23"/>
        <v>124011.67600000001</v>
      </c>
      <c r="M23" s="42">
        <f t="shared" si="28"/>
        <v>2174499.8994514262</v>
      </c>
      <c r="N23" s="3">
        <v>293420</v>
      </c>
      <c r="O23" s="25">
        <v>146558</v>
      </c>
      <c r="P23" s="3">
        <v>173601</v>
      </c>
      <c r="R23" s="3">
        <v>0</v>
      </c>
      <c r="T23" s="3">
        <v>261357</v>
      </c>
      <c r="W23" s="25">
        <f t="shared" si="0"/>
        <v>874936</v>
      </c>
      <c r="X23" s="43">
        <f t="shared" si="29"/>
        <v>18039804</v>
      </c>
      <c r="Y23" s="3">
        <v>3009.9963680000001</v>
      </c>
      <c r="Z23" s="3">
        <v>1357.8671870000001</v>
      </c>
      <c r="AA23" s="3">
        <v>879.50902499999995</v>
      </c>
      <c r="AC23" s="3">
        <v>0</v>
      </c>
      <c r="AE23" s="3">
        <v>4255.6032029999997</v>
      </c>
      <c r="AH23" s="25">
        <f t="shared" si="2"/>
        <v>9502.9757829999999</v>
      </c>
      <c r="AI23" s="45">
        <f t="shared" si="24"/>
        <v>305302.24384299997</v>
      </c>
      <c r="AK23" t="s">
        <v>81</v>
      </c>
      <c r="AL23" s="32">
        <v>3.0000000000000001E-6</v>
      </c>
      <c r="AO23">
        <f t="shared" si="25"/>
        <v>21</v>
      </c>
      <c r="AP23" s="62">
        <f t="shared" si="3"/>
        <v>2215.5418</v>
      </c>
      <c r="AQ23" s="62"/>
      <c r="AR23" s="63">
        <f t="shared" si="4"/>
        <v>955.83242376751798</v>
      </c>
      <c r="AS23" s="63"/>
      <c r="AT23" s="63"/>
      <c r="AU23" s="63"/>
      <c r="AV23" s="46">
        <f t="shared" si="26"/>
        <v>7.9060491948290037E-3</v>
      </c>
      <c r="AW23" s="47">
        <f t="shared" si="5"/>
        <v>1.2171031898746698</v>
      </c>
      <c r="AX23" s="48">
        <f t="shared" si="27"/>
        <v>292.97323328435999</v>
      </c>
      <c r="AY23" s="32">
        <f t="shared" si="6"/>
        <v>567680.04126444459</v>
      </c>
      <c r="AZ23">
        <f t="shared" si="7"/>
        <v>1.6219429750412701E-2</v>
      </c>
      <c r="BA23">
        <f t="shared" si="8"/>
        <v>35000000</v>
      </c>
      <c r="BB23">
        <f t="shared" si="9"/>
        <v>35</v>
      </c>
      <c r="BC23">
        <f t="shared" si="10"/>
        <v>38.036813186813184</v>
      </c>
      <c r="BD23">
        <f t="shared" si="11"/>
        <v>1.7221524744100771</v>
      </c>
      <c r="BE23">
        <f t="shared" si="12"/>
        <v>154.25846013908642</v>
      </c>
      <c r="BF23" s="48">
        <f t="shared" si="13"/>
        <v>232.12813081729723</v>
      </c>
      <c r="BG23" s="49">
        <f t="shared" si="14"/>
        <v>3430243.9081056211</v>
      </c>
      <c r="BH23">
        <f t="shared" si="15"/>
        <v>5.7103189874669891E-2</v>
      </c>
      <c r="BI23">
        <f t="shared" si="16"/>
        <v>1.57679691220819E-2</v>
      </c>
      <c r="BJ23">
        <f t="shared" si="17"/>
        <v>3124941.6642626212</v>
      </c>
      <c r="BK23">
        <f t="shared" si="18"/>
        <v>3692621.7055270658</v>
      </c>
      <c r="BL23" s="49">
        <f t="shared" si="19"/>
        <v>0.54124462373764193</v>
      </c>
      <c r="BM23" s="50">
        <f t="shared" si="20"/>
        <v>0.14945449690847606</v>
      </c>
      <c r="BN23" s="38">
        <f t="shared" si="21"/>
        <v>0.30930087935388201</v>
      </c>
      <c r="BO23">
        <f t="shared" si="22"/>
        <v>1</v>
      </c>
    </row>
    <row r="24" spans="2:67" x14ac:dyDescent="0.3">
      <c r="B24" s="41">
        <v>44409</v>
      </c>
      <c r="C24" s="25">
        <v>28749.013999999999</v>
      </c>
      <c r="D24" s="3">
        <v>41389.373</v>
      </c>
      <c r="E24" s="25">
        <v>29304.605</v>
      </c>
      <c r="G24" s="25">
        <v>0</v>
      </c>
      <c r="I24" s="25">
        <v>26938.2</v>
      </c>
      <c r="L24" s="25">
        <f t="shared" si="23"/>
        <v>126381.192</v>
      </c>
      <c r="M24" s="42">
        <f t="shared" si="28"/>
        <v>2300881.091451426</v>
      </c>
      <c r="N24" s="3">
        <v>294492</v>
      </c>
      <c r="O24" s="25">
        <v>149946</v>
      </c>
      <c r="P24" s="3">
        <v>174663</v>
      </c>
      <c r="R24" s="3">
        <v>0</v>
      </c>
      <c r="T24" s="3">
        <v>269364</v>
      </c>
      <c r="W24" s="25">
        <f t="shared" si="0"/>
        <v>888465</v>
      </c>
      <c r="X24" s="43">
        <f t="shared" si="29"/>
        <v>18928269</v>
      </c>
      <c r="Y24" s="3">
        <v>2475.7218889999999</v>
      </c>
      <c r="Z24" s="3">
        <v>1144.051721</v>
      </c>
      <c r="AA24" s="3">
        <v>743.63047700000004</v>
      </c>
      <c r="AC24" s="3">
        <v>0</v>
      </c>
      <c r="AE24" s="3">
        <v>3663.1669400000001</v>
      </c>
      <c r="AH24" s="25">
        <f t="shared" si="2"/>
        <v>8026.571027</v>
      </c>
      <c r="AI24" s="45">
        <f t="shared" si="24"/>
        <v>313328.81487</v>
      </c>
      <c r="AO24">
        <f t="shared" si="25"/>
        <v>22</v>
      </c>
      <c r="AP24" s="62">
        <f t="shared" si="3"/>
        <v>2215.4675999999999</v>
      </c>
      <c r="AQ24" s="62"/>
      <c r="AR24" s="63">
        <f t="shared" si="4"/>
        <v>955.79429497351032</v>
      </c>
      <c r="AS24" s="63"/>
      <c r="AT24" s="63"/>
      <c r="AU24" s="63"/>
      <c r="AV24" s="46">
        <f t="shared" si="26"/>
        <v>7.9063139826553996E-3</v>
      </c>
      <c r="AW24" s="47">
        <f t="shared" si="5"/>
        <v>1.2171031898746698</v>
      </c>
      <c r="AX24" s="48">
        <f t="shared" si="27"/>
        <v>290.51746469550733</v>
      </c>
      <c r="AY24" s="32">
        <f t="shared" si="6"/>
        <v>567680.57047247794</v>
      </c>
      <c r="AZ24">
        <f t="shared" si="7"/>
        <v>1.6219444870642228E-2</v>
      </c>
      <c r="BA24">
        <f t="shared" si="8"/>
        <v>35000000</v>
      </c>
      <c r="BB24">
        <f t="shared" si="9"/>
        <v>35</v>
      </c>
      <c r="BC24">
        <f t="shared" si="10"/>
        <v>38.036813186813184</v>
      </c>
      <c r="BD24">
        <f t="shared" si="11"/>
        <v>1.7221524744100771</v>
      </c>
      <c r="BE24">
        <f t="shared" si="12"/>
        <v>154.25846013908642</v>
      </c>
      <c r="BF24" s="48">
        <f t="shared" si="13"/>
        <v>232.12813081729723</v>
      </c>
      <c r="BG24" s="49">
        <f t="shared" si="14"/>
        <v>3608246.8470880869</v>
      </c>
      <c r="BH24">
        <f t="shared" si="15"/>
        <v>5.7103189874669891E-2</v>
      </c>
      <c r="BI24">
        <f t="shared" si="16"/>
        <v>1.57679691220819E-2</v>
      </c>
      <c r="BJ24">
        <f t="shared" si="17"/>
        <v>3294918.032218087</v>
      </c>
      <c r="BK24">
        <f t="shared" si="18"/>
        <v>3862598.6026905649</v>
      </c>
      <c r="BL24" s="49">
        <f t="shared" si="19"/>
        <v>0.51742669927475149</v>
      </c>
      <c r="BM24" s="50">
        <f t="shared" si="20"/>
        <v>0.14287762618886801</v>
      </c>
      <c r="BN24" s="38">
        <f t="shared" si="21"/>
        <v>0.3396956745363805</v>
      </c>
      <c r="BO24">
        <f t="shared" si="22"/>
        <v>1</v>
      </c>
    </row>
    <row r="25" spans="2:67" x14ac:dyDescent="0.3">
      <c r="B25" s="41">
        <v>44440</v>
      </c>
      <c r="C25" s="25">
        <v>27207.031999999999</v>
      </c>
      <c r="D25" s="3">
        <v>39400.175999999999</v>
      </c>
      <c r="E25" s="25">
        <v>27734.237000000001</v>
      </c>
      <c r="G25" s="25">
        <v>0</v>
      </c>
      <c r="I25" s="25">
        <v>25653.666000000001</v>
      </c>
      <c r="L25" s="25">
        <f t="shared" si="23"/>
        <v>119995.111</v>
      </c>
      <c r="M25" s="42">
        <f t="shared" si="28"/>
        <v>2420876.2024514261</v>
      </c>
      <c r="N25" s="3">
        <v>284030</v>
      </c>
      <c r="O25" s="25">
        <v>145286</v>
      </c>
      <c r="P25" s="3">
        <v>167592</v>
      </c>
      <c r="R25" s="3">
        <v>0</v>
      </c>
      <c r="T25" s="3">
        <v>260159</v>
      </c>
      <c r="W25" s="25">
        <f t="shared" si="0"/>
        <v>857067</v>
      </c>
      <c r="X25" s="43">
        <f t="shared" si="29"/>
        <v>19785336</v>
      </c>
      <c r="Y25" s="3">
        <v>3104.6326989999998</v>
      </c>
      <c r="Z25" s="3">
        <v>1442.641108</v>
      </c>
      <c r="AA25" s="3">
        <v>933.78370600000005</v>
      </c>
      <c r="AC25" s="3">
        <v>0</v>
      </c>
      <c r="AE25" s="3">
        <v>4620.1222690000004</v>
      </c>
      <c r="AH25" s="25">
        <f t="shared" si="2"/>
        <v>10101.179781999999</v>
      </c>
      <c r="AI25" s="45">
        <f t="shared" si="24"/>
        <v>323429.99465200002</v>
      </c>
      <c r="AK25" t="s">
        <v>83</v>
      </c>
      <c r="AL25">
        <v>0.44</v>
      </c>
      <c r="AO25">
        <f t="shared" si="25"/>
        <v>23</v>
      </c>
      <c r="AP25" s="62">
        <f t="shared" si="3"/>
        <v>2215.3933999999999</v>
      </c>
      <c r="AQ25" s="62"/>
      <c r="AR25" s="63">
        <f t="shared" si="4"/>
        <v>955.75616643805813</v>
      </c>
      <c r="AS25" s="63"/>
      <c r="AT25" s="63"/>
      <c r="AU25" s="63"/>
      <c r="AV25" s="46">
        <f t="shared" si="26"/>
        <v>7.9065787882188331E-3</v>
      </c>
      <c r="AW25" s="47">
        <f t="shared" si="5"/>
        <v>1.2171031898746698</v>
      </c>
      <c r="AX25" s="48">
        <f t="shared" si="27"/>
        <v>288.61996517280375</v>
      </c>
      <c r="AY25" s="32">
        <f t="shared" si="6"/>
        <v>567681.09971596114</v>
      </c>
      <c r="AZ25">
        <f t="shared" si="7"/>
        <v>1.6219459991884597E-2</v>
      </c>
      <c r="BA25">
        <f t="shared" si="8"/>
        <v>35000000.000000015</v>
      </c>
      <c r="BB25">
        <f t="shared" si="9"/>
        <v>35.000000000000014</v>
      </c>
      <c r="BC25">
        <f t="shared" si="10"/>
        <v>38.036813186813184</v>
      </c>
      <c r="BD25">
        <f t="shared" si="11"/>
        <v>1.7221524744100771</v>
      </c>
      <c r="BE25">
        <f t="shared" si="12"/>
        <v>154.25846013908642</v>
      </c>
      <c r="BF25" s="48">
        <f t="shared" si="13"/>
        <v>232.12813081729723</v>
      </c>
      <c r="BG25" s="49">
        <f t="shared" si="14"/>
        <v>3783506.6822309047</v>
      </c>
      <c r="BH25">
        <f t="shared" si="15"/>
        <v>5.7103189874669891E-2</v>
      </c>
      <c r="BI25">
        <f t="shared" si="16"/>
        <v>1.57679691220819E-2</v>
      </c>
      <c r="BJ25">
        <f t="shared" si="17"/>
        <v>3460076.6875789044</v>
      </c>
      <c r="BK25">
        <f t="shared" si="18"/>
        <v>4027757.7872948656</v>
      </c>
      <c r="BL25" s="49">
        <f t="shared" si="19"/>
        <v>0.49620949202006498</v>
      </c>
      <c r="BM25" s="50">
        <f t="shared" si="20"/>
        <v>0.13701889448608601</v>
      </c>
      <c r="BN25" s="38">
        <f t="shared" si="21"/>
        <v>0.36677161349384896</v>
      </c>
      <c r="BO25">
        <f t="shared" si="22"/>
        <v>1</v>
      </c>
    </row>
    <row r="26" spans="2:67" x14ac:dyDescent="0.3">
      <c r="B26" s="41">
        <v>44470</v>
      </c>
      <c r="C26" s="25">
        <v>25996.170999999998</v>
      </c>
      <c r="D26" s="3">
        <v>40527.324999999997</v>
      </c>
      <c r="E26" s="25">
        <v>28120.734</v>
      </c>
      <c r="G26" s="25">
        <v>0</v>
      </c>
      <c r="I26" s="25">
        <v>25514.120999999999</v>
      </c>
      <c r="L26" s="25">
        <f t="shared" si="23"/>
        <v>120158.351</v>
      </c>
      <c r="M26" s="42">
        <f t="shared" si="28"/>
        <v>2541034.5534514259</v>
      </c>
      <c r="N26" s="3">
        <v>315759</v>
      </c>
      <c r="O26" s="25">
        <v>157717</v>
      </c>
      <c r="P26" s="3">
        <v>186810</v>
      </c>
      <c r="R26" s="3">
        <v>0</v>
      </c>
      <c r="T26" s="3">
        <v>281250</v>
      </c>
      <c r="W26" s="25">
        <f t="shared" si="0"/>
        <v>941536</v>
      </c>
      <c r="X26" s="43">
        <f t="shared" si="29"/>
        <v>20726872</v>
      </c>
      <c r="Y26" s="3">
        <v>11142.349253</v>
      </c>
      <c r="Z26" s="3">
        <v>1418.8530840000001</v>
      </c>
      <c r="AA26" s="3">
        <v>332.95685300000002</v>
      </c>
      <c r="AC26" s="3">
        <v>0</v>
      </c>
      <c r="AE26" s="3">
        <v>11744.886930000001</v>
      </c>
      <c r="AH26" s="25">
        <f t="shared" si="2"/>
        <v>24639.046119999999</v>
      </c>
      <c r="AI26" s="45">
        <f t="shared" si="24"/>
        <v>348069.04077200004</v>
      </c>
      <c r="AO26">
        <f t="shared" si="25"/>
        <v>24</v>
      </c>
      <c r="AP26" s="62">
        <f t="shared" si="3"/>
        <v>2215.3191999999999</v>
      </c>
      <c r="AQ26" s="62"/>
      <c r="AR26" s="63">
        <f t="shared" si="4"/>
        <v>955.71803816116676</v>
      </c>
      <c r="AS26" s="63"/>
      <c r="AT26" s="63"/>
      <c r="AU26" s="63"/>
      <c r="AV26" s="46">
        <f t="shared" si="26"/>
        <v>7.9068436115210857E-3</v>
      </c>
      <c r="AW26" s="47">
        <f t="shared" si="5"/>
        <v>1.2171031898746698</v>
      </c>
      <c r="AX26" s="48">
        <f t="shared" si="27"/>
        <v>288.05718742556729</v>
      </c>
      <c r="AY26" s="32">
        <f t="shared" si="6"/>
        <v>567681.62899489654</v>
      </c>
      <c r="AZ26">
        <f t="shared" si="7"/>
        <v>1.621947511413991E-2</v>
      </c>
      <c r="BA26">
        <f t="shared" si="8"/>
        <v>34999999.999999978</v>
      </c>
      <c r="BB26">
        <f t="shared" si="9"/>
        <v>34.999999999999979</v>
      </c>
      <c r="BC26">
        <f t="shared" si="10"/>
        <v>38.036813186813184</v>
      </c>
      <c r="BD26">
        <f t="shared" si="11"/>
        <v>1.7221524744100771</v>
      </c>
      <c r="BE26">
        <f t="shared" si="12"/>
        <v>154.25846013908642</v>
      </c>
      <c r="BF26" s="48">
        <f t="shared" si="13"/>
        <v>232.12813081729723</v>
      </c>
      <c r="BG26" s="49">
        <f t="shared" si="14"/>
        <v>3996790.8269868437</v>
      </c>
      <c r="BH26">
        <f t="shared" si="15"/>
        <v>5.7103189874669891E-2</v>
      </c>
      <c r="BI26">
        <f t="shared" si="16"/>
        <v>1.57679691220819E-2</v>
      </c>
      <c r="BJ26">
        <f t="shared" si="17"/>
        <v>3648721.7862148439</v>
      </c>
      <c r="BK26">
        <f t="shared" si="18"/>
        <v>4216403.4152097404</v>
      </c>
      <c r="BL26" s="49">
        <f t="shared" si="19"/>
        <v>0.47400863930711606</v>
      </c>
      <c r="BM26" s="50">
        <f t="shared" si="20"/>
        <v>0.13088854763803806</v>
      </c>
      <c r="BN26" s="38">
        <f t="shared" si="21"/>
        <v>0.39510281305484585</v>
      </c>
      <c r="BO26">
        <f t="shared" si="22"/>
        <v>1</v>
      </c>
    </row>
    <row r="27" spans="2:67" x14ac:dyDescent="0.3">
      <c r="B27" s="41">
        <v>44501</v>
      </c>
      <c r="C27" s="25">
        <v>25775.866000000002</v>
      </c>
      <c r="D27" s="3">
        <v>40359.733999999997</v>
      </c>
      <c r="E27" s="25">
        <v>28040.663</v>
      </c>
      <c r="G27" s="25">
        <v>0</v>
      </c>
      <c r="I27" s="25">
        <v>25307.219000000001</v>
      </c>
      <c r="L27" s="25">
        <f t="shared" si="23"/>
        <v>119483.482</v>
      </c>
      <c r="M27" s="42">
        <f t="shared" si="28"/>
        <v>2660518.0354514257</v>
      </c>
      <c r="N27" s="3">
        <v>219079</v>
      </c>
      <c r="O27" s="25">
        <v>138342</v>
      </c>
      <c r="P27" s="3">
        <v>163868</v>
      </c>
      <c r="R27" s="3">
        <v>0</v>
      </c>
      <c r="T27" s="3">
        <v>228354</v>
      </c>
      <c r="W27" s="25">
        <f t="shared" si="0"/>
        <v>749643</v>
      </c>
      <c r="X27" s="43">
        <f t="shared" si="29"/>
        <v>21476515</v>
      </c>
      <c r="Y27" s="3">
        <v>15360.219940000001</v>
      </c>
      <c r="Z27" s="3">
        <v>1533.8935280000001</v>
      </c>
      <c r="AA27" s="3">
        <v>267.09635800000001</v>
      </c>
      <c r="AC27" s="3">
        <v>0</v>
      </c>
      <c r="AE27" s="3">
        <v>13822.319815999999</v>
      </c>
      <c r="AH27" s="25">
        <f t="shared" si="2"/>
        <v>30983.529641999998</v>
      </c>
      <c r="AI27" s="45">
        <f t="shared" si="24"/>
        <v>379052.57041400002</v>
      </c>
      <c r="AK27" t="s">
        <v>84</v>
      </c>
      <c r="AL27">
        <f>1 - $AL$25</f>
        <v>0.56000000000000005</v>
      </c>
      <c r="AO27">
        <f t="shared" si="25"/>
        <v>25</v>
      </c>
      <c r="AP27" s="62">
        <f t="shared" si="3"/>
        <v>2215.2449999999999</v>
      </c>
      <c r="AQ27" s="62"/>
      <c r="AR27" s="63">
        <f t="shared" si="4"/>
        <v>955.67991014284701</v>
      </c>
      <c r="AS27" s="63"/>
      <c r="AT27" s="63"/>
      <c r="AU27" s="63"/>
      <c r="AV27" s="46">
        <f t="shared" si="26"/>
        <v>7.9071084525639372E-3</v>
      </c>
      <c r="AW27" s="47">
        <f t="shared" si="5"/>
        <v>1.2171031898746698</v>
      </c>
      <c r="AX27" s="48">
        <f t="shared" si="27"/>
        <v>285.07105539760482</v>
      </c>
      <c r="AY27" s="32">
        <f t="shared" si="6"/>
        <v>567682.15830928925</v>
      </c>
      <c r="AZ27">
        <f t="shared" si="7"/>
        <v>1.6219490237408266E-2</v>
      </c>
      <c r="BA27">
        <f t="shared" si="8"/>
        <v>34999999.999999993</v>
      </c>
      <c r="BB27">
        <f t="shared" si="9"/>
        <v>34.999999999999993</v>
      </c>
      <c r="BC27">
        <f t="shared" si="10"/>
        <v>38.036813186813184</v>
      </c>
      <c r="BD27">
        <f t="shared" si="11"/>
        <v>1.7221524744100771</v>
      </c>
      <c r="BE27">
        <f t="shared" si="12"/>
        <v>154.25846013908642</v>
      </c>
      <c r="BF27" s="48">
        <f t="shared" si="13"/>
        <v>232.12813081729723</v>
      </c>
      <c r="BG27" s="49">
        <f t="shared" si="14"/>
        <v>4163255.9501572596</v>
      </c>
      <c r="BH27">
        <f t="shared" si="15"/>
        <v>5.7103189874669891E-2</v>
      </c>
      <c r="BI27">
        <f t="shared" si="16"/>
        <v>1.57679691220819E-2</v>
      </c>
      <c r="BJ27">
        <f t="shared" si="17"/>
        <v>3784203.3797432594</v>
      </c>
      <c r="BK27">
        <f t="shared" si="18"/>
        <v>4351885.5380525487</v>
      </c>
      <c r="BL27" s="49">
        <f t="shared" si="19"/>
        <v>0.45925188705854997</v>
      </c>
      <c r="BM27" s="50">
        <f t="shared" si="20"/>
        <v>0.12681374876413457</v>
      </c>
      <c r="BN27" s="38">
        <f t="shared" si="21"/>
        <v>0.41393436417731544</v>
      </c>
      <c r="BO27">
        <f t="shared" si="22"/>
        <v>1</v>
      </c>
    </row>
    <row r="28" spans="2:67" x14ac:dyDescent="0.3">
      <c r="B28" s="41">
        <v>44531</v>
      </c>
      <c r="C28" s="25">
        <v>26567.91</v>
      </c>
      <c r="D28" s="3">
        <v>41588.97</v>
      </c>
      <c r="E28" s="25">
        <v>28660.763999999999</v>
      </c>
      <c r="G28" s="25">
        <v>0</v>
      </c>
      <c r="I28" s="25">
        <v>25417.873</v>
      </c>
      <c r="L28" s="25">
        <f t="shared" si="23"/>
        <v>122235.51699999999</v>
      </c>
      <c r="M28" s="42">
        <f t="shared" si="28"/>
        <v>2782753.5524514257</v>
      </c>
      <c r="N28" s="3">
        <v>203475</v>
      </c>
      <c r="O28" s="25">
        <v>147604</v>
      </c>
      <c r="P28" s="3">
        <v>174729</v>
      </c>
      <c r="R28" s="3">
        <v>0</v>
      </c>
      <c r="T28" s="3">
        <v>232888</v>
      </c>
      <c r="W28" s="25">
        <f t="shared" si="0"/>
        <v>758696</v>
      </c>
      <c r="X28" s="43">
        <f t="shared" si="29"/>
        <v>22235211</v>
      </c>
      <c r="Y28" s="3">
        <v>15929.019136000001</v>
      </c>
      <c r="Z28" s="3">
        <v>1479.625131</v>
      </c>
      <c r="AA28" s="3">
        <v>212.771356</v>
      </c>
      <c r="AC28" s="3">
        <v>0</v>
      </c>
      <c r="AE28" s="3">
        <v>14301.935933999999</v>
      </c>
      <c r="AH28" s="25">
        <f t="shared" si="2"/>
        <v>31923.351557000002</v>
      </c>
      <c r="AI28" s="45">
        <f t="shared" si="24"/>
        <v>410975.92197100003</v>
      </c>
      <c r="AO28">
        <f t="shared" si="25"/>
        <v>26</v>
      </c>
      <c r="AP28" s="62">
        <f t="shared" si="3"/>
        <v>2215.1707999999999</v>
      </c>
      <c r="AQ28" s="62"/>
      <c r="AR28" s="63">
        <f t="shared" si="4"/>
        <v>955.64178238310126</v>
      </c>
      <c r="AS28" s="63"/>
      <c r="AT28" s="63"/>
      <c r="AU28" s="63"/>
      <c r="AV28" s="46">
        <f t="shared" si="26"/>
        <v>7.9073733113491744E-3</v>
      </c>
      <c r="AW28" s="47">
        <f t="shared" si="5"/>
        <v>1.2171031898746698</v>
      </c>
      <c r="AX28" s="48">
        <f t="shared" si="27"/>
        <v>282.17727193626735</v>
      </c>
      <c r="AY28" s="32">
        <f t="shared" si="6"/>
        <v>567682.68765914161</v>
      </c>
      <c r="AZ28">
        <f t="shared" si="7"/>
        <v>1.6219505361689771E-2</v>
      </c>
      <c r="BA28">
        <f t="shared" si="8"/>
        <v>34999999.999999978</v>
      </c>
      <c r="BB28">
        <f t="shared" si="9"/>
        <v>34.999999999999979</v>
      </c>
      <c r="BC28">
        <f t="shared" si="10"/>
        <v>38.036813186813184</v>
      </c>
      <c r="BD28">
        <f t="shared" si="11"/>
        <v>1.7221524744100771</v>
      </c>
      <c r="BE28">
        <f t="shared" si="12"/>
        <v>154.25846013908642</v>
      </c>
      <c r="BF28" s="48">
        <f t="shared" si="13"/>
        <v>232.12813081729723</v>
      </c>
      <c r="BG28" s="49">
        <f t="shared" si="14"/>
        <v>4331486.3327789325</v>
      </c>
      <c r="BH28">
        <f t="shared" si="15"/>
        <v>5.7103189874669891E-2</v>
      </c>
      <c r="BI28">
        <f t="shared" si="16"/>
        <v>1.57679691220819E-2</v>
      </c>
      <c r="BJ28">
        <f t="shared" si="17"/>
        <v>3920510.4108079327</v>
      </c>
      <c r="BK28">
        <f t="shared" si="18"/>
        <v>4488193.0984670743</v>
      </c>
      <c r="BL28" s="49">
        <f t="shared" si="19"/>
        <v>0.44530429100656665</v>
      </c>
      <c r="BM28" s="50">
        <f t="shared" si="20"/>
        <v>0.12296238311612721</v>
      </c>
      <c r="BN28" s="38">
        <f t="shared" si="21"/>
        <v>0.43173332587730612</v>
      </c>
      <c r="BO28">
        <f t="shared" si="22"/>
        <v>1</v>
      </c>
    </row>
    <row r="29" spans="2:67" x14ac:dyDescent="0.3">
      <c r="B29" s="41">
        <v>44562</v>
      </c>
      <c r="C29" s="25">
        <v>23764.544999999998</v>
      </c>
      <c r="D29" s="3">
        <v>38546.03</v>
      </c>
      <c r="E29" s="25">
        <v>22010.829000000002</v>
      </c>
      <c r="G29" s="25">
        <v>0</v>
      </c>
      <c r="I29" s="25">
        <v>22681.456999999999</v>
      </c>
      <c r="L29" s="25">
        <f t="shared" si="23"/>
        <v>107002.86099999999</v>
      </c>
      <c r="M29" s="42">
        <f t="shared" si="28"/>
        <v>2889756.4134514257</v>
      </c>
      <c r="N29" s="3">
        <v>190193</v>
      </c>
      <c r="O29" s="25">
        <v>142174</v>
      </c>
      <c r="P29" s="3">
        <v>161661</v>
      </c>
      <c r="R29" s="3">
        <v>0</v>
      </c>
      <c r="T29" s="3">
        <v>223476</v>
      </c>
      <c r="W29" s="25">
        <f t="shared" si="0"/>
        <v>717504</v>
      </c>
      <c r="X29" s="43">
        <f t="shared" si="29"/>
        <v>22952715</v>
      </c>
      <c r="Y29" s="3">
        <v>13688.812519999999</v>
      </c>
      <c r="Z29" s="3">
        <v>1890.594374</v>
      </c>
      <c r="AA29" s="3">
        <v>428.090079</v>
      </c>
      <c r="AC29" s="3">
        <v>0</v>
      </c>
      <c r="AE29" s="3">
        <v>18992.170602999999</v>
      </c>
      <c r="AH29" s="25">
        <f t="shared" si="2"/>
        <v>34999.667576</v>
      </c>
      <c r="AI29" s="45">
        <f t="shared" si="24"/>
        <v>445975.58954700001</v>
      </c>
      <c r="AJ29" s="61" t="s">
        <v>88</v>
      </c>
      <c r="AK29" s="61"/>
      <c r="AL29" s="61"/>
      <c r="AM29" s="61"/>
      <c r="AO29">
        <f t="shared" si="25"/>
        <v>27</v>
      </c>
      <c r="AP29" s="62">
        <f t="shared" si="3"/>
        <v>2215.0965999999999</v>
      </c>
      <c r="AQ29" s="62"/>
      <c r="AR29" s="63">
        <f t="shared" si="4"/>
        <v>955.60365488193884</v>
      </c>
      <c r="AS29" s="63"/>
      <c r="AT29" s="63"/>
      <c r="AU29" s="63"/>
      <c r="AV29" s="46">
        <f t="shared" si="26"/>
        <v>7.9076381878785788E-3</v>
      </c>
      <c r="AW29" s="47">
        <f t="shared" si="5"/>
        <v>1.2171031898746698</v>
      </c>
      <c r="AX29" s="48">
        <f t="shared" si="27"/>
        <v>280.49708295045713</v>
      </c>
      <c r="AY29" s="32">
        <f t="shared" si="6"/>
        <v>567683.21704445779</v>
      </c>
      <c r="AZ29">
        <f t="shared" si="7"/>
        <v>1.621952048698452E-2</v>
      </c>
      <c r="BA29">
        <f t="shared" si="8"/>
        <v>34999999.999999978</v>
      </c>
      <c r="BB29">
        <f t="shared" si="9"/>
        <v>34.999999999999979</v>
      </c>
      <c r="BC29">
        <f t="shared" si="10"/>
        <v>38.036813186813184</v>
      </c>
      <c r="BD29">
        <f t="shared" si="11"/>
        <v>1.7221524744100771</v>
      </c>
      <c r="BE29">
        <f t="shared" si="12"/>
        <v>154.25846013908642</v>
      </c>
      <c r="BF29" s="48">
        <f t="shared" si="13"/>
        <v>232.12813081729723</v>
      </c>
      <c r="BG29" s="49">
        <f t="shared" si="14"/>
        <v>4500710.2132334681</v>
      </c>
      <c r="BH29">
        <f t="shared" si="15"/>
        <v>5.7103189874669891E-2</v>
      </c>
      <c r="BI29">
        <f t="shared" si="16"/>
        <v>1.57679691220819E-2</v>
      </c>
      <c r="BJ29">
        <f t="shared" si="17"/>
        <v>4054734.6236864682</v>
      </c>
      <c r="BK29">
        <f t="shared" si="18"/>
        <v>4622417.840730926</v>
      </c>
      <c r="BL29" s="49">
        <f t="shared" si="19"/>
        <v>0.43237364394072453</v>
      </c>
      <c r="BM29" s="50">
        <f t="shared" si="20"/>
        <v>0.11939182875462419</v>
      </c>
      <c r="BN29" s="38">
        <f t="shared" si="21"/>
        <v>0.4482345273046513</v>
      </c>
      <c r="BO29">
        <f t="shared" si="22"/>
        <v>1</v>
      </c>
    </row>
    <row r="30" spans="2:67" x14ac:dyDescent="0.3">
      <c r="B30" s="41">
        <v>44593</v>
      </c>
      <c r="C30" s="25">
        <v>11515.85</v>
      </c>
      <c r="D30" s="3">
        <v>32026.851999999999</v>
      </c>
      <c r="E30" s="25">
        <v>20219.286</v>
      </c>
      <c r="G30" s="25">
        <v>0</v>
      </c>
      <c r="I30" s="25">
        <v>16689.329000000002</v>
      </c>
      <c r="J30" s="25">
        <v>13047.413</v>
      </c>
      <c r="L30" s="25">
        <f t="shared" si="23"/>
        <v>93498.73</v>
      </c>
      <c r="M30" s="42">
        <f t="shared" si="28"/>
        <v>2983255.1434514257</v>
      </c>
      <c r="N30" s="3">
        <v>100213</v>
      </c>
      <c r="O30" s="25">
        <v>109678</v>
      </c>
      <c r="P30" s="3">
        <v>130770</v>
      </c>
      <c r="R30" s="3">
        <v>0</v>
      </c>
      <c r="T30" s="3">
        <v>175895</v>
      </c>
      <c r="U30" s="25">
        <v>97555</v>
      </c>
      <c r="W30" s="25">
        <f t="shared" si="0"/>
        <v>614111</v>
      </c>
      <c r="X30" s="43">
        <f>X29+W30</f>
        <v>23566826</v>
      </c>
      <c r="Y30" s="3">
        <v>17552.649240999999</v>
      </c>
      <c r="Z30" s="3">
        <v>9106.0264999999999</v>
      </c>
      <c r="AA30" s="3">
        <v>372.78386799999998</v>
      </c>
      <c r="AC30" s="3">
        <v>0</v>
      </c>
      <c r="AE30" s="3">
        <v>13964.909582</v>
      </c>
      <c r="AF30" s="5">
        <v>1680.0936400000001</v>
      </c>
      <c r="AH30" s="25">
        <f t="shared" si="2"/>
        <v>42676.462830999997</v>
      </c>
      <c r="AI30" s="45">
        <f t="shared" si="24"/>
        <v>488652.05237799999</v>
      </c>
      <c r="AO30">
        <f t="shared" si="25"/>
        <v>28</v>
      </c>
      <c r="AP30" s="62">
        <f t="shared" si="3"/>
        <v>2215.0223999999998</v>
      </c>
      <c r="AQ30" s="62"/>
      <c r="AR30" s="63">
        <f t="shared" si="4"/>
        <v>955.56552763936645</v>
      </c>
      <c r="AS30" s="63"/>
      <c r="AT30" s="63"/>
      <c r="AU30" s="63"/>
      <c r="AV30" s="46">
        <f t="shared" si="26"/>
        <v>7.9079030821539321E-3</v>
      </c>
      <c r="AW30" s="47">
        <f t="shared" si="5"/>
        <v>1.2171031898746698</v>
      </c>
      <c r="AX30" s="48">
        <f t="shared" si="27"/>
        <v>278.97559884178611</v>
      </c>
      <c r="AY30" s="32">
        <f t="shared" si="6"/>
        <v>567683.74646524154</v>
      </c>
      <c r="AZ30">
        <f t="shared" si="7"/>
        <v>1.6219535613292622E-2</v>
      </c>
      <c r="BA30">
        <f t="shared" si="8"/>
        <v>34999999.999999985</v>
      </c>
      <c r="BB30">
        <f t="shared" si="9"/>
        <v>34.999999999999986</v>
      </c>
      <c r="BC30">
        <f t="shared" si="10"/>
        <v>38.036813186813184</v>
      </c>
      <c r="BD30">
        <f t="shared" si="11"/>
        <v>1.7221524744100771</v>
      </c>
      <c r="BE30">
        <f t="shared" si="12"/>
        <v>154.25846013908642</v>
      </c>
      <c r="BF30" s="48">
        <f t="shared" si="13"/>
        <v>232.12813081729723</v>
      </c>
      <c r="BG30" s="49">
        <f t="shared" si="14"/>
        <v>4657089.9803172471</v>
      </c>
      <c r="BH30">
        <f t="shared" si="15"/>
        <v>5.7103189874669891E-2</v>
      </c>
      <c r="BI30">
        <f t="shared" si="16"/>
        <v>1.57679691220819E-2</v>
      </c>
      <c r="BJ30">
        <f t="shared" si="17"/>
        <v>4168437.9279392473</v>
      </c>
      <c r="BK30">
        <f t="shared" si="18"/>
        <v>4736121.6744044889</v>
      </c>
      <c r="BL30" s="49">
        <f t="shared" si="19"/>
        <v>0.42199330655176798</v>
      </c>
      <c r="BM30" s="50">
        <f t="shared" si="20"/>
        <v>0.11652549432067931</v>
      </c>
      <c r="BN30" s="38">
        <f t="shared" si="21"/>
        <v>0.46148119912755264</v>
      </c>
      <c r="BO30">
        <f t="shared" si="22"/>
        <v>1</v>
      </c>
    </row>
    <row r="31" spans="2:67" x14ac:dyDescent="0.3">
      <c r="B31" s="2">
        <v>44621</v>
      </c>
      <c r="C31" s="25">
        <v>8440.9189999999999</v>
      </c>
      <c r="D31" s="3">
        <v>33074.504000000001</v>
      </c>
      <c r="E31" s="25">
        <v>22081.853999999999</v>
      </c>
      <c r="G31" s="25">
        <v>0</v>
      </c>
      <c r="I31" s="25">
        <v>16357.291999999999</v>
      </c>
      <c r="J31" s="25">
        <v>19237.486000000001</v>
      </c>
      <c r="K31" s="25">
        <v>6255.6310000000003</v>
      </c>
      <c r="L31" s="25">
        <f t="shared" si="23"/>
        <v>105447.686</v>
      </c>
      <c r="M31" s="25">
        <f t="shared" si="28"/>
        <v>3088702.8294514259</v>
      </c>
      <c r="N31" s="3">
        <v>122999</v>
      </c>
      <c r="O31" s="25">
        <v>132872</v>
      </c>
      <c r="P31" s="3">
        <v>157876</v>
      </c>
      <c r="R31" s="3">
        <v>0</v>
      </c>
      <c r="T31" s="3">
        <v>209488</v>
      </c>
      <c r="U31" s="25">
        <v>124311</v>
      </c>
      <c r="V31" s="5">
        <v>33304</v>
      </c>
      <c r="W31" s="25">
        <f t="shared" si="0"/>
        <v>780850</v>
      </c>
      <c r="X31" s="25">
        <f t="shared" si="29"/>
        <v>24347676</v>
      </c>
      <c r="Y31" s="3">
        <v>17985.324582000001</v>
      </c>
      <c r="Z31" s="3">
        <v>13287.655366999999</v>
      </c>
      <c r="AA31" s="3">
        <v>448.71433400000001</v>
      </c>
      <c r="AC31" s="3">
        <v>0</v>
      </c>
      <c r="AE31" s="3">
        <v>14849.532211</v>
      </c>
      <c r="AF31" s="3">
        <v>1048.377573</v>
      </c>
      <c r="AG31" s="5">
        <v>1742.2745990000001</v>
      </c>
      <c r="AH31" s="25">
        <f t="shared" si="2"/>
        <v>49361.878665999997</v>
      </c>
      <c r="AI31" s="25">
        <f t="shared" si="24"/>
        <v>538013.93104399997</v>
      </c>
      <c r="AO31">
        <f t="shared" si="25"/>
        <v>29</v>
      </c>
    </row>
    <row r="32" spans="2:67" x14ac:dyDescent="0.3">
      <c r="B32" s="2">
        <v>44652</v>
      </c>
      <c r="C32" s="25">
        <v>4729.6750000000002</v>
      </c>
      <c r="D32" s="3">
        <v>30873.334999999999</v>
      </c>
      <c r="E32" s="25">
        <v>21111.174999999999</v>
      </c>
      <c r="G32" s="25">
        <v>0</v>
      </c>
      <c r="I32" s="25">
        <v>15924.043</v>
      </c>
      <c r="J32" s="25">
        <v>22150.992999999999</v>
      </c>
      <c r="K32" s="25">
        <v>19841.439999999999</v>
      </c>
      <c r="L32" s="25">
        <f t="shared" si="23"/>
        <v>114630.66100000001</v>
      </c>
      <c r="M32" s="25">
        <f t="shared" si="28"/>
        <v>3203333.4904514258</v>
      </c>
      <c r="N32" s="3">
        <v>113715</v>
      </c>
      <c r="O32" s="25">
        <v>135743</v>
      </c>
      <c r="P32" s="3">
        <v>160319</v>
      </c>
      <c r="R32" s="3">
        <v>0</v>
      </c>
      <c r="T32" s="3">
        <v>213842</v>
      </c>
      <c r="U32" s="25">
        <v>128743</v>
      </c>
      <c r="V32" s="3">
        <v>136545</v>
      </c>
      <c r="W32" s="25">
        <f t="shared" si="0"/>
        <v>888907</v>
      </c>
      <c r="X32" s="25">
        <f t="shared" si="29"/>
        <v>25236583</v>
      </c>
      <c r="Y32" s="3">
        <v>10914.299974</v>
      </c>
      <c r="Z32" s="3">
        <v>11446.73783</v>
      </c>
      <c r="AA32" s="3">
        <v>461.24361699999997</v>
      </c>
      <c r="AC32" s="3">
        <v>0</v>
      </c>
      <c r="AE32" s="3">
        <v>11815.98683</v>
      </c>
      <c r="AF32" s="3">
        <v>397.358116</v>
      </c>
      <c r="AG32" s="3">
        <v>5630.4465559999999</v>
      </c>
      <c r="AH32" s="25">
        <f t="shared" si="2"/>
        <v>40666.072923000007</v>
      </c>
      <c r="AI32" s="25">
        <f t="shared" si="24"/>
        <v>578680.00396699994</v>
      </c>
      <c r="AO32">
        <f t="shared" si="25"/>
        <v>30</v>
      </c>
    </row>
    <row r="33" spans="2:41" x14ac:dyDescent="0.3">
      <c r="B33" s="2">
        <v>44682</v>
      </c>
      <c r="C33" s="25">
        <v>4806.143</v>
      </c>
      <c r="D33" s="3">
        <v>28816.246999999999</v>
      </c>
      <c r="E33" s="25">
        <v>20937.809000000001</v>
      </c>
      <c r="G33" s="25">
        <v>0</v>
      </c>
      <c r="I33" s="25">
        <v>17814.929</v>
      </c>
      <c r="J33" s="25">
        <v>27372.978999999999</v>
      </c>
      <c r="K33" s="25">
        <v>19961.911</v>
      </c>
      <c r="L33" s="25">
        <f t="shared" si="23"/>
        <v>119710.01799999998</v>
      </c>
      <c r="M33" s="25">
        <f t="shared" si="28"/>
        <v>3323043.5084514259</v>
      </c>
      <c r="N33" s="3">
        <v>115782</v>
      </c>
      <c r="O33" s="25">
        <v>126977</v>
      </c>
      <c r="P33" s="3">
        <v>159256</v>
      </c>
      <c r="R33" s="3">
        <v>0</v>
      </c>
      <c r="T33" s="3">
        <v>239872</v>
      </c>
      <c r="U33" s="25">
        <v>159627</v>
      </c>
      <c r="V33" s="3">
        <v>137657</v>
      </c>
      <c r="W33" s="25">
        <f t="shared" si="0"/>
        <v>939171</v>
      </c>
      <c r="X33" s="25">
        <f t="shared" si="29"/>
        <v>26175754</v>
      </c>
      <c r="Y33" s="3">
        <v>12381.955617</v>
      </c>
      <c r="Z33" s="3">
        <v>13361.591963000001</v>
      </c>
      <c r="AA33" s="3">
        <v>759.22917900000004</v>
      </c>
      <c r="AC33" s="3">
        <v>0</v>
      </c>
      <c r="AE33" s="3">
        <v>12569.655827</v>
      </c>
      <c r="AF33" s="3">
        <v>451.24283200000002</v>
      </c>
      <c r="AG33" s="3">
        <v>7865.9609810000002</v>
      </c>
      <c r="AH33" s="25">
        <f t="shared" si="2"/>
        <v>47389.63639900001</v>
      </c>
      <c r="AI33" s="25">
        <f t="shared" si="24"/>
        <v>626069.64036599989</v>
      </c>
      <c r="AO33">
        <f t="shared" si="25"/>
        <v>31</v>
      </c>
    </row>
    <row r="34" spans="2:41" x14ac:dyDescent="0.3">
      <c r="B34" s="2">
        <v>44713</v>
      </c>
      <c r="C34" s="25">
        <v>4471.7349999999997</v>
      </c>
      <c r="D34" s="3">
        <v>26947.527999999998</v>
      </c>
      <c r="E34" s="25">
        <v>19335.098999999998</v>
      </c>
      <c r="G34" s="25">
        <v>0</v>
      </c>
      <c r="I34" s="25">
        <v>12254.732</v>
      </c>
      <c r="J34" s="25">
        <v>26595.523000000001</v>
      </c>
      <c r="K34" s="25">
        <v>15928.692999999999</v>
      </c>
      <c r="L34" s="25">
        <f t="shared" si="23"/>
        <v>105533.31</v>
      </c>
      <c r="M34" s="25">
        <f t="shared" si="28"/>
        <v>3428576.818451426</v>
      </c>
      <c r="N34" s="3">
        <v>107891</v>
      </c>
      <c r="O34" s="25">
        <v>118948</v>
      </c>
      <c r="P34" s="3">
        <v>147281</v>
      </c>
      <c r="R34" s="3">
        <v>0</v>
      </c>
      <c r="T34" s="3">
        <v>166155</v>
      </c>
      <c r="U34" s="25">
        <v>155115</v>
      </c>
      <c r="V34" s="3">
        <v>110372</v>
      </c>
      <c r="W34" s="25">
        <f t="shared" si="0"/>
        <v>805762</v>
      </c>
      <c r="X34" s="25">
        <f t="shared" si="29"/>
        <v>26981516</v>
      </c>
      <c r="Y34" s="3">
        <v>12957.094928</v>
      </c>
      <c r="Z34" s="3">
        <v>14862.306796999999</v>
      </c>
      <c r="AA34" s="3">
        <v>1123.289092</v>
      </c>
      <c r="AC34" s="3">
        <v>0</v>
      </c>
      <c r="AE34" s="3">
        <v>9180.5103120000003</v>
      </c>
      <c r="AF34" s="3">
        <v>472.13754799999998</v>
      </c>
      <c r="AG34" s="3">
        <v>8632.1403869999995</v>
      </c>
      <c r="AH34" s="25">
        <f t="shared" si="2"/>
        <v>47227.479063999999</v>
      </c>
      <c r="AI34" s="25">
        <f t="shared" si="24"/>
        <v>673297.11942999985</v>
      </c>
      <c r="AO34">
        <f t="shared" si="25"/>
        <v>32</v>
      </c>
    </row>
    <row r="35" spans="2:41" x14ac:dyDescent="0.3">
      <c r="B35" s="2">
        <v>44743</v>
      </c>
      <c r="C35" s="25">
        <v>4066.82</v>
      </c>
      <c r="D35" s="3">
        <v>25547.397000000001</v>
      </c>
      <c r="E35" s="25">
        <v>18158.577000000001</v>
      </c>
      <c r="G35" s="25">
        <v>0</v>
      </c>
      <c r="I35" s="25">
        <v>6039.366</v>
      </c>
      <c r="J35" s="25">
        <v>28900.334999999999</v>
      </c>
      <c r="K35" s="25">
        <v>10570.038</v>
      </c>
      <c r="L35" s="25">
        <f t="shared" si="23"/>
        <v>93282.532999999996</v>
      </c>
      <c r="M35" s="25">
        <f t="shared" si="28"/>
        <v>3521859.3514514258</v>
      </c>
      <c r="N35" s="3">
        <v>94281</v>
      </c>
      <c r="O35" s="25">
        <v>108451</v>
      </c>
      <c r="P35" s="3">
        <v>133056</v>
      </c>
      <c r="R35" s="3">
        <v>0</v>
      </c>
      <c r="T35" s="3">
        <v>78260</v>
      </c>
      <c r="U35" s="25">
        <v>162367</v>
      </c>
      <c r="V35" s="3">
        <v>70146</v>
      </c>
      <c r="W35" s="25">
        <f t="shared" si="0"/>
        <v>646561</v>
      </c>
      <c r="X35" s="25">
        <f t="shared" si="29"/>
        <v>27628077</v>
      </c>
      <c r="Y35" s="3">
        <v>14008.560793000001</v>
      </c>
      <c r="Z35" s="3">
        <v>20275.598008000001</v>
      </c>
      <c r="AA35" s="3">
        <v>1703.736993</v>
      </c>
      <c r="AC35" s="3">
        <v>0</v>
      </c>
      <c r="AE35" s="3">
        <v>4417.012052</v>
      </c>
      <c r="AF35" s="3">
        <v>550.59650999999997</v>
      </c>
      <c r="AG35" s="3">
        <v>9732.8490999999995</v>
      </c>
      <c r="AH35" s="25">
        <f t="shared" si="2"/>
        <v>50688.353455999997</v>
      </c>
      <c r="AI35" s="25">
        <f t="shared" si="24"/>
        <v>723985.47288599983</v>
      </c>
      <c r="AO35">
        <f t="shared" si="25"/>
        <v>33</v>
      </c>
    </row>
    <row r="36" spans="2:41" x14ac:dyDescent="0.3">
      <c r="B36" s="2">
        <v>44774</v>
      </c>
      <c r="C36" s="25">
        <v>4395.6049999999996</v>
      </c>
      <c r="D36" s="3">
        <v>25666.522000000001</v>
      </c>
      <c r="E36" s="25">
        <v>19137.821</v>
      </c>
      <c r="G36" s="25">
        <v>0</v>
      </c>
      <c r="I36" s="25">
        <v>6527.6260000000002</v>
      </c>
      <c r="J36" s="25">
        <v>29035.098999999998</v>
      </c>
      <c r="K36" s="25">
        <v>11424.587</v>
      </c>
      <c r="L36" s="25">
        <f t="shared" si="23"/>
        <v>96187.260000000009</v>
      </c>
      <c r="M36" s="25">
        <f t="shared" si="28"/>
        <v>3618046.6114514256</v>
      </c>
      <c r="N36" s="3">
        <v>100568</v>
      </c>
      <c r="O36" s="25">
        <v>107404</v>
      </c>
      <c r="P36" s="3">
        <v>138250</v>
      </c>
      <c r="R36" s="3">
        <v>0</v>
      </c>
      <c r="T36" s="3">
        <v>83487</v>
      </c>
      <c r="U36" s="25">
        <v>160789</v>
      </c>
      <c r="V36" s="3">
        <v>74822</v>
      </c>
      <c r="W36" s="25">
        <f t="shared" si="0"/>
        <v>665320</v>
      </c>
      <c r="X36" s="25">
        <f t="shared" si="29"/>
        <v>28293397</v>
      </c>
      <c r="Y36" s="3">
        <v>17721.448598999999</v>
      </c>
      <c r="Z36" s="3">
        <v>23480.754292000001</v>
      </c>
      <c r="AA36" s="3">
        <v>2052.8775059999998</v>
      </c>
      <c r="AC36" s="3">
        <v>0</v>
      </c>
      <c r="AE36" s="3">
        <v>5587.6696250000005</v>
      </c>
      <c r="AF36" s="3">
        <v>637.62847399999998</v>
      </c>
      <c r="AG36" s="3">
        <v>12312.535093</v>
      </c>
      <c r="AH36" s="25">
        <f t="shared" si="2"/>
        <v>61792.913588999996</v>
      </c>
      <c r="AI36" s="25">
        <f t="shared" si="24"/>
        <v>785778.38647499983</v>
      </c>
      <c r="AO36">
        <f t="shared" si="25"/>
        <v>34</v>
      </c>
    </row>
    <row r="37" spans="2:41" x14ac:dyDescent="0.3">
      <c r="B37" s="2">
        <v>44805</v>
      </c>
      <c r="C37" s="25">
        <v>4474.2929999999997</v>
      </c>
      <c r="D37" s="3">
        <v>24665.473000000002</v>
      </c>
      <c r="E37" s="25">
        <v>19284.48</v>
      </c>
      <c r="G37" s="25">
        <v>0</v>
      </c>
      <c r="I37" s="25">
        <v>7117.2830000000004</v>
      </c>
      <c r="J37" s="25">
        <v>29154.565999999999</v>
      </c>
      <c r="K37" s="25">
        <v>10658.277</v>
      </c>
      <c r="L37" s="25">
        <f t="shared" si="23"/>
        <v>95354.372000000003</v>
      </c>
      <c r="M37" s="25">
        <f t="shared" si="28"/>
        <v>3713400.9834514256</v>
      </c>
      <c r="N37" s="3">
        <v>100048</v>
      </c>
      <c r="O37" s="25">
        <v>104396</v>
      </c>
      <c r="P37" s="3">
        <v>140944</v>
      </c>
      <c r="R37" s="3">
        <v>0</v>
      </c>
      <c r="T37" s="3">
        <v>87636</v>
      </c>
      <c r="U37" s="25">
        <v>163345</v>
      </c>
      <c r="V37" s="3">
        <v>70139</v>
      </c>
      <c r="W37" s="25">
        <f t="shared" si="0"/>
        <v>666508</v>
      </c>
      <c r="X37" s="25">
        <f t="shared" si="29"/>
        <v>28959905</v>
      </c>
      <c r="Y37" s="3">
        <v>13809.746504999999</v>
      </c>
      <c r="Z37" s="3">
        <v>19244.058226000001</v>
      </c>
      <c r="AA37" s="3">
        <v>1952.863394</v>
      </c>
      <c r="AC37" s="3">
        <v>0</v>
      </c>
      <c r="AE37" s="3">
        <v>4921.9320310000003</v>
      </c>
      <c r="AF37" s="3">
        <v>501.75621599999999</v>
      </c>
      <c r="AG37" s="3">
        <v>9933.2798679999996</v>
      </c>
      <c r="AH37" s="25">
        <f t="shared" si="2"/>
        <v>50363.63624</v>
      </c>
      <c r="AI37" s="25">
        <f t="shared" si="24"/>
        <v>836142.02271499985</v>
      </c>
      <c r="AO37">
        <f t="shared" si="25"/>
        <v>35</v>
      </c>
    </row>
    <row r="38" spans="2:41" x14ac:dyDescent="0.3">
      <c r="B38" s="2">
        <v>44835</v>
      </c>
      <c r="C38" s="25">
        <v>5123.7190000000001</v>
      </c>
      <c r="D38" s="3">
        <v>21047.561000000002</v>
      </c>
      <c r="E38" s="25">
        <v>21163.19</v>
      </c>
      <c r="G38" s="25">
        <v>0</v>
      </c>
      <c r="I38" s="25">
        <v>10665.815000000001</v>
      </c>
      <c r="J38" s="25">
        <v>31012.708999999999</v>
      </c>
      <c r="K38" s="25">
        <v>9733.6029999999992</v>
      </c>
      <c r="L38" s="25">
        <f t="shared" si="23"/>
        <v>98746.597000000009</v>
      </c>
      <c r="M38" s="25">
        <f t="shared" si="28"/>
        <v>3812147.5804514256</v>
      </c>
      <c r="N38" s="3">
        <v>98017</v>
      </c>
      <c r="O38" s="25">
        <v>87150</v>
      </c>
      <c r="P38" s="3">
        <v>151257</v>
      </c>
      <c r="R38" s="3">
        <v>0</v>
      </c>
      <c r="T38" s="3">
        <v>107651</v>
      </c>
      <c r="U38" s="25">
        <v>170077</v>
      </c>
      <c r="V38" s="3">
        <v>59901</v>
      </c>
      <c r="W38" s="25">
        <f t="shared" si="0"/>
        <v>674053</v>
      </c>
      <c r="X38" s="25">
        <f t="shared" si="29"/>
        <v>29633958</v>
      </c>
      <c r="Y38" s="3">
        <v>9582.0951760000007</v>
      </c>
      <c r="Z38" s="3">
        <v>17541.554029999999</v>
      </c>
      <c r="AA38" s="3">
        <v>3043.6216399999998</v>
      </c>
      <c r="AC38" s="3">
        <v>0</v>
      </c>
      <c r="AE38" s="3">
        <v>6511.9683169999998</v>
      </c>
      <c r="AF38" s="3">
        <v>490.535214</v>
      </c>
      <c r="AG38" s="3">
        <v>10439.646505000001</v>
      </c>
      <c r="AH38" s="25">
        <f t="shared" si="2"/>
        <v>47609.420882000006</v>
      </c>
      <c r="AI38" s="25">
        <f t="shared" si="24"/>
        <v>883751.44359699986</v>
      </c>
      <c r="AO38">
        <f t="shared" si="25"/>
        <v>36</v>
      </c>
    </row>
    <row r="39" spans="2:41" x14ac:dyDescent="0.3">
      <c r="B39" s="2">
        <v>44866</v>
      </c>
      <c r="C39" s="25">
        <v>4662.3109999999997</v>
      </c>
      <c r="D39" s="3">
        <v>18535.338</v>
      </c>
      <c r="E39" s="25">
        <v>18551.774000000001</v>
      </c>
      <c r="G39" s="25">
        <v>0</v>
      </c>
      <c r="I39" s="25">
        <v>9452.3829999999998</v>
      </c>
      <c r="J39" s="25">
        <v>27061.699000000001</v>
      </c>
      <c r="K39" s="25">
        <v>8882.1769999999997</v>
      </c>
      <c r="L39" s="25">
        <f t="shared" si="23"/>
        <v>87145.682000000001</v>
      </c>
      <c r="M39" s="25">
        <f t="shared" si="28"/>
        <v>3899293.2624514257</v>
      </c>
      <c r="N39" s="3">
        <v>92727</v>
      </c>
      <c r="O39" s="25">
        <v>80244</v>
      </c>
      <c r="P39" s="3">
        <v>141620</v>
      </c>
      <c r="R39" s="3">
        <v>0</v>
      </c>
      <c r="T39" s="3">
        <v>101476</v>
      </c>
      <c r="U39" s="25">
        <v>152315</v>
      </c>
      <c r="V39" s="3">
        <v>56202</v>
      </c>
      <c r="W39" s="25">
        <f t="shared" si="0"/>
        <v>624584</v>
      </c>
      <c r="X39" s="25">
        <f t="shared" si="29"/>
        <v>30258542</v>
      </c>
      <c r="Y39" s="3">
        <v>8038.8487150000001</v>
      </c>
      <c r="Z39" s="3">
        <v>13955.437144</v>
      </c>
      <c r="AA39" s="3">
        <v>2432.655628</v>
      </c>
      <c r="AC39" s="3">
        <v>0</v>
      </c>
      <c r="AE39" s="3">
        <v>4955.6390730000003</v>
      </c>
      <c r="AF39" s="3">
        <v>729.39036599999997</v>
      </c>
      <c r="AG39" s="3">
        <v>7263.8132690000002</v>
      </c>
      <c r="AH39" s="25">
        <f t="shared" si="2"/>
        <v>37375.784195</v>
      </c>
      <c r="AI39" s="25">
        <f t="shared" si="24"/>
        <v>921127.22779199982</v>
      </c>
      <c r="AO39">
        <f t="shared" si="25"/>
        <v>37</v>
      </c>
    </row>
    <row r="40" spans="2:41" x14ac:dyDescent="0.3">
      <c r="B40" s="2">
        <v>44896</v>
      </c>
      <c r="C40" s="25">
        <v>5162.4210000000003</v>
      </c>
      <c r="D40" s="3">
        <v>18844.597000000002</v>
      </c>
      <c r="E40" s="25">
        <v>17502.300999999999</v>
      </c>
      <c r="G40" s="25">
        <v>0</v>
      </c>
      <c r="I40" s="25">
        <v>9795.7520000000004</v>
      </c>
      <c r="J40" s="25">
        <v>28192.684000000001</v>
      </c>
      <c r="K40" s="25">
        <v>9125.0560000000005</v>
      </c>
      <c r="L40" s="25">
        <f t="shared" si="23"/>
        <v>88622.811000000002</v>
      </c>
      <c r="M40" s="25">
        <f t="shared" si="28"/>
        <v>3987916.0734514259</v>
      </c>
      <c r="N40" s="3">
        <v>99950</v>
      </c>
      <c r="O40" s="25">
        <v>76159</v>
      </c>
      <c r="P40" s="3">
        <v>122810</v>
      </c>
      <c r="R40" s="3">
        <v>0</v>
      </c>
      <c r="T40" s="3">
        <v>97606</v>
      </c>
      <c r="U40" s="25">
        <v>149038</v>
      </c>
      <c r="V40" s="3">
        <v>54283</v>
      </c>
      <c r="W40" s="25">
        <f t="shared" si="0"/>
        <v>599846</v>
      </c>
      <c r="X40" s="25">
        <f t="shared" si="29"/>
        <v>30858388</v>
      </c>
      <c r="Y40" s="3">
        <v>12164.844295000001</v>
      </c>
      <c r="Z40" s="3">
        <v>19541.119191999998</v>
      </c>
      <c r="AA40" s="3">
        <v>3415.8960350000002</v>
      </c>
      <c r="AC40" s="3">
        <v>0</v>
      </c>
      <c r="AE40" s="3">
        <v>7045.4502839999996</v>
      </c>
      <c r="AF40" s="3">
        <v>1817.1672470000001</v>
      </c>
      <c r="AG40" s="3">
        <v>10673.029535</v>
      </c>
      <c r="AH40" s="25">
        <f t="shared" si="2"/>
        <v>54657.506587999997</v>
      </c>
      <c r="AI40" s="25">
        <f t="shared" si="24"/>
        <v>975784.73437999981</v>
      </c>
      <c r="AO40">
        <f t="shared" si="25"/>
        <v>38</v>
      </c>
    </row>
    <row r="41" spans="2:41" x14ac:dyDescent="0.3">
      <c r="B41" s="2">
        <v>44927</v>
      </c>
      <c r="C41" s="25">
        <v>6508.7280000000001</v>
      </c>
      <c r="D41" s="3">
        <v>19394.892</v>
      </c>
      <c r="E41" s="25">
        <v>20106.677</v>
      </c>
      <c r="G41" s="25">
        <v>0</v>
      </c>
      <c r="I41" s="25">
        <v>10485.906000000001</v>
      </c>
      <c r="J41" s="25">
        <v>29842.128000000001</v>
      </c>
      <c r="K41" s="25">
        <v>9390.3379999999997</v>
      </c>
      <c r="L41" s="25">
        <f t="shared" si="23"/>
        <v>95728.669000000009</v>
      </c>
      <c r="M41" s="25">
        <f t="shared" si="28"/>
        <v>4083644.7424514261</v>
      </c>
      <c r="N41" s="3">
        <v>118261</v>
      </c>
      <c r="O41" s="25">
        <v>76268</v>
      </c>
      <c r="P41" s="3">
        <v>136404</v>
      </c>
      <c r="R41" s="3">
        <v>0</v>
      </c>
      <c r="T41" s="3">
        <v>100557</v>
      </c>
      <c r="U41" s="25">
        <v>155261</v>
      </c>
      <c r="V41" s="3">
        <v>54869</v>
      </c>
      <c r="W41" s="25">
        <f t="shared" si="0"/>
        <v>641620</v>
      </c>
      <c r="X41" s="25">
        <f t="shared" si="29"/>
        <v>31500008</v>
      </c>
      <c r="Y41" s="3">
        <v>13919.654469999999</v>
      </c>
      <c r="Z41" s="3">
        <v>20806.589209999998</v>
      </c>
      <c r="AA41" s="3">
        <v>4468.2927890000001</v>
      </c>
      <c r="AC41" s="3">
        <v>0</v>
      </c>
      <c r="AE41" s="3">
        <v>7823.9954349999998</v>
      </c>
      <c r="AF41" s="3">
        <v>2627.6142679999998</v>
      </c>
      <c r="AG41" s="3">
        <v>13106.767008999999</v>
      </c>
      <c r="AH41" s="25">
        <f t="shared" si="2"/>
        <v>62752.913180999996</v>
      </c>
      <c r="AI41" s="25">
        <f t="shared" si="24"/>
        <v>1038537.6475609998</v>
      </c>
      <c r="AO41">
        <f t="shared" si="25"/>
        <v>39</v>
      </c>
    </row>
    <row r="42" spans="2:41" x14ac:dyDescent="0.3">
      <c r="B42" s="2">
        <v>44958</v>
      </c>
      <c r="C42" s="25">
        <v>5978.2690000000002</v>
      </c>
      <c r="D42" s="3">
        <v>16871.383000000002</v>
      </c>
      <c r="E42" s="25">
        <v>17583.12</v>
      </c>
      <c r="G42" s="25">
        <v>0</v>
      </c>
      <c r="I42" s="25">
        <v>8933.2309999999998</v>
      </c>
      <c r="J42" s="25">
        <v>26205.73</v>
      </c>
      <c r="K42" s="25">
        <v>8469.1659999999993</v>
      </c>
      <c r="L42" s="25">
        <f t="shared" si="23"/>
        <v>84040.89899999999</v>
      </c>
      <c r="M42" s="25">
        <f t="shared" si="28"/>
        <v>4167685.6414514263</v>
      </c>
      <c r="N42" s="3">
        <v>112986</v>
      </c>
      <c r="O42" s="25">
        <v>69013</v>
      </c>
      <c r="P42" s="3">
        <v>124146</v>
      </c>
      <c r="R42" s="3">
        <v>0</v>
      </c>
      <c r="T42" s="3">
        <v>89063</v>
      </c>
      <c r="U42" s="25">
        <v>141833</v>
      </c>
      <c r="V42" s="3">
        <v>51494</v>
      </c>
      <c r="W42" s="25">
        <f t="shared" si="0"/>
        <v>588535</v>
      </c>
      <c r="X42" s="25">
        <f t="shared" si="29"/>
        <v>32088543</v>
      </c>
      <c r="Y42" s="3">
        <v>13627.669372</v>
      </c>
      <c r="Z42" s="3">
        <v>20262.389425000001</v>
      </c>
      <c r="AA42" s="3">
        <v>4840.7747470000004</v>
      </c>
      <c r="AC42" s="3">
        <v>0</v>
      </c>
      <c r="AE42" s="3">
        <v>7716.8549830000002</v>
      </c>
      <c r="AF42" s="3">
        <v>2467.821899</v>
      </c>
      <c r="AG42" s="3">
        <v>12986.757623</v>
      </c>
      <c r="AH42" s="25">
        <f t="shared" si="2"/>
        <v>61902.268049000006</v>
      </c>
      <c r="AI42" s="25">
        <f t="shared" si="24"/>
        <v>1100439.9156099998</v>
      </c>
      <c r="AO42">
        <f t="shared" si="25"/>
        <v>40</v>
      </c>
    </row>
    <row r="43" spans="2:41" x14ac:dyDescent="0.3">
      <c r="B43" s="2">
        <v>44986</v>
      </c>
      <c r="C43" s="25">
        <v>6670.57</v>
      </c>
      <c r="D43" s="3">
        <v>19166.277999999998</v>
      </c>
      <c r="E43" s="25">
        <v>19807.341</v>
      </c>
      <c r="G43" s="25">
        <v>0</v>
      </c>
      <c r="I43" s="25">
        <v>10519.441000000001</v>
      </c>
      <c r="J43" s="25">
        <v>29702.157999999999</v>
      </c>
      <c r="K43" s="25">
        <v>9490.4619999999995</v>
      </c>
      <c r="L43" s="25">
        <f t="shared" si="23"/>
        <v>95356.25</v>
      </c>
      <c r="M43" s="25">
        <f t="shared" si="28"/>
        <v>4263041.8914514259</v>
      </c>
      <c r="N43" s="3">
        <v>120697</v>
      </c>
      <c r="O43" s="25">
        <v>75118</v>
      </c>
      <c r="P43" s="3">
        <v>133950</v>
      </c>
      <c r="R43" s="3">
        <v>0</v>
      </c>
      <c r="T43" s="3">
        <v>100643</v>
      </c>
      <c r="U43" s="25">
        <v>154020</v>
      </c>
      <c r="V43" s="3">
        <v>55215</v>
      </c>
      <c r="W43" s="25">
        <f t="shared" si="0"/>
        <v>639643</v>
      </c>
      <c r="X43" s="25">
        <f t="shared" si="29"/>
        <v>32728186</v>
      </c>
      <c r="Y43" s="3">
        <v>16883.351621000002</v>
      </c>
      <c r="Z43" s="3">
        <v>25195.209105999998</v>
      </c>
      <c r="AA43" s="3">
        <v>6213.8758239999997</v>
      </c>
      <c r="AC43" s="3">
        <v>0</v>
      </c>
      <c r="AE43" s="3">
        <v>9186.2780600000006</v>
      </c>
      <c r="AF43" s="3">
        <v>3328.9395469999999</v>
      </c>
      <c r="AG43" s="3">
        <v>15730.638843999999</v>
      </c>
      <c r="AH43" s="25">
        <f t="shared" si="2"/>
        <v>76538.293002000006</v>
      </c>
      <c r="AI43" s="25">
        <f t="shared" si="24"/>
        <v>1176978.2086119999</v>
      </c>
      <c r="AO43">
        <f t="shared" si="25"/>
        <v>41</v>
      </c>
    </row>
    <row r="44" spans="2:41" x14ac:dyDescent="0.3">
      <c r="B44" s="2">
        <v>45017</v>
      </c>
      <c r="C44" s="25">
        <v>6109.7539999999999</v>
      </c>
      <c r="D44" s="3">
        <v>18995.989000000001</v>
      </c>
      <c r="E44" s="25">
        <v>18886.429</v>
      </c>
      <c r="G44" s="25">
        <v>0</v>
      </c>
      <c r="I44" s="25">
        <v>10938.239</v>
      </c>
      <c r="J44" s="25">
        <v>28401.467000000001</v>
      </c>
      <c r="K44" s="25">
        <v>8329.7279999999992</v>
      </c>
      <c r="L44" s="25">
        <f t="shared" si="23"/>
        <v>91661.606000000014</v>
      </c>
      <c r="M44" s="25">
        <f t="shared" si="28"/>
        <v>4354703.4974514255</v>
      </c>
      <c r="N44" s="3">
        <v>113178</v>
      </c>
      <c r="O44" s="25">
        <v>76140</v>
      </c>
      <c r="P44" s="3">
        <v>130704</v>
      </c>
      <c r="R44" s="3">
        <v>0</v>
      </c>
      <c r="T44" s="3">
        <v>106902</v>
      </c>
      <c r="U44" s="25">
        <v>150659</v>
      </c>
      <c r="V44" s="3">
        <v>49634</v>
      </c>
      <c r="W44" s="25">
        <f t="shared" si="0"/>
        <v>627217</v>
      </c>
      <c r="X44" s="25">
        <f t="shared" si="29"/>
        <v>33355403</v>
      </c>
      <c r="Y44" s="3">
        <v>14668.077769</v>
      </c>
      <c r="Z44" s="3">
        <v>23183.429152000001</v>
      </c>
      <c r="AA44" s="3">
        <v>6197.6041100000002</v>
      </c>
      <c r="AC44" s="3">
        <v>0</v>
      </c>
      <c r="AE44" s="3">
        <v>7005.8182539999998</v>
      </c>
      <c r="AF44" s="3">
        <v>3878.0516689999999</v>
      </c>
      <c r="AG44" s="3">
        <v>12930.954517</v>
      </c>
      <c r="AH44" s="25">
        <f t="shared" si="2"/>
        <v>67863.935471000004</v>
      </c>
      <c r="AI44" s="25">
        <f t="shared" si="24"/>
        <v>1244842.1440829998</v>
      </c>
      <c r="AO44">
        <f t="shared" si="25"/>
        <v>42</v>
      </c>
    </row>
    <row r="45" spans="2:41" x14ac:dyDescent="0.3">
      <c r="B45" s="2">
        <v>45047</v>
      </c>
      <c r="C45" s="25">
        <v>5433.9430000000002</v>
      </c>
      <c r="D45" s="3">
        <v>17915.327000000001</v>
      </c>
      <c r="E45" s="25">
        <v>19323.748</v>
      </c>
      <c r="G45" s="25">
        <v>0</v>
      </c>
      <c r="I45" s="25">
        <v>13497.409</v>
      </c>
      <c r="J45" s="25">
        <v>26013.011999999999</v>
      </c>
      <c r="K45" s="25">
        <v>7816.8209999999999</v>
      </c>
      <c r="L45" s="25">
        <f t="shared" si="23"/>
        <v>90000.26</v>
      </c>
      <c r="M45" s="25">
        <f t="shared" si="28"/>
        <v>4444703.7574514253</v>
      </c>
      <c r="N45" s="3">
        <v>100623</v>
      </c>
      <c r="O45" s="25">
        <v>71805</v>
      </c>
      <c r="P45" s="3">
        <v>133637</v>
      </c>
      <c r="R45" s="3">
        <v>0</v>
      </c>
      <c r="T45" s="3">
        <v>131754</v>
      </c>
      <c r="U45" s="25">
        <v>137878</v>
      </c>
      <c r="V45" s="3">
        <v>46540</v>
      </c>
      <c r="W45" s="25">
        <f t="shared" si="0"/>
        <v>622237</v>
      </c>
      <c r="X45" s="25">
        <f t="shared" si="29"/>
        <v>33977640</v>
      </c>
      <c r="Y45" s="3">
        <v>13838.490889999999</v>
      </c>
      <c r="Z45" s="3">
        <v>21879.478136999998</v>
      </c>
      <c r="AA45" s="3">
        <v>5740.3985489999995</v>
      </c>
      <c r="AC45" s="3">
        <v>0</v>
      </c>
      <c r="AE45" s="3">
        <v>8659.8721179999993</v>
      </c>
      <c r="AF45" s="3">
        <v>3543.7110579999999</v>
      </c>
      <c r="AG45" s="3">
        <v>11599.28435</v>
      </c>
      <c r="AH45" s="25">
        <f t="shared" si="2"/>
        <v>65261.235101999999</v>
      </c>
      <c r="AI45" s="25">
        <f t="shared" si="24"/>
        <v>1310103.3791849997</v>
      </c>
      <c r="AO45">
        <f t="shared" si="25"/>
        <v>43</v>
      </c>
    </row>
    <row r="46" spans="2:41" x14ac:dyDescent="0.3">
      <c r="B46" s="2">
        <v>45078</v>
      </c>
      <c r="C46" s="25">
        <v>5942.0469999999996</v>
      </c>
      <c r="D46" s="3">
        <v>18413.708999999999</v>
      </c>
      <c r="E46" s="25">
        <v>21909.667000000001</v>
      </c>
      <c r="G46" s="25">
        <v>0</v>
      </c>
      <c r="I46" s="25">
        <v>15034.852000000001</v>
      </c>
      <c r="J46" s="25">
        <v>27150.948</v>
      </c>
      <c r="K46" s="25">
        <v>8379.8529999999992</v>
      </c>
      <c r="L46" s="25">
        <f t="shared" si="23"/>
        <v>96831.076000000001</v>
      </c>
      <c r="M46" s="25">
        <f t="shared" si="28"/>
        <v>4541534.8334514257</v>
      </c>
      <c r="N46" s="3">
        <v>103096</v>
      </c>
      <c r="O46" s="25">
        <v>69868</v>
      </c>
      <c r="P46" s="3">
        <v>142031</v>
      </c>
      <c r="R46" s="3">
        <v>0</v>
      </c>
      <c r="T46" s="3">
        <v>138906</v>
      </c>
      <c r="U46" s="25">
        <v>136177</v>
      </c>
      <c r="V46" s="3">
        <v>47205</v>
      </c>
      <c r="W46" s="25">
        <f t="shared" si="0"/>
        <v>637283</v>
      </c>
      <c r="X46" s="25">
        <f t="shared" si="29"/>
        <v>34614923</v>
      </c>
      <c r="Y46" s="3">
        <v>21042.242859000002</v>
      </c>
      <c r="Z46" s="3">
        <v>30478.156789000001</v>
      </c>
      <c r="AA46" s="3">
        <v>9482.2508870000001</v>
      </c>
      <c r="AC46" s="3">
        <v>0</v>
      </c>
      <c r="AE46" s="3">
        <v>13103.552919</v>
      </c>
      <c r="AF46" s="3">
        <v>5743.5182880000002</v>
      </c>
      <c r="AG46" s="3">
        <v>16280.442843000001</v>
      </c>
      <c r="AH46" s="25">
        <f t="shared" si="2"/>
        <v>96130.164585000006</v>
      </c>
      <c r="AI46" s="25">
        <f t="shared" si="24"/>
        <v>1406233.5437699996</v>
      </c>
      <c r="AO46">
        <f t="shared" si="25"/>
        <v>44</v>
      </c>
    </row>
    <row r="47" spans="2:41" x14ac:dyDescent="0.3">
      <c r="B47" s="2">
        <v>45108</v>
      </c>
      <c r="C47" s="25">
        <v>7116.567</v>
      </c>
      <c r="D47" s="3">
        <v>18162.294000000002</v>
      </c>
      <c r="E47" s="25">
        <v>25900.103999999999</v>
      </c>
      <c r="G47">
        <v>0</v>
      </c>
      <c r="I47" s="25">
        <v>17094.358</v>
      </c>
      <c r="J47" s="25">
        <v>27576.069</v>
      </c>
      <c r="K47" s="25">
        <v>8283.0840000000007</v>
      </c>
      <c r="L47" s="25">
        <f t="shared" si="23"/>
        <v>104132.47600000001</v>
      </c>
      <c r="M47" s="25">
        <f t="shared" si="28"/>
        <v>4645667.3094514254</v>
      </c>
      <c r="N47" s="3">
        <v>124167</v>
      </c>
      <c r="O47" s="25">
        <v>69111</v>
      </c>
      <c r="P47" s="3">
        <v>159713</v>
      </c>
      <c r="R47" s="1">
        <v>0</v>
      </c>
      <c r="T47" s="3">
        <v>150546</v>
      </c>
      <c r="U47" s="25">
        <v>126526</v>
      </c>
      <c r="V47" s="3">
        <v>41639</v>
      </c>
      <c r="W47" s="25">
        <f t="shared" si="0"/>
        <v>671702</v>
      </c>
      <c r="X47" s="25">
        <f t="shared" si="29"/>
        <v>35286625</v>
      </c>
      <c r="Y47" s="3">
        <v>18408.275892000001</v>
      </c>
      <c r="Z47" s="3">
        <v>23466.149377000002</v>
      </c>
      <c r="AA47" s="3">
        <v>10034.992221</v>
      </c>
      <c r="AC47" s="1">
        <v>0</v>
      </c>
      <c r="AE47" s="3">
        <v>11366.190655</v>
      </c>
      <c r="AF47" s="3">
        <v>6217.8824269999996</v>
      </c>
      <c r="AG47" s="3">
        <v>13938.800621</v>
      </c>
      <c r="AH47" s="25">
        <f t="shared" si="2"/>
        <v>83432.291192999997</v>
      </c>
      <c r="AI47" s="25">
        <f t="shared" si="24"/>
        <v>1489665.8349629997</v>
      </c>
      <c r="AO47">
        <f t="shared" si="25"/>
        <v>45</v>
      </c>
    </row>
    <row r="48" spans="2:41" x14ac:dyDescent="0.3">
      <c r="B48" s="2">
        <v>45139</v>
      </c>
      <c r="C48" s="25">
        <v>7031.59</v>
      </c>
      <c r="D48" s="3">
        <v>17342.059000000001</v>
      </c>
      <c r="E48" s="25">
        <v>21961.391</v>
      </c>
      <c r="G48">
        <v>0</v>
      </c>
      <c r="I48" s="25">
        <v>20185.294999999998</v>
      </c>
      <c r="J48" s="25">
        <v>26384.449000000001</v>
      </c>
      <c r="K48" s="25">
        <v>6939.6170000000002</v>
      </c>
      <c r="L48" s="25">
        <f t="shared" si="23"/>
        <v>99844.400999999983</v>
      </c>
      <c r="M48" s="25">
        <f t="shared" si="28"/>
        <v>4745511.7104514251</v>
      </c>
      <c r="N48" s="3">
        <v>105344</v>
      </c>
      <c r="O48" s="25">
        <v>59669</v>
      </c>
      <c r="P48" s="3">
        <v>111622</v>
      </c>
      <c r="R48" s="1">
        <v>0</v>
      </c>
      <c r="T48" s="3">
        <v>148134</v>
      </c>
      <c r="U48" s="25">
        <v>94825</v>
      </c>
      <c r="V48" s="3">
        <v>25285</v>
      </c>
      <c r="W48" s="25">
        <f t="shared" si="0"/>
        <v>544879</v>
      </c>
      <c r="X48" s="25">
        <f t="shared" si="29"/>
        <v>35831504</v>
      </c>
      <c r="Y48" s="3">
        <v>17299.50995</v>
      </c>
      <c r="Z48" s="3">
        <v>23742.850256000002</v>
      </c>
      <c r="AA48" s="3">
        <v>9365.1662610000003</v>
      </c>
      <c r="AC48" s="1">
        <v>0</v>
      </c>
      <c r="AE48" s="3">
        <v>14071.949395</v>
      </c>
      <c r="AF48" s="3">
        <v>7018.2154499999997</v>
      </c>
      <c r="AG48" s="3">
        <v>11957.966485999999</v>
      </c>
      <c r="AH48" s="25">
        <f t="shared" si="2"/>
        <v>83455.657798</v>
      </c>
      <c r="AI48" s="25">
        <f t="shared" si="24"/>
        <v>1573121.4927609996</v>
      </c>
      <c r="AO48">
        <f t="shared" si="25"/>
        <v>46</v>
      </c>
    </row>
    <row r="49" spans="2:41" x14ac:dyDescent="0.3">
      <c r="B49" s="2">
        <v>45170</v>
      </c>
      <c r="C49" s="25">
        <v>7768.451</v>
      </c>
      <c r="D49" s="3">
        <v>7728.4409999999998</v>
      </c>
      <c r="E49" s="25">
        <v>19115.058000000001</v>
      </c>
      <c r="G49">
        <v>0</v>
      </c>
      <c r="I49" s="25">
        <v>19322.771000000001</v>
      </c>
      <c r="J49" s="25">
        <v>25309.42</v>
      </c>
      <c r="K49" s="25">
        <v>6219.75</v>
      </c>
      <c r="L49" s="25">
        <f t="shared" si="23"/>
        <v>85463.891000000003</v>
      </c>
      <c r="M49" s="25">
        <f t="shared" si="28"/>
        <v>4830975.6014514249</v>
      </c>
      <c r="N49" s="3">
        <v>106438</v>
      </c>
      <c r="O49" s="25">
        <v>20768</v>
      </c>
      <c r="P49" s="3">
        <v>86029</v>
      </c>
      <c r="R49" s="1">
        <v>0</v>
      </c>
      <c r="T49" s="3">
        <v>127399</v>
      </c>
      <c r="U49" s="25">
        <v>81788</v>
      </c>
      <c r="V49" s="3">
        <v>20174</v>
      </c>
      <c r="W49" s="25">
        <f t="shared" si="0"/>
        <v>442596</v>
      </c>
      <c r="X49" s="25">
        <f t="shared" si="29"/>
        <v>36274100</v>
      </c>
      <c r="Y49" s="3">
        <v>18778.883487999999</v>
      </c>
      <c r="Z49" s="3">
        <v>8427.8036580000007</v>
      </c>
      <c r="AA49" s="3">
        <v>8445.1257659999992</v>
      </c>
      <c r="AC49" s="1">
        <v>0</v>
      </c>
      <c r="AE49" s="3">
        <v>14145.722460000001</v>
      </c>
      <c r="AF49" s="3">
        <v>7703.3759419999997</v>
      </c>
      <c r="AG49" s="3">
        <v>11007.288376</v>
      </c>
      <c r="AH49" s="25">
        <f t="shared" si="2"/>
        <v>68508.199689999994</v>
      </c>
      <c r="AI49" s="25">
        <f t="shared" si="24"/>
        <v>1641629.6924509995</v>
      </c>
      <c r="AO49">
        <f t="shared" si="25"/>
        <v>47</v>
      </c>
    </row>
    <row r="50" spans="2:41" x14ac:dyDescent="0.3">
      <c r="B50" s="2">
        <v>45200</v>
      </c>
      <c r="C50" s="25">
        <v>8925.33</v>
      </c>
      <c r="D50" s="3">
        <v>1149.154</v>
      </c>
      <c r="E50" s="25">
        <v>23083.048999999999</v>
      </c>
      <c r="G50">
        <v>0</v>
      </c>
      <c r="I50" s="25">
        <v>19451.498</v>
      </c>
      <c r="J50" s="25">
        <v>26142.432000000001</v>
      </c>
      <c r="K50" s="25">
        <v>7943.7160000000003</v>
      </c>
      <c r="L50" s="25">
        <f t="shared" si="23"/>
        <v>86695.178999999989</v>
      </c>
      <c r="M50" s="25">
        <f t="shared" si="28"/>
        <v>4917670.7804514244</v>
      </c>
      <c r="N50" s="3">
        <v>146821</v>
      </c>
      <c r="O50" s="25">
        <v>4458</v>
      </c>
      <c r="P50" s="3">
        <v>124606</v>
      </c>
      <c r="R50" s="1">
        <v>0</v>
      </c>
      <c r="T50" s="3">
        <v>154194</v>
      </c>
      <c r="U50" s="25">
        <v>101417</v>
      </c>
      <c r="V50" s="3">
        <v>30825</v>
      </c>
      <c r="W50" s="25">
        <f t="shared" si="0"/>
        <v>562321</v>
      </c>
      <c r="X50" s="25">
        <f t="shared" si="29"/>
        <v>36836421</v>
      </c>
      <c r="Y50" s="3">
        <v>21607.922313999999</v>
      </c>
      <c r="Z50" s="3">
        <v>1464.56735</v>
      </c>
      <c r="AA50" s="3">
        <v>10286.099907</v>
      </c>
      <c r="AC50" s="1">
        <v>0</v>
      </c>
      <c r="AE50" s="3">
        <v>14354.613009999999</v>
      </c>
      <c r="AF50" s="3">
        <v>8304.15877</v>
      </c>
      <c r="AG50" s="3">
        <v>12723.070335</v>
      </c>
      <c r="AH50" s="25">
        <f t="shared" si="2"/>
        <v>68740.431686000011</v>
      </c>
      <c r="AI50" s="25">
        <f t="shared" si="24"/>
        <v>1710370.1241369995</v>
      </c>
      <c r="AO50">
        <f t="shared" si="25"/>
        <v>48</v>
      </c>
    </row>
    <row r="51" spans="2:41" x14ac:dyDescent="0.3">
      <c r="B51" s="2">
        <v>45231</v>
      </c>
      <c r="C51" s="25">
        <v>8269.5040000000008</v>
      </c>
      <c r="D51" s="3">
        <v>17747.837</v>
      </c>
      <c r="E51" s="25">
        <v>23058.662</v>
      </c>
      <c r="G51">
        <v>0</v>
      </c>
      <c r="I51" s="25">
        <v>18158.902999999998</v>
      </c>
      <c r="J51" s="25">
        <v>24202.440999999999</v>
      </c>
      <c r="K51" s="25">
        <v>8141.6809999999996</v>
      </c>
      <c r="L51" s="25">
        <f t="shared" si="23"/>
        <v>99579.027999999977</v>
      </c>
      <c r="M51" s="25">
        <f t="shared" si="28"/>
        <v>5017249.8084514244</v>
      </c>
      <c r="N51" s="3">
        <v>126785</v>
      </c>
      <c r="O51" s="25">
        <v>128537</v>
      </c>
      <c r="P51" s="3">
        <v>156429</v>
      </c>
      <c r="R51" s="1">
        <v>0</v>
      </c>
      <c r="T51" s="3">
        <v>159014</v>
      </c>
      <c r="U51" s="25">
        <v>141998</v>
      </c>
      <c r="V51" s="3">
        <v>45353</v>
      </c>
      <c r="W51" s="25">
        <f t="shared" si="0"/>
        <v>758116</v>
      </c>
      <c r="X51" s="25">
        <f t="shared" si="29"/>
        <v>37594537</v>
      </c>
      <c r="Y51" s="3">
        <v>21542.621607000001</v>
      </c>
      <c r="Z51" s="3">
        <v>21564.126434999998</v>
      </c>
      <c r="AA51" s="3">
        <v>11554.972707999999</v>
      </c>
      <c r="AC51" s="1">
        <v>0</v>
      </c>
      <c r="AE51" s="3">
        <v>14203.003667999999</v>
      </c>
      <c r="AF51" s="3">
        <v>8767.8050870000006</v>
      </c>
      <c r="AG51" s="3">
        <v>13846.120416</v>
      </c>
      <c r="AH51" s="25">
        <f t="shared" si="2"/>
        <v>91478.649921000004</v>
      </c>
      <c r="AI51" s="25">
        <f t="shared" si="24"/>
        <v>1801848.7740579995</v>
      </c>
      <c r="AO51">
        <f t="shared" si="25"/>
        <v>49</v>
      </c>
    </row>
    <row r="52" spans="2:41" x14ac:dyDescent="0.3">
      <c r="B52" s="2">
        <v>45261</v>
      </c>
      <c r="C52" s="25">
        <v>9167.9060000000009</v>
      </c>
      <c r="D52" s="3">
        <v>18325.684000000001</v>
      </c>
      <c r="E52" s="25">
        <v>22717.611000000001</v>
      </c>
      <c r="G52">
        <v>0</v>
      </c>
      <c r="I52" s="25">
        <v>18187.061000000002</v>
      </c>
      <c r="J52" s="25">
        <v>23871.670999999998</v>
      </c>
      <c r="K52" s="25">
        <v>7446.415</v>
      </c>
      <c r="L52" s="25">
        <f t="shared" si="23"/>
        <v>99716.347999999998</v>
      </c>
      <c r="M52" s="25">
        <f t="shared" si="28"/>
        <v>5116966.1564514246</v>
      </c>
      <c r="N52" s="3">
        <v>94316</v>
      </c>
      <c r="O52" s="25">
        <v>197158</v>
      </c>
      <c r="P52" s="3">
        <v>247032</v>
      </c>
      <c r="R52" s="1">
        <v>0</v>
      </c>
      <c r="T52" s="3">
        <v>208848</v>
      </c>
      <c r="U52" s="25">
        <v>259829</v>
      </c>
      <c r="V52" s="3">
        <v>86474</v>
      </c>
      <c r="W52" s="25">
        <f t="shared" si="0"/>
        <v>1093657</v>
      </c>
      <c r="X52" s="25">
        <f t="shared" si="29"/>
        <v>38688194</v>
      </c>
      <c r="Y52" s="3">
        <v>24274.055315000001</v>
      </c>
      <c r="Z52" s="3">
        <v>17851.911635</v>
      </c>
      <c r="AA52" s="3">
        <v>15876.669132000001</v>
      </c>
      <c r="AC52" s="1">
        <v>0</v>
      </c>
      <c r="AE52" s="3">
        <v>17818.670038</v>
      </c>
      <c r="AF52" s="3">
        <v>12150.635639</v>
      </c>
      <c r="AG52" s="3">
        <v>17197.501971999998</v>
      </c>
      <c r="AH52" s="25">
        <f t="shared" si="2"/>
        <v>105169.44373100001</v>
      </c>
      <c r="AI52" s="25">
        <f t="shared" si="24"/>
        <v>1907018.2177889994</v>
      </c>
      <c r="AO52">
        <f t="shared" si="25"/>
        <v>50</v>
      </c>
    </row>
    <row r="53" spans="2:41" x14ac:dyDescent="0.3">
      <c r="B53" s="2">
        <v>45292</v>
      </c>
      <c r="C53" s="25">
        <v>10615.89</v>
      </c>
      <c r="D53" s="3">
        <v>15724.532999999999</v>
      </c>
      <c r="E53" s="25">
        <v>21282.964</v>
      </c>
      <c r="G53">
        <v>0</v>
      </c>
      <c r="I53" s="25">
        <v>17820.918000000001</v>
      </c>
      <c r="J53" s="25">
        <v>22238.669000000002</v>
      </c>
      <c r="K53" s="25">
        <v>6854.17</v>
      </c>
      <c r="L53" s="25">
        <f t="shared" si="23"/>
        <v>94537.144000000015</v>
      </c>
      <c r="M53" s="25">
        <f t="shared" si="28"/>
        <v>5211503.3004514249</v>
      </c>
      <c r="N53" s="3">
        <v>91381</v>
      </c>
      <c r="O53" s="25">
        <v>145435</v>
      </c>
      <c r="P53" s="3">
        <v>230979</v>
      </c>
      <c r="R53" s="1">
        <v>0</v>
      </c>
      <c r="T53" s="3">
        <v>216068</v>
      </c>
      <c r="U53" s="25">
        <v>245252</v>
      </c>
      <c r="V53" s="3">
        <v>87688</v>
      </c>
      <c r="W53" s="25">
        <f t="shared" si="0"/>
        <v>1016803</v>
      </c>
      <c r="X53" s="25">
        <f t="shared" si="29"/>
        <v>39704997</v>
      </c>
      <c r="Y53" s="3">
        <v>22682.616408000002</v>
      </c>
      <c r="Z53" s="3">
        <v>22649.720754999998</v>
      </c>
      <c r="AA53" s="3">
        <v>16354.461208000001</v>
      </c>
      <c r="AC53" s="1">
        <v>0</v>
      </c>
      <c r="AE53" s="3">
        <v>18499.327037999999</v>
      </c>
      <c r="AF53" s="3">
        <v>13215.222028</v>
      </c>
      <c r="AG53" s="3">
        <v>19138.018488999998</v>
      </c>
      <c r="AH53" s="25">
        <f t="shared" si="2"/>
        <v>112539.365926</v>
      </c>
      <c r="AI53" s="25">
        <f t="shared" si="24"/>
        <v>2019557.5837149995</v>
      </c>
      <c r="AO53">
        <f t="shared" si="25"/>
        <v>51</v>
      </c>
    </row>
    <row r="54" spans="2:41" x14ac:dyDescent="0.3">
      <c r="B54" s="2">
        <v>45323</v>
      </c>
      <c r="C54" s="25">
        <v>10346.300999999999</v>
      </c>
      <c r="D54" s="3">
        <v>15010.817999999999</v>
      </c>
      <c r="E54" s="25">
        <v>20801.54</v>
      </c>
      <c r="G54">
        <v>0</v>
      </c>
      <c r="I54" s="25">
        <v>17730.506000000001</v>
      </c>
      <c r="J54" s="25">
        <v>21214.396000000001</v>
      </c>
      <c r="K54" s="25">
        <v>7071.4660000000003</v>
      </c>
      <c r="L54" s="25">
        <f t="shared" si="23"/>
        <v>92175.027000000002</v>
      </c>
      <c r="M54" s="25">
        <f t="shared" si="28"/>
        <v>5303678.3274514247</v>
      </c>
      <c r="N54" s="3">
        <v>82276</v>
      </c>
      <c r="O54" s="25">
        <v>128212</v>
      </c>
      <c r="P54" s="3">
        <v>207961</v>
      </c>
      <c r="R54" s="1">
        <v>0</v>
      </c>
      <c r="T54" s="3">
        <v>198578</v>
      </c>
      <c r="U54" s="25">
        <v>216852</v>
      </c>
      <c r="V54" s="3">
        <v>83809</v>
      </c>
      <c r="W54" s="25">
        <f t="shared" si="0"/>
        <v>917688</v>
      </c>
      <c r="X54" s="25">
        <f t="shared" si="29"/>
        <v>40622685</v>
      </c>
      <c r="Y54" s="3">
        <v>20439.648571000002</v>
      </c>
      <c r="Z54" s="3">
        <v>20539.505434999999</v>
      </c>
      <c r="AA54" s="3">
        <v>14778.853728</v>
      </c>
      <c r="AC54" s="1">
        <v>0</v>
      </c>
      <c r="AE54" s="3">
        <v>16216.802643999999</v>
      </c>
      <c r="AF54" s="3">
        <v>12038.331259000001</v>
      </c>
      <c r="AG54" s="3">
        <v>16587.391371999998</v>
      </c>
      <c r="AH54" s="25">
        <f t="shared" si="2"/>
        <v>100600.53300899999</v>
      </c>
      <c r="AI54" s="25">
        <f t="shared" si="24"/>
        <v>2120158.1167239994</v>
      </c>
      <c r="AO54">
        <f t="shared" si="25"/>
        <v>52</v>
      </c>
    </row>
    <row r="55" spans="2:41" x14ac:dyDescent="0.3">
      <c r="B55" s="2">
        <v>45352</v>
      </c>
      <c r="C55" s="25">
        <v>9884.9969999999994</v>
      </c>
      <c r="D55" s="3">
        <v>15192.608</v>
      </c>
      <c r="E55" s="25">
        <v>21852.15</v>
      </c>
      <c r="G55">
        <v>0</v>
      </c>
      <c r="I55" s="25">
        <v>18664.423999999999</v>
      </c>
      <c r="J55" s="25">
        <v>22545.865000000002</v>
      </c>
      <c r="K55" s="25">
        <v>7770.9930000000004</v>
      </c>
      <c r="L55" s="25">
        <f t="shared" si="23"/>
        <v>95911.037000000011</v>
      </c>
      <c r="M55" s="25">
        <f t="shared" si="28"/>
        <v>5399589.3644514252</v>
      </c>
      <c r="N55" s="3">
        <v>100423</v>
      </c>
      <c r="O55" s="25">
        <v>103277</v>
      </c>
      <c r="P55" s="3">
        <v>161675</v>
      </c>
      <c r="R55" s="1">
        <v>0</v>
      </c>
      <c r="T55" s="3">
        <v>180462</v>
      </c>
      <c r="U55" s="25">
        <v>164412</v>
      </c>
      <c r="V55" s="3">
        <v>59154</v>
      </c>
      <c r="W55" s="25">
        <f t="shared" si="0"/>
        <v>769403</v>
      </c>
      <c r="X55" s="25">
        <f t="shared" si="29"/>
        <v>41392088</v>
      </c>
      <c r="Y55" s="3">
        <v>24075.574388000001</v>
      </c>
      <c r="Z55" s="3">
        <v>24337.739539999999</v>
      </c>
      <c r="AA55" s="3">
        <v>16047.569288000001</v>
      </c>
      <c r="AC55" s="1">
        <v>0</v>
      </c>
      <c r="AE55" s="3">
        <v>18204.819734000001</v>
      </c>
      <c r="AF55" s="3">
        <v>13216.190656999999</v>
      </c>
      <c r="AG55" s="3">
        <v>18468.758608</v>
      </c>
      <c r="AH55" s="25">
        <f t="shared" si="2"/>
        <v>114350.65221500001</v>
      </c>
      <c r="AI55" s="25">
        <f t="shared" si="24"/>
        <v>2234508.7689389996</v>
      </c>
      <c r="AO55">
        <f t="shared" si="25"/>
        <v>53</v>
      </c>
    </row>
    <row r="56" spans="2:41" x14ac:dyDescent="0.3">
      <c r="B56" s="2">
        <v>45383</v>
      </c>
      <c r="C56" s="25">
        <v>8122.6019999999999</v>
      </c>
      <c r="D56" s="3">
        <v>13680.344999999999</v>
      </c>
      <c r="E56" s="25">
        <v>20968.560000000001</v>
      </c>
      <c r="G56">
        <v>0</v>
      </c>
      <c r="I56" s="25">
        <v>18222.264999999999</v>
      </c>
      <c r="J56" s="25">
        <v>21957.432000000001</v>
      </c>
      <c r="K56" s="25">
        <v>7950.6</v>
      </c>
      <c r="L56" s="25">
        <f t="shared" si="23"/>
        <v>90901.804000000004</v>
      </c>
      <c r="M56" s="25">
        <f t="shared" si="28"/>
        <v>5490491.1684514247</v>
      </c>
      <c r="N56" s="3">
        <v>141825</v>
      </c>
      <c r="O56" s="25">
        <v>70745</v>
      </c>
      <c r="P56" s="3">
        <v>124225</v>
      </c>
      <c r="R56" s="1">
        <v>0</v>
      </c>
      <c r="T56" s="3">
        <v>175259</v>
      </c>
      <c r="U56" s="25">
        <v>114749</v>
      </c>
      <c r="V56" s="3">
        <v>26982</v>
      </c>
      <c r="W56" s="25">
        <f t="shared" si="0"/>
        <v>653785</v>
      </c>
      <c r="X56" s="25">
        <f t="shared" si="29"/>
        <v>42045873</v>
      </c>
      <c r="Y56" s="3">
        <v>27065.65725</v>
      </c>
      <c r="Z56" s="3">
        <v>24043.747995999998</v>
      </c>
      <c r="AA56" s="3">
        <v>18189.353115000002</v>
      </c>
      <c r="AC56" s="1">
        <v>0</v>
      </c>
      <c r="AE56" s="3">
        <v>17903.783614</v>
      </c>
      <c r="AF56" s="3">
        <v>13973.381942</v>
      </c>
      <c r="AG56" s="3">
        <v>18046.763348</v>
      </c>
      <c r="AH56" s="25">
        <f t="shared" si="2"/>
        <v>119222.68726500002</v>
      </c>
      <c r="AI56" s="25">
        <f t="shared" si="24"/>
        <v>2353731.4562039995</v>
      </c>
      <c r="AO56">
        <f t="shared" si="25"/>
        <v>54</v>
      </c>
    </row>
    <row r="57" spans="2:41" x14ac:dyDescent="0.3">
      <c r="B57" s="2">
        <v>45413</v>
      </c>
      <c r="C57" s="25">
        <v>10157.803</v>
      </c>
      <c r="D57" s="3">
        <v>13725.458000000001</v>
      </c>
      <c r="E57" s="25">
        <v>20126.666000000001</v>
      </c>
      <c r="G57">
        <v>0</v>
      </c>
      <c r="I57" s="25">
        <v>18410.935000000001</v>
      </c>
      <c r="J57" s="25">
        <v>21238.15</v>
      </c>
      <c r="K57" s="25">
        <v>5604.3729999999996</v>
      </c>
      <c r="L57" s="25">
        <f t="shared" si="23"/>
        <v>89263.38499999998</v>
      </c>
      <c r="M57" s="25">
        <f t="shared" si="28"/>
        <v>5579754.5534514245</v>
      </c>
      <c r="N57" s="3">
        <v>143383</v>
      </c>
      <c r="O57" s="25">
        <v>75572</v>
      </c>
      <c r="P57" s="3">
        <v>130241</v>
      </c>
      <c r="R57" s="1">
        <v>0</v>
      </c>
      <c r="T57" s="3">
        <v>183934</v>
      </c>
      <c r="U57" s="25">
        <v>112970</v>
      </c>
      <c r="V57" s="3">
        <v>31264</v>
      </c>
      <c r="W57" s="25">
        <f t="shared" si="0"/>
        <v>677364</v>
      </c>
      <c r="X57" s="25">
        <f t="shared" si="29"/>
        <v>42723237</v>
      </c>
      <c r="Y57" s="3">
        <v>20187.352113000001</v>
      </c>
      <c r="Z57" s="3">
        <v>19888.140036000001</v>
      </c>
      <c r="AA57" s="3">
        <v>14896.75603</v>
      </c>
      <c r="AC57" s="1">
        <v>0</v>
      </c>
      <c r="AE57" s="3">
        <v>15547.215695000001</v>
      </c>
      <c r="AF57" s="3">
        <v>12721.271456</v>
      </c>
      <c r="AG57" s="3">
        <v>18030.516792999999</v>
      </c>
      <c r="AH57" s="25">
        <f t="shared" si="2"/>
        <v>101271.25212300001</v>
      </c>
      <c r="AI57" s="25">
        <f t="shared" si="24"/>
        <v>2455002.7083269996</v>
      </c>
      <c r="AO57">
        <f t="shared" si="25"/>
        <v>55</v>
      </c>
    </row>
    <row r="58" spans="2:41" x14ac:dyDescent="0.3">
      <c r="B58" s="2">
        <v>45444</v>
      </c>
      <c r="C58" s="25">
        <v>10024.050999999999</v>
      </c>
      <c r="D58" s="3">
        <v>12907.647999999999</v>
      </c>
      <c r="E58" s="25">
        <v>18187.481</v>
      </c>
      <c r="G58">
        <v>0</v>
      </c>
      <c r="I58" s="25">
        <v>17403.195</v>
      </c>
      <c r="J58" s="25">
        <v>18637.044999999998</v>
      </c>
      <c r="K58" s="25">
        <v>5719.8230000000003</v>
      </c>
      <c r="L58" s="25">
        <f t="shared" si="23"/>
        <v>82879.243000000002</v>
      </c>
      <c r="M58" s="25">
        <f t="shared" si="28"/>
        <v>5662633.7964514242</v>
      </c>
      <c r="N58" s="3">
        <v>128173</v>
      </c>
      <c r="O58" s="25">
        <v>77280</v>
      </c>
      <c r="P58" s="3">
        <v>126206</v>
      </c>
      <c r="R58" s="1">
        <v>0</v>
      </c>
      <c r="T58" s="3">
        <v>186444</v>
      </c>
      <c r="U58" s="25">
        <v>128099</v>
      </c>
      <c r="V58" s="3">
        <v>40294</v>
      </c>
      <c r="W58" s="25">
        <f t="shared" si="0"/>
        <v>686496</v>
      </c>
      <c r="X58" s="25">
        <f t="shared" si="29"/>
        <v>43409733</v>
      </c>
      <c r="Y58" s="3">
        <v>20515.792889</v>
      </c>
      <c r="Z58" s="3">
        <v>24954.026723999999</v>
      </c>
      <c r="AA58" s="3">
        <v>16215.249064</v>
      </c>
      <c r="AC58" s="1">
        <v>0</v>
      </c>
      <c r="AE58" s="3">
        <v>18231.457031999998</v>
      </c>
      <c r="AF58" s="3">
        <v>12868.735812999999</v>
      </c>
      <c r="AG58" s="3">
        <v>20238.148539000002</v>
      </c>
      <c r="AH58" s="25">
        <f t="shared" si="2"/>
        <v>113023.41006100002</v>
      </c>
      <c r="AI58" s="25">
        <f t="shared" si="24"/>
        <v>2568026.1183879995</v>
      </c>
      <c r="AO58">
        <f t="shared" si="25"/>
        <v>56</v>
      </c>
    </row>
    <row r="59" spans="2:41" x14ac:dyDescent="0.3">
      <c r="B59" s="2">
        <v>45474</v>
      </c>
      <c r="C59" s="25">
        <v>8768.08</v>
      </c>
      <c r="D59" s="3">
        <v>13544.209000000001</v>
      </c>
      <c r="E59" s="25">
        <v>18566.488000000001</v>
      </c>
      <c r="G59">
        <v>0</v>
      </c>
      <c r="I59" s="25">
        <v>18083.77</v>
      </c>
      <c r="J59" s="25">
        <v>19077.952000000001</v>
      </c>
      <c r="K59" s="25">
        <v>7386.3289999999997</v>
      </c>
      <c r="L59" s="25">
        <f t="shared" si="23"/>
        <v>85426.828000000009</v>
      </c>
      <c r="M59" s="25">
        <f t="shared" si="28"/>
        <v>5748060.624451424</v>
      </c>
      <c r="N59" s="3">
        <v>106084</v>
      </c>
      <c r="O59" s="25">
        <v>81710</v>
      </c>
      <c r="P59" s="3">
        <v>128201</v>
      </c>
      <c r="R59" s="1">
        <v>0</v>
      </c>
      <c r="T59" s="3">
        <v>142934</v>
      </c>
      <c r="U59" s="25">
        <v>159604</v>
      </c>
      <c r="V59" s="3">
        <v>52174</v>
      </c>
      <c r="W59" s="25">
        <f t="shared" si="0"/>
        <v>670707</v>
      </c>
      <c r="X59" s="25">
        <f t="shared" si="29"/>
        <v>44080440</v>
      </c>
      <c r="Y59" s="3">
        <v>25773.040452000001</v>
      </c>
      <c r="Z59" s="3">
        <v>36031.157038999998</v>
      </c>
      <c r="AA59" s="3">
        <v>19379.924196</v>
      </c>
      <c r="AC59" s="1">
        <v>0</v>
      </c>
      <c r="AE59" s="3">
        <v>19704.433850000001</v>
      </c>
      <c r="AF59" s="3">
        <v>15004.519172</v>
      </c>
      <c r="AG59" s="3">
        <v>25126.002435999999</v>
      </c>
      <c r="AH59" s="25">
        <f t="shared" si="2"/>
        <v>141019.07714500002</v>
      </c>
      <c r="AI59" s="25">
        <f t="shared" si="24"/>
        <v>2709045.1955329995</v>
      </c>
      <c r="AO59">
        <f t="shared" si="25"/>
        <v>57</v>
      </c>
    </row>
    <row r="60" spans="2:41" x14ac:dyDescent="0.3">
      <c r="B60" s="2">
        <v>45505</v>
      </c>
      <c r="C60" s="25">
        <v>8762.2880000000005</v>
      </c>
      <c r="D60" s="3">
        <v>13945.527</v>
      </c>
      <c r="E60" s="25">
        <v>18721.722000000002</v>
      </c>
      <c r="G60">
        <v>0</v>
      </c>
      <c r="I60" s="25">
        <v>18236.850999999999</v>
      </c>
      <c r="J60" s="25">
        <v>20752.248</v>
      </c>
      <c r="K60" s="25">
        <v>9451.2129999999997</v>
      </c>
      <c r="L60" s="25">
        <f t="shared" si="23"/>
        <v>89869.849000000002</v>
      </c>
      <c r="M60" s="25">
        <f t="shared" si="28"/>
        <v>5837930.4734514244</v>
      </c>
      <c r="N60" s="3">
        <v>100438</v>
      </c>
      <c r="O60" s="25">
        <v>79663</v>
      </c>
      <c r="P60" s="1">
        <v>122417</v>
      </c>
      <c r="R60" s="1">
        <v>0</v>
      </c>
      <c r="T60" s="3">
        <v>119213</v>
      </c>
      <c r="U60" s="25">
        <v>164378</v>
      </c>
      <c r="V60" s="3">
        <v>62954</v>
      </c>
      <c r="W60" s="25">
        <f t="shared" si="0"/>
        <v>649063</v>
      </c>
      <c r="X60" s="25">
        <f t="shared" si="29"/>
        <v>44729503</v>
      </c>
      <c r="Y60" s="3">
        <v>25305.972484999998</v>
      </c>
      <c r="Z60" s="3">
        <v>35208.331692</v>
      </c>
      <c r="AA60" s="3">
        <v>18659.440188</v>
      </c>
      <c r="AC60" s="1">
        <v>0</v>
      </c>
      <c r="AE60" s="3">
        <v>18521.322467999998</v>
      </c>
      <c r="AF60" s="3">
        <v>15133.548133</v>
      </c>
      <c r="AG60" s="3">
        <v>25791.507303999999</v>
      </c>
      <c r="AH60" s="25">
        <f t="shared" si="2"/>
        <v>138620.12226999999</v>
      </c>
      <c r="AI60" s="25">
        <f t="shared" si="24"/>
        <v>2847665.3178029996</v>
      </c>
      <c r="AO60">
        <f t="shared" si="25"/>
        <v>58</v>
      </c>
    </row>
    <row r="61" spans="2:41" x14ac:dyDescent="0.3">
      <c r="B61" s="2">
        <v>45536</v>
      </c>
      <c r="C61" s="25">
        <v>7449.0820000000003</v>
      </c>
      <c r="D61" s="3">
        <v>10688.588</v>
      </c>
      <c r="E61" s="25">
        <v>17798.917000000001</v>
      </c>
      <c r="G61">
        <v>0</v>
      </c>
      <c r="I61" s="25">
        <v>17177.623</v>
      </c>
      <c r="J61" s="25">
        <v>19313.012999999999</v>
      </c>
      <c r="K61" s="25">
        <v>11234.102999999999</v>
      </c>
      <c r="L61" s="25">
        <f t="shared" si="23"/>
        <v>83661.326000000001</v>
      </c>
      <c r="M61" s="25">
        <f t="shared" si="28"/>
        <v>5921591.7994514247</v>
      </c>
      <c r="N61" s="3">
        <v>84468</v>
      </c>
      <c r="O61" s="25">
        <v>60407</v>
      </c>
      <c r="P61" s="1">
        <v>114744</v>
      </c>
      <c r="R61" s="1">
        <v>0</v>
      </c>
      <c r="T61" s="3">
        <v>110749</v>
      </c>
      <c r="U61" s="25">
        <v>150784</v>
      </c>
      <c r="V61" s="3">
        <v>73985</v>
      </c>
      <c r="W61" s="25">
        <f t="shared" si="0"/>
        <v>595137</v>
      </c>
      <c r="X61" s="25">
        <f t="shared" si="29"/>
        <v>45324640</v>
      </c>
      <c r="Y61" s="3">
        <v>22608.623202999999</v>
      </c>
      <c r="Z61" s="3">
        <v>25657.289262999999</v>
      </c>
      <c r="AA61" s="3">
        <v>17153.423054999999</v>
      </c>
      <c r="AC61" s="1">
        <v>0</v>
      </c>
      <c r="AE61" s="3">
        <v>17064.233689000001</v>
      </c>
      <c r="AF61" s="3">
        <v>13505.955454999999</v>
      </c>
      <c r="AG61" s="3">
        <v>23279.354894</v>
      </c>
      <c r="AH61" s="25">
        <f t="shared" si="2"/>
        <v>119268.87955899999</v>
      </c>
      <c r="AI61" s="25">
        <f t="shared" si="24"/>
        <v>2966934.1973619997</v>
      </c>
      <c r="AO61">
        <f t="shared" si="25"/>
        <v>59</v>
      </c>
    </row>
    <row r="62" spans="2:41" x14ac:dyDescent="0.3">
      <c r="B62" s="2">
        <v>45566</v>
      </c>
      <c r="C62" s="25">
        <v>7039.8239999999996</v>
      </c>
      <c r="D62" s="3">
        <v>10239.769</v>
      </c>
      <c r="E62" s="25">
        <v>17161.692999999999</v>
      </c>
      <c r="G62">
        <v>0</v>
      </c>
      <c r="I62" s="25">
        <v>17105.213</v>
      </c>
      <c r="J62" s="25">
        <v>19171.800999999999</v>
      </c>
      <c r="K62" s="25">
        <v>9611.4860000000008</v>
      </c>
      <c r="L62" s="25">
        <f t="shared" si="23"/>
        <v>80329.785999999993</v>
      </c>
      <c r="M62" s="25">
        <f t="shared" si="28"/>
        <v>6001921.5854514251</v>
      </c>
      <c r="N62" s="3">
        <v>90357</v>
      </c>
      <c r="O62" s="25">
        <v>65506</v>
      </c>
      <c r="P62" s="1">
        <v>110709</v>
      </c>
      <c r="R62" s="1">
        <v>0</v>
      </c>
      <c r="T62" s="3">
        <v>125252</v>
      </c>
      <c r="U62" s="25">
        <v>169933</v>
      </c>
      <c r="V62" s="3">
        <v>71850</v>
      </c>
      <c r="W62" s="25">
        <f t="shared" si="0"/>
        <v>633607</v>
      </c>
      <c r="X62" s="25">
        <f t="shared" si="29"/>
        <v>45958247</v>
      </c>
      <c r="Y62" s="3">
        <v>23197.461698999999</v>
      </c>
      <c r="Z62" s="3">
        <v>25409.867396000001</v>
      </c>
      <c r="AA62" s="3">
        <v>17129.892913</v>
      </c>
      <c r="AC62" s="1">
        <v>0</v>
      </c>
      <c r="AE62" s="3">
        <v>17618.427969</v>
      </c>
      <c r="AF62" s="3">
        <v>13935.938763</v>
      </c>
      <c r="AG62" s="3">
        <v>23349.083619000001</v>
      </c>
      <c r="AH62" s="25">
        <f t="shared" si="2"/>
        <v>120640.67235899999</v>
      </c>
      <c r="AI62" s="25">
        <f t="shared" si="24"/>
        <v>3087574.8697209996</v>
      </c>
      <c r="AO62">
        <f t="shared" si="25"/>
        <v>60</v>
      </c>
    </row>
    <row r="63" spans="2:41" x14ac:dyDescent="0.3">
      <c r="B63" s="2">
        <v>45597</v>
      </c>
      <c r="C63" s="25">
        <v>6858.357</v>
      </c>
      <c r="D63" s="3">
        <v>9966.5429999999997</v>
      </c>
      <c r="E63" s="25">
        <v>16421.181</v>
      </c>
      <c r="G63">
        <v>0</v>
      </c>
      <c r="I63" s="25">
        <v>16512.423999999999</v>
      </c>
      <c r="J63" s="25">
        <v>18448.258000000002</v>
      </c>
      <c r="K63" s="25">
        <v>9363.0460000000003</v>
      </c>
      <c r="L63" s="25">
        <f t="shared" si="23"/>
        <v>77569.809000000008</v>
      </c>
      <c r="M63" s="25">
        <f t="shared" si="28"/>
        <v>6079491.3944514254</v>
      </c>
      <c r="N63" s="3">
        <v>84135</v>
      </c>
      <c r="O63" s="25">
        <v>60801</v>
      </c>
      <c r="P63" s="1">
        <v>100600</v>
      </c>
      <c r="R63" s="1">
        <v>0</v>
      </c>
      <c r="T63" s="3">
        <v>115685</v>
      </c>
      <c r="U63" s="25">
        <v>156517</v>
      </c>
      <c r="V63" s="3">
        <v>66895</v>
      </c>
      <c r="W63" s="25">
        <f t="shared" si="0"/>
        <v>584633</v>
      </c>
      <c r="X63" s="25">
        <f t="shared" si="29"/>
        <v>46542880</v>
      </c>
      <c r="Y63" s="3">
        <v>22647.557065000001</v>
      </c>
      <c r="Z63" s="3">
        <v>24855.943584000001</v>
      </c>
      <c r="AA63" s="3">
        <v>16776.796122</v>
      </c>
      <c r="AC63" s="1">
        <v>0</v>
      </c>
      <c r="AE63" s="3">
        <v>16967.767025000001</v>
      </c>
      <c r="AF63" s="3">
        <v>13578.917131</v>
      </c>
      <c r="AG63" s="3">
        <v>22837.295171000002</v>
      </c>
      <c r="AH63" s="25">
        <f t="shared" si="2"/>
        <v>117664.276098</v>
      </c>
      <c r="AI63" s="25">
        <f t="shared" si="24"/>
        <v>3205239.1458189995</v>
      </c>
      <c r="AO63">
        <f t="shared" si="25"/>
        <v>61</v>
      </c>
    </row>
    <row r="64" spans="2:41" x14ac:dyDescent="0.3">
      <c r="B64" s="2">
        <v>45627</v>
      </c>
      <c r="C64" s="25">
        <v>7273.9120000000003</v>
      </c>
      <c r="D64" s="3">
        <v>10389.321</v>
      </c>
      <c r="E64" s="25">
        <v>16271.686</v>
      </c>
      <c r="G64">
        <v>0</v>
      </c>
      <c r="I64" s="25">
        <v>16622.864000000001</v>
      </c>
      <c r="J64" s="25">
        <v>18026.670999999998</v>
      </c>
      <c r="K64" s="25">
        <v>11587.97</v>
      </c>
      <c r="L64" s="25">
        <f t="shared" si="23"/>
        <v>80172.423999999999</v>
      </c>
      <c r="M64" s="25">
        <f t="shared" si="28"/>
        <v>6159663.8184514251</v>
      </c>
      <c r="N64" s="3">
        <v>74696</v>
      </c>
      <c r="O64" s="25">
        <v>52739</v>
      </c>
      <c r="P64" s="1">
        <v>83276</v>
      </c>
      <c r="R64" s="1">
        <v>0</v>
      </c>
      <c r="T64" s="3">
        <v>97486</v>
      </c>
      <c r="U64" s="25">
        <v>127950</v>
      </c>
      <c r="V64" s="3">
        <v>69548</v>
      </c>
      <c r="W64" s="25">
        <f t="shared" si="0"/>
        <v>505695</v>
      </c>
      <c r="X64" s="25">
        <f t="shared" si="29"/>
        <v>47048575</v>
      </c>
      <c r="Y64" s="3">
        <v>21831.568730999999</v>
      </c>
      <c r="Z64" s="3">
        <v>24015.896762</v>
      </c>
      <c r="AA64" s="3">
        <v>16561.565454</v>
      </c>
      <c r="AC64" s="1">
        <v>0</v>
      </c>
      <c r="AE64" s="3">
        <v>15354.879901</v>
      </c>
      <c r="AF64" s="3">
        <v>12932.684214000001</v>
      </c>
      <c r="AG64" s="3">
        <v>22802.896252999999</v>
      </c>
      <c r="AH64" s="25">
        <f t="shared" si="2"/>
        <v>113499.49131500001</v>
      </c>
      <c r="AI64" s="25">
        <f t="shared" si="24"/>
        <v>3318738.6371339997</v>
      </c>
      <c r="AO64">
        <f t="shared" si="25"/>
        <v>62</v>
      </c>
    </row>
    <row r="65" spans="2:41" x14ac:dyDescent="0.3">
      <c r="B65" s="2">
        <v>45658</v>
      </c>
      <c r="C65" s="25">
        <v>6935.13</v>
      </c>
      <c r="D65" s="3">
        <v>9189.6440000000002</v>
      </c>
      <c r="E65" s="25">
        <v>15761.683000000001</v>
      </c>
      <c r="G65">
        <v>0</v>
      </c>
      <c r="I65" s="25">
        <v>17075.982</v>
      </c>
      <c r="J65" s="25">
        <v>17623.088</v>
      </c>
      <c r="K65" s="25">
        <v>10428.099</v>
      </c>
      <c r="L65" s="25">
        <f t="shared" si="23"/>
        <v>77013.626000000004</v>
      </c>
      <c r="M65" s="25">
        <f t="shared" si="28"/>
        <v>6236677.4444514252</v>
      </c>
      <c r="N65" s="3">
        <v>66077</v>
      </c>
      <c r="O65" s="25">
        <v>43671</v>
      </c>
      <c r="P65" s="1">
        <v>74857</v>
      </c>
      <c r="R65" s="1">
        <v>0</v>
      </c>
      <c r="T65" s="3">
        <v>107264</v>
      </c>
      <c r="U65" s="25">
        <v>115964</v>
      </c>
      <c r="V65" s="3">
        <v>58002</v>
      </c>
      <c r="W65" s="25">
        <f t="shared" si="0"/>
        <v>465835</v>
      </c>
      <c r="X65" s="25">
        <f t="shared" si="29"/>
        <v>47514410</v>
      </c>
      <c r="Y65" s="3">
        <v>22607.509908</v>
      </c>
      <c r="Z65" s="3">
        <v>25507.768137999999</v>
      </c>
      <c r="AA65" s="3">
        <v>18689.631226000001</v>
      </c>
      <c r="AC65" s="1">
        <v>0</v>
      </c>
      <c r="AE65" s="3">
        <v>15935.038474999999</v>
      </c>
      <c r="AF65" s="3">
        <v>14776.249752</v>
      </c>
      <c r="AG65" s="3">
        <v>24846.867402</v>
      </c>
      <c r="AH65" s="25">
        <f t="shared" si="2"/>
        <v>122363.06490100001</v>
      </c>
      <c r="AI65" s="25">
        <f t="shared" si="24"/>
        <v>3441101.7020349996</v>
      </c>
      <c r="AO65">
        <f t="shared" si="25"/>
        <v>63</v>
      </c>
    </row>
    <row r="66" spans="2:41" x14ac:dyDescent="0.3">
      <c r="B66" s="2">
        <v>45689</v>
      </c>
      <c r="C66" s="25">
        <v>6670.6930000000002</v>
      </c>
      <c r="D66" s="3">
        <v>8651.6280000000006</v>
      </c>
      <c r="E66" s="25">
        <v>13825.91</v>
      </c>
      <c r="G66">
        <v>0</v>
      </c>
      <c r="I66" s="25">
        <v>14669.397999999999</v>
      </c>
      <c r="J66" s="25">
        <v>15689.317999999999</v>
      </c>
      <c r="K66" s="25">
        <v>9129.3070000000007</v>
      </c>
      <c r="L66" s="25">
        <f t="shared" si="23"/>
        <v>68636.254000000001</v>
      </c>
      <c r="M66" s="25">
        <f t="shared" si="28"/>
        <v>6305313.6984514249</v>
      </c>
      <c r="N66" s="3">
        <v>67473</v>
      </c>
      <c r="O66" s="25">
        <v>43635</v>
      </c>
      <c r="P66" s="1">
        <v>69478</v>
      </c>
      <c r="R66" s="1">
        <v>0</v>
      </c>
      <c r="T66" s="3">
        <v>92770</v>
      </c>
      <c r="U66" s="25">
        <v>109184</v>
      </c>
      <c r="V66" s="3">
        <v>53721</v>
      </c>
      <c r="W66" s="25">
        <f t="shared" si="0"/>
        <v>436261</v>
      </c>
      <c r="X66" s="25">
        <f t="shared" si="29"/>
        <v>47950671</v>
      </c>
      <c r="Y66" s="3">
        <v>22080.091306999999</v>
      </c>
      <c r="Z66" s="3">
        <v>24702.371829</v>
      </c>
      <c r="AA66" s="3">
        <v>18330.666051</v>
      </c>
      <c r="AC66" s="1">
        <v>0</v>
      </c>
      <c r="AE66" s="3">
        <v>16334.428196000001</v>
      </c>
      <c r="AF66" s="3">
        <v>14464.533551</v>
      </c>
      <c r="AG66" s="3">
        <v>24042.628414999999</v>
      </c>
      <c r="AH66" s="25">
        <f t="shared" si="2"/>
        <v>119954.71934900001</v>
      </c>
      <c r="AI66" s="25">
        <f t="shared" si="24"/>
        <v>3561056.4213839998</v>
      </c>
      <c r="AO66">
        <f t="shared" si="25"/>
        <v>64</v>
      </c>
    </row>
    <row r="67" spans="2:41" x14ac:dyDescent="0.3">
      <c r="B67" s="2">
        <v>45717</v>
      </c>
      <c r="C67" s="25">
        <v>7604.7939999999999</v>
      </c>
      <c r="D67" s="3">
        <v>10443.808000000001</v>
      </c>
      <c r="E67" s="25">
        <v>15077.841</v>
      </c>
      <c r="G67">
        <v>0</v>
      </c>
      <c r="I67" s="25">
        <v>15203.808000000001</v>
      </c>
      <c r="J67" s="25">
        <v>17519.331999999999</v>
      </c>
      <c r="K67" s="25">
        <v>10288.425999999999</v>
      </c>
      <c r="L67" s="25">
        <f t="shared" si="23"/>
        <v>76138.008999999991</v>
      </c>
      <c r="M67" s="25">
        <f t="shared" si="28"/>
        <v>6381451.7074514246</v>
      </c>
      <c r="N67" s="3">
        <v>78074</v>
      </c>
      <c r="O67" s="25">
        <v>53519</v>
      </c>
      <c r="P67" s="1">
        <v>77185</v>
      </c>
      <c r="R67" s="1">
        <v>0</v>
      </c>
      <c r="T67" s="3">
        <v>89086</v>
      </c>
      <c r="U67" s="25">
        <v>124392</v>
      </c>
      <c r="V67" s="3">
        <v>61744</v>
      </c>
      <c r="W67" s="25">
        <f t="shared" si="0"/>
        <v>484000</v>
      </c>
      <c r="X67" s="25">
        <f t="shared" si="29"/>
        <v>48434671</v>
      </c>
      <c r="Y67" s="3">
        <v>28338.914043000001</v>
      </c>
      <c r="Z67" s="3">
        <v>30995.398495000001</v>
      </c>
      <c r="AA67" s="3">
        <v>23247.679461</v>
      </c>
      <c r="AC67" s="1">
        <v>0</v>
      </c>
      <c r="AE67" s="3">
        <v>22429.294714</v>
      </c>
      <c r="AF67" s="3">
        <v>18305.286705999999</v>
      </c>
      <c r="AG67" s="3">
        <v>30534.318415000002</v>
      </c>
      <c r="AH67" s="25">
        <f t="shared" si="2"/>
        <v>153850.89183400001</v>
      </c>
      <c r="AI67" s="25">
        <f t="shared" si="24"/>
        <v>3714907.3132179999</v>
      </c>
      <c r="AO67">
        <f t="shared" si="25"/>
        <v>65</v>
      </c>
    </row>
    <row r="68" spans="2:41" x14ac:dyDescent="0.3">
      <c r="B68" s="2">
        <v>45748</v>
      </c>
      <c r="C68" s="25">
        <v>6749.2610000000004</v>
      </c>
      <c r="D68" s="3">
        <v>9225.2999999999993</v>
      </c>
      <c r="E68" s="25">
        <v>13106.16</v>
      </c>
      <c r="G68">
        <v>0</v>
      </c>
      <c r="I68" s="25">
        <v>13334.433999999999</v>
      </c>
      <c r="J68" s="25">
        <v>15352.074000000001</v>
      </c>
      <c r="K68" s="25">
        <v>9088.0470000000005</v>
      </c>
      <c r="L68" s="25">
        <f t="shared" ref="L68:L71" si="30">SUM(C68:K68)</f>
        <v>66855.275999999998</v>
      </c>
      <c r="M68" s="25">
        <f t="shared" si="28"/>
        <v>6448306.9834514242</v>
      </c>
      <c r="N68" s="3">
        <v>78682</v>
      </c>
      <c r="O68" s="25">
        <v>53675</v>
      </c>
      <c r="P68" s="1">
        <v>76237</v>
      </c>
      <c r="R68" s="1">
        <v>0</v>
      </c>
      <c r="T68" s="3">
        <v>88773</v>
      </c>
      <c r="U68" s="25">
        <v>123795</v>
      </c>
      <c r="V68" s="3">
        <v>61916</v>
      </c>
      <c r="W68" s="25">
        <f t="shared" ref="W68:W71" si="31">SUM(N68:V68)</f>
        <v>483078</v>
      </c>
      <c r="X68" s="25">
        <f t="shared" si="29"/>
        <v>48917749</v>
      </c>
      <c r="Y68" s="3">
        <v>24280.546386999999</v>
      </c>
      <c r="Z68" s="3">
        <v>26691.105948</v>
      </c>
      <c r="AA68" s="3">
        <v>20288.328560000002</v>
      </c>
      <c r="AC68" s="1">
        <v>0</v>
      </c>
      <c r="AE68" s="3">
        <v>19597.299685000002</v>
      </c>
      <c r="AF68" s="3">
        <v>15893.060351</v>
      </c>
      <c r="AG68" s="3">
        <v>26293.993136000001</v>
      </c>
      <c r="AH68" s="25">
        <f t="shared" ref="AH68:AH71" si="32">SUM(Y68:AG68)</f>
        <v>133044.33406700002</v>
      </c>
      <c r="AI68" s="25">
        <f t="shared" si="24"/>
        <v>3847951.647285</v>
      </c>
      <c r="AO68">
        <f t="shared" si="25"/>
        <v>66</v>
      </c>
    </row>
    <row r="69" spans="2:41" x14ac:dyDescent="0.3">
      <c r="B69" s="2">
        <v>45778</v>
      </c>
      <c r="C69" s="25">
        <v>7174.4030000000002</v>
      </c>
      <c r="D69" s="3">
        <v>9472.9040000000005</v>
      </c>
      <c r="E69" s="25">
        <v>14348.94</v>
      </c>
      <c r="G69">
        <v>0</v>
      </c>
      <c r="I69" s="25">
        <v>14653.647999999999</v>
      </c>
      <c r="J69" s="25">
        <v>16410.079000000002</v>
      </c>
      <c r="K69" s="25">
        <v>9371.5959999999995</v>
      </c>
      <c r="L69" s="25">
        <f t="shared" si="30"/>
        <v>71431.570000000007</v>
      </c>
      <c r="M69" s="25">
        <f t="shared" ref="M69:M71" si="33">M68+L69</f>
        <v>6519738.5534514245</v>
      </c>
      <c r="N69" s="3">
        <v>72705</v>
      </c>
      <c r="O69" s="25">
        <v>47876</v>
      </c>
      <c r="P69" s="1">
        <v>72128</v>
      </c>
      <c r="R69" s="1">
        <v>0</v>
      </c>
      <c r="T69" s="3">
        <v>84344</v>
      </c>
      <c r="U69" s="25">
        <v>114355</v>
      </c>
      <c r="V69" s="3">
        <v>55440</v>
      </c>
      <c r="W69" s="25">
        <f t="shared" si="31"/>
        <v>446848</v>
      </c>
      <c r="X69" s="25">
        <f t="shared" ref="X69:X71" si="34">X68+W69</f>
        <v>49364597</v>
      </c>
      <c r="Y69" s="3">
        <v>24692.289274999999</v>
      </c>
      <c r="Z69" s="3">
        <v>27753.654444</v>
      </c>
      <c r="AA69" s="3">
        <v>21076.239227999999</v>
      </c>
      <c r="AC69" s="1">
        <v>0</v>
      </c>
      <c r="AE69" s="3">
        <v>20528.718428</v>
      </c>
      <c r="AF69" s="3">
        <v>16614.418642000001</v>
      </c>
      <c r="AG69" s="3">
        <v>27507.031382000001</v>
      </c>
      <c r="AH69" s="25">
        <f t="shared" si="32"/>
        <v>138172.35139899998</v>
      </c>
      <c r="AI69" s="25">
        <f t="shared" ref="AI69:AI71" si="35">AI68+AH69</f>
        <v>3986123.9986839998</v>
      </c>
      <c r="AO69">
        <f t="shared" ref="AO69:AO71" si="36">AO68+1</f>
        <v>67</v>
      </c>
    </row>
    <row r="70" spans="2:41" x14ac:dyDescent="0.3">
      <c r="B70" s="2">
        <v>45809</v>
      </c>
      <c r="C70" s="25">
        <v>6462.5349999999999</v>
      </c>
      <c r="D70" s="3">
        <v>8344.8019999999997</v>
      </c>
      <c r="E70" s="25">
        <v>13741.994000000001</v>
      </c>
      <c r="G70">
        <v>0</v>
      </c>
      <c r="I70" s="25">
        <v>14250.914000000001</v>
      </c>
      <c r="J70" s="25">
        <v>16128.541999999999</v>
      </c>
      <c r="K70" s="25">
        <v>8253.9660000000003</v>
      </c>
      <c r="L70" s="25">
        <f t="shared" si="30"/>
        <v>67182.752999999997</v>
      </c>
      <c r="M70" s="25">
        <f t="shared" si="33"/>
        <v>6586921.306451424</v>
      </c>
      <c r="N70" s="3">
        <v>53215</v>
      </c>
      <c r="O70" s="25">
        <v>34232</v>
      </c>
      <c r="P70" s="1">
        <v>56352</v>
      </c>
      <c r="R70" s="1">
        <v>0</v>
      </c>
      <c r="T70" s="3">
        <v>66931</v>
      </c>
      <c r="U70" s="25">
        <v>91711</v>
      </c>
      <c r="V70" s="3">
        <v>39671</v>
      </c>
      <c r="W70" s="25">
        <f t="shared" si="31"/>
        <v>342112</v>
      </c>
      <c r="X70" s="25">
        <f t="shared" si="34"/>
        <v>49706709</v>
      </c>
      <c r="Y70" s="3">
        <v>26240.718529999998</v>
      </c>
      <c r="Z70" s="3">
        <v>29667.621713</v>
      </c>
      <c r="AA70" s="3">
        <v>22212.296618</v>
      </c>
      <c r="AC70" s="1">
        <v>0</v>
      </c>
      <c r="AE70" s="3">
        <v>21595.871053999999</v>
      </c>
      <c r="AF70" s="3">
        <v>17734.487357999998</v>
      </c>
      <c r="AG70" s="3">
        <v>29642.141732</v>
      </c>
      <c r="AH70" s="25">
        <f t="shared" si="32"/>
        <v>147093.137005</v>
      </c>
      <c r="AI70" s="25">
        <f t="shared" si="35"/>
        <v>4133217.1356889997</v>
      </c>
      <c r="AO70">
        <f t="shared" si="36"/>
        <v>68</v>
      </c>
    </row>
    <row r="71" spans="2:41" x14ac:dyDescent="0.3">
      <c r="B71" s="2">
        <v>45839</v>
      </c>
      <c r="C71" s="25">
        <v>6971.2569999999996</v>
      </c>
      <c r="D71" s="3">
        <v>8410.1759999999995</v>
      </c>
      <c r="E71" s="25">
        <v>13682.441000000001</v>
      </c>
      <c r="G71">
        <v>0</v>
      </c>
      <c r="I71" s="25">
        <v>14709.546</v>
      </c>
      <c r="J71" s="25">
        <v>15649.231</v>
      </c>
      <c r="K71" s="25">
        <v>8414.5560000000005</v>
      </c>
      <c r="L71" s="25">
        <f t="shared" si="30"/>
        <v>67837.206999999995</v>
      </c>
      <c r="M71" s="25">
        <f t="shared" si="33"/>
        <v>6654758.5134514244</v>
      </c>
      <c r="N71" s="3">
        <v>67910</v>
      </c>
      <c r="O71" s="25">
        <v>40749</v>
      </c>
      <c r="P71" s="1">
        <v>66352</v>
      </c>
      <c r="R71" s="1">
        <v>0</v>
      </c>
      <c r="T71" s="3">
        <v>81660</v>
      </c>
      <c r="U71">
        <v>105134</v>
      </c>
      <c r="V71" s="3">
        <v>47784</v>
      </c>
      <c r="W71" s="25">
        <f t="shared" si="31"/>
        <v>409589</v>
      </c>
      <c r="X71" s="25">
        <f t="shared" si="34"/>
        <v>50116298</v>
      </c>
      <c r="Y71" s="3">
        <v>28348.996593</v>
      </c>
      <c r="Z71" s="3">
        <v>31023.639693000001</v>
      </c>
      <c r="AA71" s="3">
        <v>23541.601815999999</v>
      </c>
      <c r="AC71" s="1">
        <v>0</v>
      </c>
      <c r="AE71" s="3">
        <v>23065.237521999999</v>
      </c>
      <c r="AF71" s="3">
        <v>18014.723105000001</v>
      </c>
      <c r="AG71" s="3">
        <v>30964.760879000001</v>
      </c>
      <c r="AH71" s="25">
        <f t="shared" si="32"/>
        <v>154958.959608</v>
      </c>
      <c r="AI71" s="25">
        <f t="shared" si="35"/>
        <v>4288176.0952969994</v>
      </c>
      <c r="AO71">
        <f t="shared" si="36"/>
        <v>69</v>
      </c>
    </row>
    <row r="72" spans="2:41" x14ac:dyDescent="0.3">
      <c r="B72" s="2"/>
      <c r="C72" s="25"/>
      <c r="L72" s="25"/>
      <c r="N72" s="3"/>
    </row>
  </sheetData>
  <mergeCells count="76">
    <mergeCell ref="AJ29:AM29"/>
    <mergeCell ref="BL1:BO1"/>
    <mergeCell ref="BF1:BF2"/>
    <mergeCell ref="BG1:BG2"/>
    <mergeCell ref="BA1:BA2"/>
    <mergeCell ref="BC1:BC2"/>
    <mergeCell ref="BD1:BD2"/>
    <mergeCell ref="BE1:BE2"/>
    <mergeCell ref="AR29:AU29"/>
    <mergeCell ref="AR22:AU22"/>
    <mergeCell ref="AR11:AU11"/>
    <mergeCell ref="AR12:AU12"/>
    <mergeCell ref="AR13:AU13"/>
    <mergeCell ref="AR14:AU14"/>
    <mergeCell ref="AR15:AU15"/>
    <mergeCell ref="AR16:AU16"/>
    <mergeCell ref="AR30:AU30"/>
    <mergeCell ref="AV1:AV2"/>
    <mergeCell ref="AW1:AW2"/>
    <mergeCell ref="AX1:AX2"/>
    <mergeCell ref="AY1:AY2"/>
    <mergeCell ref="AR23:AU23"/>
    <mergeCell ref="AR24:AU24"/>
    <mergeCell ref="AR25:AU25"/>
    <mergeCell ref="AR26:AU26"/>
    <mergeCell ref="AR27:AU27"/>
    <mergeCell ref="AR28:AU28"/>
    <mergeCell ref="AR17:AU17"/>
    <mergeCell ref="AR18:AU18"/>
    <mergeCell ref="AR19:AU19"/>
    <mergeCell ref="AR20:AU20"/>
    <mergeCell ref="AR21:AU21"/>
    <mergeCell ref="AR10:AU10"/>
    <mergeCell ref="AP1:AQ1"/>
    <mergeCell ref="AR1:AU2"/>
    <mergeCell ref="AR3:AU3"/>
    <mergeCell ref="AR4:AU4"/>
    <mergeCell ref="AR5:AU5"/>
    <mergeCell ref="AR6:AU6"/>
    <mergeCell ref="AR7:AU7"/>
    <mergeCell ref="AR8:AU8"/>
    <mergeCell ref="AR9:AU9"/>
    <mergeCell ref="AP2:AQ2"/>
    <mergeCell ref="AP3:AQ3"/>
    <mergeCell ref="AP4:AQ4"/>
    <mergeCell ref="AP5:AQ5"/>
    <mergeCell ref="AP6:AQ6"/>
    <mergeCell ref="AP30:AQ30"/>
    <mergeCell ref="AP19:AQ19"/>
    <mergeCell ref="AP20:AQ20"/>
    <mergeCell ref="AP21:AQ21"/>
    <mergeCell ref="AP22:AQ22"/>
    <mergeCell ref="AP23:AQ23"/>
    <mergeCell ref="AP24:AQ24"/>
    <mergeCell ref="AP25:AQ25"/>
    <mergeCell ref="AP26:AQ26"/>
    <mergeCell ref="AP27:AQ27"/>
    <mergeCell ref="AP28:AQ28"/>
    <mergeCell ref="AP29:AQ29"/>
    <mergeCell ref="AP18:AQ18"/>
    <mergeCell ref="AP7:AQ7"/>
    <mergeCell ref="AP8:AQ8"/>
    <mergeCell ref="AP9:AQ9"/>
    <mergeCell ref="AP10:AQ10"/>
    <mergeCell ref="AP11:AQ11"/>
    <mergeCell ref="AP12:AQ12"/>
    <mergeCell ref="AP13:AQ13"/>
    <mergeCell ref="AP14:AQ14"/>
    <mergeCell ref="AP15:AQ15"/>
    <mergeCell ref="AP16:AQ16"/>
    <mergeCell ref="AP17:AQ17"/>
    <mergeCell ref="C1:L1"/>
    <mergeCell ref="N1:W1"/>
    <mergeCell ref="Y1:AH1"/>
    <mergeCell ref="AK8:AM9"/>
    <mergeCell ref="AN8:AN9"/>
  </mergeCells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Structure-A_Prod_Data</vt:lpstr>
      <vt:lpstr>PVT_Press</vt:lpstr>
      <vt:lpstr>Well_A-1</vt:lpstr>
      <vt:lpstr>Well_A-2</vt:lpstr>
      <vt:lpstr>Well_A-3</vt:lpstr>
      <vt:lpstr>Well_A-5</vt:lpstr>
      <vt:lpstr>Well_A-7</vt:lpstr>
      <vt:lpstr>Well_A-8</vt:lpstr>
      <vt:lpstr>Well_A-9</vt:lpstr>
      <vt:lpstr>M-BAL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Dhanshreshthi</dc:creator>
  <cp:lastModifiedBy>abhilash guttikonda</cp:lastModifiedBy>
  <dcterms:created xsi:type="dcterms:W3CDTF">2015-06-05T18:17:20Z</dcterms:created>
  <dcterms:modified xsi:type="dcterms:W3CDTF">2025-12-19T12:52:53Z</dcterms:modified>
</cp:coreProperties>
</file>